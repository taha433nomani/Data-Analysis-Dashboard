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d.docs.live.net/c1a6040e492ff81c/Excel Final Project/"/>
    </mc:Choice>
  </mc:AlternateContent>
  <xr:revisionPtr revIDLastSave="1" documentId="8_{94611E50-4B1B-4D75-AD50-77F7BDFD5C13}" xr6:coauthVersionLast="47" xr6:coauthVersionMax="47" xr10:uidLastSave="{DAB83BA4-FABF-4F1F-A940-AB0830174BD1}"/>
  <bookViews>
    <workbookView xWindow="-108" yWindow="-108" windowWidth="23256" windowHeight="12456" firstSheet="10" activeTab="12" xr2:uid="{00000000-000D-0000-FFFF-FFFF00000000}"/>
  </bookViews>
  <sheets>
    <sheet name="Sales Data" sheetId="1" r:id="rId1"/>
    <sheet name="Product Details" sheetId="2" r:id="rId2"/>
    <sheet name="Master Sheet" sheetId="3" r:id="rId3"/>
    <sheet name="Exploratory Data Analysis " sheetId="13" r:id="rId4"/>
    <sheet name="Profitability Analysis" sheetId="14" r:id="rId5"/>
    <sheet name="Most Popular Product Categories" sheetId="5" r:id="rId6"/>
    <sheet name="Regions with the Highest Sales." sheetId="6" r:id="rId7"/>
    <sheet name="Sales Trends (Quaterly)_x0009_" sheetId="7" r:id="rId8"/>
    <sheet name="Pivot Table" sheetId="8" r:id="rId9"/>
    <sheet name="Sales by Customer Segment_x0009_" sheetId="9" r:id="rId10"/>
    <sheet name="Highest Revenue &amp;Profit Margins" sheetId="10" r:id="rId11"/>
    <sheet name="Underperforming Categories by C" sheetId="11" r:id="rId12"/>
    <sheet name="Dasboard" sheetId="12" r:id="rId13"/>
  </sheets>
  <definedNames>
    <definedName name="OrderDate">'Sales Data'!$C$3:$C$2002</definedName>
    <definedName name="OrderID">'Sales Data'!$B$3:$B$2002</definedName>
    <definedName name="ProductCategory">'Master Sheet'!$K$4:$K$2003</definedName>
    <definedName name="ProductID">'Sales Data'!$E$3:$E$2002</definedName>
    <definedName name="Profit">'Sales Data'!$G$3:$G$2002</definedName>
    <definedName name="Quantity">'Sales Data'!$H$3:$H$2002</definedName>
    <definedName name="QuantitySold">'Sales Data'!$H$3:$H$2002</definedName>
    <definedName name="Region">'Sales Data'!$D$3:$D$2002</definedName>
    <definedName name="Sales">'Sales Data'!$F$3:$F$2002</definedName>
    <definedName name="SalesAmount">'Master Sheet'!$F$4:$F$2003</definedName>
    <definedName name="Segment">'Sales Data'!$I$3:$I$2002</definedName>
    <definedName name="Slicer_Months__Order_Date">#N/A</definedName>
    <definedName name="Slicer_Product_Category">#N/A</definedName>
    <definedName name="Slicer_Region">#N/A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 l="1"/>
  <c r="N4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4" i="3"/>
  <c r="J4" i="3" a="1"/>
  <c r="J4" i="3" s="1"/>
  <c r="K4" i="3" a="1"/>
  <c r="K4" i="3" s="1"/>
  <c r="L4" i="3" a="1"/>
  <c r="L4" i="3" s="1"/>
  <c r="M4" i="3" a="1"/>
  <c r="M4" i="3" s="1"/>
  <c r="L9" i="1"/>
  <c r="M3" i="1"/>
  <c r="L8" i="1"/>
  <c r="H8" i="14"/>
  <c r="H7" i="14"/>
  <c r="H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tc={C17C3AD5-ECE2-4EE2-B56E-3C2AE0B3EEAF}</author>
  </authors>
  <commentList>
    <comment ref="M3" authorId="0" shapeId="0" xr:uid="{C17C3AD5-ECE2-4EE2-B56E-3C2AE0B3EEAF}">
      <text>
        <t>[Threaded comment]
Your version of Excel allows you to read this threaded comment; however, any edits to it will get removed if the file is opened in a newer version of Excel. Learn more: https://go.microsoft.com/fwlink/?linkid=870924
Comment:
    DO NOT DELETE THIS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<sst xmlns="http://schemas.openxmlformats.org/spreadsheetml/2006/main" count="16538" uniqueCount="2360">
  <si>
    <t>Order ID</t>
  </si>
  <si>
    <t>Order Date</t>
  </si>
  <si>
    <t>Region</t>
  </si>
  <si>
    <t>Product ID</t>
  </si>
  <si>
    <t>Product Category</t>
  </si>
  <si>
    <t>Sales Amount</t>
  </si>
  <si>
    <t>Profit</t>
  </si>
  <si>
    <t>Quantity Sold</t>
  </si>
  <si>
    <t>Customer Segment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</si>
  <si>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</si>
  <si>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</si>
  <si>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</si>
  <si>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</si>
  <si>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</si>
  <si>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</si>
  <si>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</si>
  <si>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</si>
  <si>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</si>
  <si>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</si>
  <si>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</si>
  <si>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</si>
  <si>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</si>
  <si>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</si>
  <si>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</si>
  <si>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</si>
  <si>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</si>
  <si>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</si>
  <si>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</si>
  <si>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</si>
  <si>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</si>
  <si>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</si>
  <si>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</si>
  <si>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</si>
  <si>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</si>
  <si>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</si>
  <si>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</si>
  <si>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</si>
  <si>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</si>
  <si>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</si>
  <si>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</si>
  <si>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</si>
  <si>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</si>
  <si>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</si>
  <si>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</si>
  <si>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</si>
  <si>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</si>
  <si>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</si>
  <si>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</si>
  <si>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</si>
  <si>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</si>
  <si>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</si>
  <si>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</si>
  <si>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</si>
  <si>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</si>
  <si>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</si>
  <si>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</si>
  <si>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</si>
  <si>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</si>
  <si>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</si>
  <si>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</si>
  <si>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</si>
  <si>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</si>
  <si>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</si>
  <si>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</si>
  <si>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</si>
  <si>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</si>
  <si>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</si>
  <si>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</si>
  <si>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</si>
  <si>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</si>
  <si>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</si>
  <si>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</si>
  <si>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</si>
  <si>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</si>
  <si>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</si>
  <si>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</si>
  <si>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</si>
  <si>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</si>
  <si>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</si>
  <si>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</si>
  <si>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</si>
  <si>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</si>
  <si>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</si>
  <si>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</si>
  <si>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</si>
  <si>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</si>
  <si>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</si>
  <si>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</si>
  <si>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</si>
  <si>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</si>
  <si>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</si>
  <si>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</si>
  <si>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</si>
  <si>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</si>
  <si>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</si>
  <si>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</si>
  <si>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</si>
  <si>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</si>
  <si>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</si>
  <si>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</si>
  <si>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</si>
  <si>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</si>
  <si>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</si>
  <si>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</si>
  <si>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</si>
  <si>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</si>
  <si>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</si>
  <si>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</si>
  <si>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</si>
  <si>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</si>
  <si>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</si>
  <si>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</si>
  <si>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</si>
  <si>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</si>
  <si>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</si>
  <si>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</si>
  <si>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</si>
  <si>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</si>
  <si>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</si>
  <si>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</si>
  <si>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</si>
  <si>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</si>
  <si>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</si>
  <si>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</si>
  <si>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</si>
  <si>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</si>
  <si>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</si>
  <si>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</si>
  <si>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</si>
  <si>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</si>
  <si>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</si>
  <si>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</si>
  <si>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</si>
  <si>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</si>
  <si>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</si>
  <si>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</si>
  <si>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</si>
  <si>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</si>
  <si>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</si>
  <si>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</si>
  <si>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</si>
  <si>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</si>
  <si>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</si>
  <si>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</si>
  <si>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</si>
  <si>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</si>
  <si>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</si>
  <si>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</si>
  <si>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</si>
  <si>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</si>
  <si>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</si>
  <si>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</si>
  <si>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</si>
  <si>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</si>
  <si>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</si>
  <si>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</si>
  <si>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</si>
  <si>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</si>
  <si>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</si>
  <si>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</si>
  <si>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</si>
  <si>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</si>
  <si>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</si>
  <si>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</si>
  <si>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</si>
  <si>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</si>
  <si>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</si>
  <si>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</si>
  <si>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</si>
  <si>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</si>
  <si>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</si>
  <si>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</si>
  <si>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</si>
  <si>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</si>
  <si>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</si>
  <si>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</si>
  <si>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</si>
  <si>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</si>
  <si>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</si>
  <si>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</si>
  <si>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</si>
  <si>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</si>
  <si>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</si>
  <si>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</si>
  <si>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</si>
  <si>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</si>
  <si>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</si>
  <si>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</si>
  <si>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</si>
  <si>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</si>
  <si>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</si>
  <si>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</si>
  <si>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</si>
  <si>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</si>
  <si>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</si>
  <si>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</si>
  <si>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</si>
  <si>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</si>
  <si>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</si>
  <si>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</si>
  <si>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</si>
  <si>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</si>
  <si>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</si>
  <si>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</si>
  <si>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</si>
  <si>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</si>
  <si>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</si>
  <si>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</si>
  <si>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</si>
  <si>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</si>
  <si>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</si>
  <si>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</si>
  <si>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</si>
  <si>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</si>
  <si>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</si>
  <si>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</si>
  <si>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</si>
  <si>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</si>
  <si>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</si>
  <si>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</si>
  <si>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</si>
  <si>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</si>
  <si>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</si>
  <si>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</si>
  <si>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</si>
  <si>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</si>
  <si>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</si>
  <si>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</si>
  <si>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</si>
  <si>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</si>
  <si>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</si>
  <si>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</si>
  <si>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</si>
  <si>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</si>
  <si>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</si>
  <si>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</si>
  <si>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</si>
  <si>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</si>
  <si>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</si>
  <si>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</si>
  <si>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</si>
  <si>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</si>
  <si>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</si>
  <si>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</si>
  <si>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</si>
  <si>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</si>
  <si>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</si>
  <si>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</si>
  <si>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</si>
  <si>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</si>
  <si>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</si>
  <si>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</si>
  <si>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</si>
  <si>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</si>
  <si>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</si>
  <si>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</si>
  <si>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</si>
  <si>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</si>
  <si>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</si>
  <si>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</si>
  <si>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</si>
  <si>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</si>
  <si>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</si>
  <si>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</si>
  <si>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</si>
  <si>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</si>
  <si>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</si>
  <si>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</si>
  <si>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</si>
  <si>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</si>
  <si>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</si>
  <si>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</si>
  <si>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</si>
  <si>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</si>
  <si>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</si>
  <si>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</si>
  <si>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</si>
  <si>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</si>
  <si>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</si>
  <si>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</si>
  <si>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</si>
  <si>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</si>
  <si>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</si>
  <si>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</si>
  <si>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</si>
  <si>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</si>
  <si>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</si>
  <si>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</si>
  <si>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</si>
  <si>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</si>
  <si>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</si>
  <si>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</si>
  <si>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</si>
  <si>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</si>
  <si>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</si>
  <si>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</si>
  <si>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</si>
  <si>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</si>
  <si>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</si>
  <si>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</si>
  <si>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</si>
  <si>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</si>
  <si>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</si>
  <si>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</si>
  <si>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</si>
  <si>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</si>
  <si>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</si>
  <si>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</si>
  <si>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</si>
  <si>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</si>
  <si>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</si>
  <si>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</si>
  <si>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</si>
  <si>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</si>
  <si>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</si>
  <si>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</si>
  <si>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</si>
  <si>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</si>
  <si>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</si>
  <si>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</si>
  <si>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</si>
  <si>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</si>
  <si>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</si>
  <si>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</si>
  <si>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</si>
  <si>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</si>
  <si>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</si>
  <si>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</si>
  <si>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</si>
  <si>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</si>
  <si>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</si>
  <si>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</si>
  <si>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</si>
  <si>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</si>
  <si>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</si>
  <si>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</si>
  <si>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</si>
  <si>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</si>
  <si>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</si>
  <si>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</si>
  <si>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</si>
  <si>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</si>
  <si>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</si>
  <si>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</si>
  <si>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</si>
  <si>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</si>
  <si>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</si>
  <si>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</si>
  <si>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</si>
  <si>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</si>
  <si>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</si>
  <si>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</si>
  <si>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</si>
  <si>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</si>
  <si>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</si>
  <si>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</si>
  <si>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</si>
  <si>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</si>
  <si>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</si>
  <si>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</si>
  <si>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</si>
  <si>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</si>
  <si>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</si>
  <si>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</si>
  <si>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</si>
  <si>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</si>
  <si>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</si>
  <si>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</si>
  <si>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</si>
  <si>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</si>
  <si>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</si>
  <si>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</si>
  <si>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</si>
  <si>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</si>
  <si>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</si>
  <si>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</si>
  <si>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</si>
  <si>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</si>
  <si>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</si>
  <si>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</si>
  <si>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</si>
  <si>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</si>
  <si>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</si>
  <si>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</si>
  <si>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</si>
  <si>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</si>
  <si>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</si>
  <si>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</si>
  <si>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</si>
  <si>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</si>
  <si>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</si>
  <si>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</si>
  <si>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</si>
  <si>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</si>
  <si>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</si>
  <si>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</si>
  <si>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</si>
  <si>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</si>
  <si>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</si>
  <si>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</si>
  <si>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</si>
  <si>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</si>
  <si>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</si>
  <si>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</si>
  <si>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</si>
  <si>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</si>
  <si>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</si>
  <si>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</si>
  <si>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</si>
  <si>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</si>
  <si>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</si>
  <si>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</si>
  <si>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</si>
  <si>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</si>
  <si>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</si>
  <si>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</si>
  <si>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</si>
  <si>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</si>
  <si>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</si>
  <si>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</si>
  <si>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</si>
  <si>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</si>
  <si>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</si>
  <si>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</si>
  <si>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</si>
  <si>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</si>
  <si>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</si>
  <si>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</si>
  <si>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</si>
  <si>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</si>
  <si>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</si>
  <si>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</si>
  <si>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</si>
  <si>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</si>
  <si>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</si>
  <si>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</si>
  <si>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</si>
  <si>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</si>
  <si>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</si>
  <si>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</si>
  <si>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</si>
  <si>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</si>
  <si>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</si>
  <si>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</si>
  <si>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</si>
  <si>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</si>
  <si>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</si>
  <si>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</si>
  <si>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</si>
  <si>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</si>
  <si>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</si>
  <si>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</si>
  <si>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</si>
  <si>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</si>
  <si>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</si>
  <si>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</si>
  <si>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</si>
  <si>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</si>
  <si>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</si>
  <si>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</si>
  <si>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</si>
  <si>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</si>
  <si>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</si>
  <si>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</si>
  <si>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</si>
  <si>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</si>
  <si>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</si>
  <si>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</si>
  <si>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</si>
  <si>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</si>
  <si>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</si>
  <si>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</si>
  <si>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</si>
  <si>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</si>
  <si>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</si>
  <si>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</si>
  <si>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</si>
  <si>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</si>
  <si>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</si>
  <si>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</si>
  <si>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</si>
  <si>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</si>
  <si>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</si>
  <si>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</si>
  <si>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</si>
  <si>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</si>
  <si>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</si>
  <si>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</si>
  <si>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</si>
  <si>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</si>
  <si>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</si>
  <si>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</si>
  <si>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</si>
  <si>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</si>
  <si>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</si>
  <si>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</si>
  <si>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</si>
  <si>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</si>
  <si>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</si>
  <si>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</si>
  <si>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</si>
  <si>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</si>
  <si>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</si>
  <si>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</si>
  <si>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</si>
  <si>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</si>
  <si>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</si>
  <si>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</si>
  <si>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</si>
  <si>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</si>
  <si>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</si>
  <si>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</si>
  <si>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</si>
  <si>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</si>
  <si>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</si>
  <si>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</si>
  <si>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</si>
  <si>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</si>
  <si>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</si>
  <si>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</si>
  <si>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</si>
  <si>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</si>
  <si>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</si>
  <si>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</si>
  <si>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</si>
  <si>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</si>
  <si>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</si>
  <si>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</si>
  <si>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</si>
  <si>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</si>
  <si>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</si>
  <si>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</si>
  <si>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</si>
  <si>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</si>
  <si>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</si>
  <si>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</si>
  <si>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</si>
  <si>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</si>
  <si>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</si>
  <si>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</si>
  <si>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</si>
  <si>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</si>
  <si>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</si>
  <si>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</si>
  <si>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</si>
  <si>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</si>
  <si>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</si>
  <si>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</si>
  <si>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</si>
  <si>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</si>
  <si>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</si>
  <si>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</si>
  <si>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</si>
  <si>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</si>
  <si>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</si>
  <si>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</si>
  <si>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</si>
  <si>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</si>
  <si>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</si>
  <si>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</si>
  <si>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</si>
  <si>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</si>
  <si>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</si>
  <si>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</si>
  <si>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</si>
  <si>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</si>
  <si>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</si>
  <si>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</si>
  <si>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</si>
  <si>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</si>
  <si>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</si>
  <si>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</si>
  <si>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</si>
  <si>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</si>
  <si>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</si>
  <si>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</si>
  <si>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</si>
  <si>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</si>
  <si>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</si>
  <si>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</si>
  <si>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</si>
  <si>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</si>
  <si>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</si>
  <si>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</si>
  <si>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</si>
  <si>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</si>
  <si>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</si>
  <si>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</si>
  <si>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</si>
  <si>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</si>
  <si>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</si>
  <si>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</si>
  <si>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</si>
  <si>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</si>
  <si>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</si>
  <si>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</si>
  <si>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</si>
  <si>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</si>
  <si>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</si>
  <si>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</si>
  <si>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</si>
  <si>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</si>
  <si>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</si>
  <si>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</si>
  <si>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</si>
  <si>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</si>
  <si>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</si>
  <si>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</si>
  <si>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</si>
  <si>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</si>
  <si>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</si>
  <si>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</si>
  <si>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</si>
  <si>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</si>
  <si>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</si>
  <si>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</si>
  <si>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</si>
  <si>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</si>
  <si>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</si>
  <si>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</si>
  <si>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</si>
  <si>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</si>
  <si>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</si>
  <si>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</si>
  <si>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</si>
  <si>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</si>
  <si>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</si>
  <si>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</si>
  <si>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</si>
  <si>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</si>
  <si>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</si>
  <si>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</si>
  <si>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</si>
  <si>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</si>
  <si>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</si>
  <si>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</si>
  <si>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</si>
  <si>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</si>
  <si>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</si>
  <si>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</si>
  <si>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</si>
  <si>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</si>
  <si>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</si>
  <si>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</si>
  <si>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</si>
  <si>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</si>
  <si>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</si>
  <si>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</si>
  <si>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</si>
  <si>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</si>
  <si>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</si>
  <si>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</si>
  <si>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</si>
  <si>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</si>
  <si>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</si>
  <si>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</si>
  <si>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</si>
  <si>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</si>
  <si>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</si>
  <si>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</si>
  <si>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</si>
  <si>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</si>
  <si>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</si>
  <si>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</si>
  <si>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</si>
  <si>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</si>
  <si>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</si>
  <si>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</si>
  <si>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</si>
  <si>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</si>
  <si>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</si>
  <si>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</si>
  <si>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</si>
  <si>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</si>
  <si>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</si>
  <si>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</si>
  <si>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</si>
  <si>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</si>
  <si>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</si>
  <si>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</si>
  <si>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</si>
  <si>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</si>
  <si>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</si>
  <si>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</si>
  <si>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</si>
  <si>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</si>
  <si>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</si>
  <si>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</si>
  <si>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</si>
  <si>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</si>
  <si>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</si>
  <si>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</si>
  <si>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</si>
  <si>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</si>
  <si>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</si>
  <si>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</si>
  <si>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</si>
  <si>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</si>
  <si>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</si>
  <si>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</si>
  <si>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</si>
  <si>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</si>
  <si>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</si>
  <si>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</si>
  <si>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</si>
  <si>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</si>
  <si>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</si>
  <si>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</si>
  <si>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</si>
  <si>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</si>
  <si>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</si>
  <si>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</si>
  <si>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</si>
  <si>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</si>
  <si>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</si>
  <si>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</si>
  <si>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</si>
  <si>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</si>
  <si>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</si>
  <si>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</si>
  <si>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</si>
  <si>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</si>
  <si>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</si>
  <si>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</si>
  <si>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</si>
  <si>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</si>
  <si>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</si>
  <si>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</si>
  <si>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</si>
  <si>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</si>
  <si>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</si>
  <si>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</si>
  <si>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</si>
  <si>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</si>
  <si>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</si>
  <si>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</si>
  <si>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</si>
  <si>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</si>
  <si>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</si>
  <si>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</si>
  <si>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</si>
  <si>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</si>
  <si>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</si>
  <si>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</si>
  <si>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</si>
  <si>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</si>
  <si>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</si>
  <si>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</si>
  <si>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</si>
  <si>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</si>
  <si>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</si>
  <si>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</si>
  <si>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</si>
  <si>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</si>
  <si>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</si>
  <si>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</si>
  <si>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</si>
  <si>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</si>
  <si>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</si>
  <si>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</si>
  <si>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</si>
  <si>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</si>
  <si>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</si>
  <si>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</si>
  <si>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</si>
  <si>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</si>
  <si>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</si>
  <si>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</si>
  <si>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</si>
  <si>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</si>
  <si>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</si>
  <si>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</si>
  <si>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</si>
  <si>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</si>
  <si>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</si>
  <si>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</si>
  <si>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</si>
  <si>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</si>
  <si>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</si>
  <si>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</si>
  <si>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</si>
  <si>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</si>
  <si>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</si>
  <si>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</si>
  <si>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</si>
  <si>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</si>
  <si>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</si>
  <si>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</si>
  <si>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</si>
  <si>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</si>
  <si>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</si>
  <si>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</si>
  <si>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</si>
  <si>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</si>
  <si>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</si>
  <si>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</si>
  <si>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</si>
  <si>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</si>
  <si>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</si>
  <si>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</si>
  <si>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</si>
  <si>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</si>
  <si>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</si>
  <si>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</si>
  <si>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</si>
  <si>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</si>
  <si>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</si>
  <si>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</si>
  <si>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</si>
  <si>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</si>
  <si>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</si>
  <si>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</si>
  <si>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</si>
  <si>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</si>
  <si>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</si>
  <si>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</si>
  <si>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</si>
  <si>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</si>
  <si>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</si>
  <si>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</si>
  <si>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</si>
  <si>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</si>
  <si>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</si>
  <si>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</si>
  <si>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</si>
  <si>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</si>
  <si>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</si>
  <si>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</si>
  <si>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</si>
  <si>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</si>
  <si>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</si>
  <si>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</si>
  <si>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</si>
  <si>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</si>
  <si>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</si>
  <si>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</si>
  <si>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</si>
  <si>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</si>
  <si>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</si>
  <si>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</si>
  <si>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</si>
  <si>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</si>
  <si>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</si>
  <si>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</si>
  <si>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</si>
  <si>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</si>
  <si>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</si>
  <si>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</si>
  <si>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</si>
  <si>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</si>
  <si>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</si>
  <si>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</si>
  <si>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</si>
  <si>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</si>
  <si>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</si>
  <si>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</si>
  <si>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</si>
  <si>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</si>
  <si>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</si>
  <si>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</si>
  <si>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</si>
  <si>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</si>
  <si>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</si>
  <si>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</si>
  <si>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</si>
  <si>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</si>
  <si>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</si>
  <si>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</si>
  <si>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</si>
  <si>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</si>
  <si>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</si>
  <si>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</si>
  <si>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</si>
  <si>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</si>
  <si>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</si>
  <si>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</si>
  <si>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</si>
  <si>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</si>
  <si>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</si>
  <si>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</si>
  <si>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</si>
  <si>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</si>
  <si>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</si>
  <si>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</si>
  <si>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</si>
  <si>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</si>
  <si>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</si>
  <si>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</si>
  <si>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</si>
  <si>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</si>
  <si>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</si>
  <si>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</si>
  <si>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</si>
  <si>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</si>
  <si>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</si>
  <si>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</si>
  <si>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</si>
  <si>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</si>
  <si>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</si>
  <si>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</si>
  <si>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</si>
  <si>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</si>
  <si>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</si>
  <si>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</si>
  <si>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</si>
  <si>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</si>
  <si>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</si>
  <si>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</si>
  <si>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</si>
  <si>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</si>
  <si>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</si>
  <si>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</si>
  <si>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</si>
  <si>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</si>
  <si>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</si>
  <si>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</si>
  <si>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</si>
  <si>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</si>
  <si>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</si>
  <si>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</si>
  <si>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</si>
  <si>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</si>
  <si>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</si>
  <si>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</si>
  <si>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</si>
  <si>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</si>
  <si>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</si>
  <si>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</si>
  <si>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</si>
  <si>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</si>
  <si>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</si>
  <si>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</si>
  <si>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</si>
  <si>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</si>
  <si>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</si>
  <si>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</si>
  <si>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</si>
  <si>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</si>
  <si>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</si>
  <si>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</si>
  <si>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</si>
  <si>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</si>
  <si>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</si>
  <si>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</si>
  <si>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</si>
  <si>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</si>
  <si>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</si>
  <si>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</si>
  <si>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</si>
  <si>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</si>
  <si>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</si>
  <si>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</si>
  <si>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</si>
  <si>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</si>
  <si>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</si>
  <si>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</si>
  <si>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</si>
  <si>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</si>
  <si>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</si>
  <si>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</si>
  <si>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</si>
  <si>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</si>
  <si>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</si>
  <si>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</si>
  <si>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</si>
  <si>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</si>
  <si>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</si>
  <si>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</si>
  <si>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</si>
  <si>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</si>
  <si>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</si>
  <si>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</si>
  <si>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</si>
  <si>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</si>
  <si>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</si>
  <si>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</si>
  <si>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</si>
  <si>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</si>
  <si>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</si>
  <si>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</si>
  <si>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</si>
  <si>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</si>
  <si>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</si>
  <si>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</si>
  <si>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</si>
  <si>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</si>
  <si>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</si>
  <si>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</si>
  <si>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</si>
  <si>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</si>
  <si>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</si>
  <si>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</si>
  <si>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</si>
  <si>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</si>
  <si>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</si>
  <si>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</si>
  <si>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</si>
  <si>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</si>
  <si>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</si>
  <si>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</si>
  <si>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</si>
  <si>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</si>
  <si>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</si>
  <si>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</si>
  <si>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</si>
  <si>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</si>
  <si>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</si>
  <si>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</si>
  <si>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</si>
  <si>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</si>
  <si>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</si>
  <si>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</si>
  <si>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</si>
  <si>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</si>
  <si>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</si>
  <si>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</si>
  <si>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</si>
  <si>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</si>
  <si>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</si>
  <si>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</si>
  <si>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</si>
  <si>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</si>
  <si>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</si>
  <si>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</si>
  <si>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</si>
  <si>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</si>
  <si>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</si>
  <si>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</si>
  <si>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</si>
  <si>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</si>
  <si>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</si>
  <si>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</si>
  <si>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</si>
  <si>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</si>
  <si>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</si>
  <si>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</si>
  <si>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</si>
  <si>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</si>
  <si>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</si>
  <si>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</si>
  <si>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</si>
  <si>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</si>
  <si>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</si>
  <si>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</si>
  <si>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</si>
  <si>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</si>
  <si>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</si>
  <si>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</si>
  <si>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</si>
  <si>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</si>
  <si>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</si>
  <si>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</si>
  <si>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</si>
  <si>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</si>
  <si>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</si>
  <si>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</si>
  <si>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</si>
  <si>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</si>
  <si>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</si>
  <si>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</si>
  <si>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</si>
  <si>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</si>
  <si>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</si>
  <si>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</si>
  <si>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</si>
  <si>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</si>
  <si>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</si>
  <si>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</si>
  <si>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</si>
  <si>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</si>
  <si>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</si>
  <si>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</si>
  <si>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</si>
  <si>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</si>
  <si>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</si>
  <si>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</si>
  <si>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</si>
  <si>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</si>
  <si>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</si>
  <si>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</si>
  <si>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</si>
  <si>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</si>
  <si>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</si>
  <si>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</si>
  <si>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</si>
  <si>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</si>
  <si>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</si>
  <si>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</si>
  <si>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</si>
  <si>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</si>
  <si>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</si>
  <si>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</si>
  <si>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</si>
  <si>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</si>
  <si>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</si>
  <si>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</si>
  <si>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</si>
  <si>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</si>
  <si>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</si>
  <si>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</si>
  <si>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</si>
  <si>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</si>
  <si>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</si>
  <si>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</si>
  <si>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</si>
  <si>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</si>
  <si>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</si>
  <si>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</si>
  <si>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</si>
  <si>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</si>
  <si>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</si>
  <si>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</si>
  <si>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</si>
  <si>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</si>
  <si>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</si>
  <si>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</si>
  <si>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</si>
  <si>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</si>
  <si>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</si>
  <si>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</si>
  <si>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</si>
  <si>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</si>
  <si>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</si>
  <si>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</si>
  <si>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</si>
  <si>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</si>
  <si>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</si>
  <si>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</si>
  <si>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</si>
  <si>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</si>
  <si>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</si>
  <si>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</si>
  <si>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</si>
  <si>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</si>
  <si>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</si>
  <si>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</si>
  <si>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</si>
  <si>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</si>
  <si>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</si>
  <si>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</si>
  <si>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</si>
  <si>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</si>
  <si>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</si>
  <si>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</si>
  <si>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</si>
  <si>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</si>
  <si>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</si>
  <si>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</si>
  <si>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</si>
  <si>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</si>
  <si>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</si>
  <si>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</si>
  <si>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</si>
  <si>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</si>
  <si>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</si>
  <si>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</si>
  <si>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</si>
  <si>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</si>
  <si>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</si>
  <si>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</si>
  <si>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</si>
  <si>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</si>
  <si>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</si>
  <si>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</si>
  <si>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</si>
  <si>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</si>
  <si>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</si>
  <si>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</si>
  <si>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</si>
  <si>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</si>
  <si>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</si>
  <si>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</si>
  <si>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</si>
  <si>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</si>
  <si>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</si>
  <si>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</si>
  <si>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</si>
  <si>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</si>
  <si>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</si>
  <si>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</si>
  <si>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</si>
  <si>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</si>
  <si>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</si>
  <si>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</si>
  <si>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</si>
  <si>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</si>
  <si>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</si>
  <si>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</si>
  <si>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</si>
  <si>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</si>
  <si>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</si>
  <si>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</si>
  <si>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</si>
  <si>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</si>
  <si>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</si>
  <si>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</si>
  <si>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</si>
  <si>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</si>
  <si>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</si>
  <si>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</si>
  <si>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</si>
  <si>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</si>
  <si>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</si>
  <si>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</si>
  <si>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</si>
  <si>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</si>
  <si>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</si>
  <si>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</si>
  <si>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</si>
  <si>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</si>
  <si>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</si>
  <si>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</si>
  <si>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</si>
  <si>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</si>
  <si>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</si>
  <si>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</si>
  <si>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</si>
  <si>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</si>
  <si>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</si>
  <si>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</si>
  <si>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</si>
  <si>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</si>
  <si>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</si>
  <si>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</si>
  <si>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</si>
  <si>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</si>
  <si>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</si>
  <si>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</si>
  <si>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</si>
  <si>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</si>
  <si>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</si>
  <si>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</si>
  <si>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</si>
  <si>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</si>
  <si>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</si>
  <si>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</si>
  <si>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</si>
  <si>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</si>
  <si>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</si>
  <si>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</si>
  <si>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</si>
  <si>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</si>
  <si>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</si>
  <si>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</si>
  <si>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</si>
  <si>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</si>
  <si>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</si>
  <si>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</si>
  <si>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</si>
  <si>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</si>
  <si>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</si>
  <si>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</si>
  <si>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</si>
  <si>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</si>
  <si>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</si>
  <si>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</si>
  <si>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</si>
  <si>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</si>
  <si>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</si>
  <si>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</si>
  <si>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</si>
  <si>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</si>
  <si>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</si>
  <si>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</si>
  <si>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</si>
  <si>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</si>
  <si>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</si>
  <si>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</si>
  <si>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</si>
  <si>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</si>
  <si>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</si>
  <si>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</si>
  <si>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</si>
  <si>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</si>
  <si>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</si>
  <si>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</si>
  <si>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</si>
  <si>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</si>
  <si>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</si>
  <si>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</si>
  <si>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</si>
  <si>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</si>
  <si>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</si>
  <si>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</si>
  <si>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</si>
  <si>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</si>
  <si>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</si>
  <si>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</si>
  <si>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</si>
  <si>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</si>
  <si>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</si>
  <si>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</si>
  <si>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</si>
  <si>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</si>
  <si>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</si>
  <si>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</si>
  <si>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</si>
  <si>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</si>
  <si>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</si>
  <si>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</si>
  <si>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</si>
  <si>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</si>
  <si>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</si>
  <si>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</si>
  <si>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</si>
  <si>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</si>
  <si>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</si>
  <si>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</si>
  <si>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</si>
  <si>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</si>
  <si>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</si>
  <si>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</si>
  <si>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</si>
  <si>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</si>
  <si>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</si>
  <si>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</si>
  <si>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</si>
  <si>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</si>
  <si>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</si>
  <si>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</si>
  <si>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</si>
  <si>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</si>
  <si>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</si>
  <si>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</si>
  <si>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</si>
  <si>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</si>
  <si>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</si>
  <si>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</si>
  <si>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</si>
  <si>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</si>
  <si>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</si>
  <si>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</si>
  <si>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</si>
  <si>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</si>
  <si>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</si>
  <si>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</si>
  <si>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</si>
  <si>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</si>
  <si>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</si>
  <si>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</si>
  <si>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</si>
  <si>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</si>
  <si>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</si>
  <si>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</si>
  <si>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</si>
  <si>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</si>
  <si>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</si>
  <si>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</si>
  <si>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</si>
  <si>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</si>
  <si>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</si>
  <si>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</si>
  <si>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</si>
  <si>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</si>
  <si>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</si>
  <si>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</si>
  <si>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</si>
  <si>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</si>
  <si>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</si>
  <si>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</si>
  <si>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</si>
  <si>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</si>
  <si>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</si>
  <si>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</si>
  <si>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</si>
  <si>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</si>
  <si>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</si>
  <si>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</si>
  <si>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</si>
  <si>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</si>
  <si>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</si>
  <si>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</si>
  <si>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</si>
  <si>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</si>
  <si>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</si>
  <si>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</si>
  <si>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</si>
  <si>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</si>
  <si>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</si>
  <si>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</si>
  <si>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</si>
  <si>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</si>
  <si>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</si>
  <si>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</si>
  <si>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</si>
  <si>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</si>
  <si>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</si>
  <si>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</si>
  <si>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</si>
  <si>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</si>
  <si>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</si>
  <si>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</si>
  <si>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</si>
  <si>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</si>
  <si>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</si>
  <si>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</si>
  <si>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</si>
  <si>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</si>
  <si>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</si>
  <si>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</si>
  <si>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</si>
  <si>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</si>
  <si>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</si>
  <si>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</si>
  <si>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</si>
  <si>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</si>
  <si>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</si>
  <si>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</si>
  <si>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</si>
  <si>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</si>
  <si>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</si>
  <si>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</si>
  <si>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</si>
  <si>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</si>
  <si>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</si>
  <si>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</si>
  <si>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</si>
  <si>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</si>
  <si>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</si>
  <si>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</si>
  <si>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</si>
  <si>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</si>
  <si>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</si>
  <si>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</si>
  <si>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</si>
  <si>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</si>
  <si>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</si>
  <si>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</si>
  <si>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</si>
  <si>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</si>
  <si>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</si>
  <si>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</si>
  <si>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</si>
  <si>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</si>
  <si>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</si>
  <si>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</si>
  <si>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</si>
  <si>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</si>
  <si>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</si>
  <si>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</si>
  <si>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</si>
  <si>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</si>
  <si>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</si>
  <si>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</si>
  <si>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</si>
  <si>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</si>
  <si>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</si>
  <si>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</si>
  <si>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</si>
  <si>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</si>
  <si>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</si>
  <si>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</si>
  <si>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</si>
  <si>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</si>
  <si>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</si>
  <si>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</si>
  <si>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</si>
  <si>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</si>
  <si>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</si>
  <si>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</si>
  <si>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</si>
  <si>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</si>
  <si>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</si>
  <si>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</si>
  <si>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</si>
  <si>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</si>
  <si>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</si>
  <si>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</si>
  <si>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</si>
  <si>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</si>
  <si>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</si>
  <si>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</si>
  <si>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</si>
  <si>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</si>
  <si>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</si>
  <si>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</si>
  <si>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</si>
  <si>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</si>
  <si>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</si>
  <si>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</si>
  <si>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</si>
  <si>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</si>
  <si>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</si>
  <si>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</si>
  <si>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</si>
  <si>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</si>
  <si>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</si>
  <si>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</si>
  <si>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</si>
  <si>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</si>
  <si>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</si>
  <si>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</si>
  <si>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</si>
  <si>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</si>
  <si>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</si>
  <si>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</si>
  <si>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</si>
  <si>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</si>
  <si>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</si>
  <si>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</si>
  <si>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</si>
  <si>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</si>
  <si>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</si>
  <si>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</si>
  <si>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</si>
  <si>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</si>
  <si>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</si>
  <si>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</si>
  <si>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</si>
  <si>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</si>
  <si>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</si>
  <si>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</si>
  <si>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</si>
  <si>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</si>
  <si>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</si>
  <si>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</si>
  <si>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</si>
  <si>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</si>
  <si>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</si>
  <si>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</si>
  <si>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</si>
  <si>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</si>
  <si>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</si>
  <si>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</si>
  <si>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</si>
  <si>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</si>
  <si>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</si>
  <si>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</si>
  <si>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</si>
  <si>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</si>
  <si>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</si>
  <si>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</si>
  <si>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</si>
  <si>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</si>
  <si>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</si>
  <si>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</si>
  <si>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</si>
  <si>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</si>
  <si>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</si>
  <si>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</si>
  <si>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</si>
  <si>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</si>
  <si>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</si>
  <si>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</si>
  <si>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</si>
  <si>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</si>
  <si>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</si>
  <si>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</si>
  <si>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</si>
  <si>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</si>
  <si>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</si>
  <si>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</si>
  <si>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</si>
  <si>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</si>
  <si>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</si>
  <si>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</si>
  <si>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</si>
  <si>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</si>
  <si>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</si>
  <si>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</si>
  <si>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</si>
  <si>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</si>
  <si>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</si>
  <si>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</si>
  <si>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</si>
  <si>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</si>
  <si>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</si>
  <si>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</si>
  <si>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</si>
  <si>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</si>
  <si>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</si>
  <si>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</si>
  <si>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</si>
  <si>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</si>
  <si>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</si>
  <si>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</si>
  <si>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</si>
  <si>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</si>
  <si>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</si>
  <si>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</si>
  <si>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</si>
  <si>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</si>
  <si>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</si>
  <si>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</si>
  <si>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</si>
  <si>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</si>
  <si>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</si>
  <si>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</si>
  <si>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</si>
  <si>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</si>
  <si>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</si>
  <si>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</si>
  <si>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</si>
  <si>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</si>
  <si>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</si>
  <si>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</si>
  <si>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</si>
  <si>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</si>
  <si>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</si>
  <si>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</si>
  <si>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</si>
  <si>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</si>
  <si>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</si>
  <si>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</si>
  <si>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</si>
  <si>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</si>
  <si>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</si>
  <si>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</si>
  <si>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</si>
  <si>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</si>
  <si>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</si>
  <si>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</si>
  <si>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</si>
  <si>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</si>
  <si>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</si>
  <si>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</si>
  <si>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</si>
  <si>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</si>
  <si>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</si>
  <si>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</si>
  <si>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</si>
  <si>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</si>
  <si>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</si>
  <si>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</si>
  <si>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</si>
  <si>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</si>
  <si>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</si>
  <si>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</si>
  <si>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</si>
  <si>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</si>
  <si>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</si>
  <si>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</si>
  <si>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</si>
  <si>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</si>
  <si>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</si>
  <si>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</si>
  <si>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</si>
  <si>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</si>
  <si>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</si>
  <si>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</si>
  <si>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</si>
  <si>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</si>
  <si>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</si>
  <si>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</si>
  <si>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</si>
  <si>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</si>
  <si>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</si>
  <si>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</si>
  <si>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</si>
  <si>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</si>
  <si>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</si>
  <si>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</si>
  <si>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</si>
  <si>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</si>
  <si>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</si>
  <si>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</si>
  <si>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</si>
  <si>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</si>
  <si>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</si>
  <si>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</si>
  <si>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</si>
  <si>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</si>
  <si>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</si>
  <si>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</si>
  <si>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</si>
  <si>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</si>
  <si>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</si>
  <si>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</si>
  <si>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</si>
  <si>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</si>
  <si>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</si>
  <si>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</si>
  <si>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</si>
  <si>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</si>
  <si>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</si>
  <si>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</si>
  <si>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</si>
  <si>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</si>
  <si>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</si>
  <si>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</si>
  <si>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</si>
  <si>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</si>
  <si>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</si>
  <si>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</si>
  <si>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</si>
  <si>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</si>
  <si>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</si>
  <si>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</si>
  <si>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</si>
  <si>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</si>
  <si>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</si>
  <si>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</si>
  <si>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</si>
  <si>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</si>
  <si>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</si>
  <si>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</si>
  <si>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</si>
  <si>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</si>
  <si>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</si>
  <si>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</si>
  <si>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</si>
  <si>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</si>
  <si>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</si>
  <si>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</si>
  <si>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</si>
  <si>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</si>
  <si>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</si>
  <si>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</si>
  <si>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</si>
  <si>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</si>
  <si>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</si>
  <si>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</si>
  <si>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</si>
  <si>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</si>
  <si>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</si>
  <si>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</si>
  <si>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</si>
  <si>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</si>
  <si>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</si>
  <si>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</si>
  <si>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</si>
  <si>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</si>
  <si>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</si>
  <si>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</si>
  <si>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</si>
  <si>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</si>
  <si>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</si>
  <si>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</si>
  <si>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</si>
  <si>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</si>
  <si>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</si>
  <si>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</si>
  <si>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</si>
  <si>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</si>
  <si>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</si>
  <si>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</si>
  <si>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</si>
  <si>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</si>
  <si>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</si>
  <si>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</si>
  <si>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</si>
  <si>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</si>
  <si>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</si>
  <si>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</si>
  <si>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</si>
  <si>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</si>
  <si>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</si>
  <si>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</si>
  <si>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</si>
  <si>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</si>
  <si>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</si>
  <si>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</si>
  <si>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</si>
  <si>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</si>
  <si>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</si>
  <si>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</si>
  <si>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</si>
  <si>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</si>
  <si>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</si>
  <si>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</si>
  <si>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</si>
  <si>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</si>
  <si>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</si>
  <si>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</si>
  <si>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</si>
  <si>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</si>
  <si>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</si>
  <si>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</si>
  <si>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</si>
  <si>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</si>
  <si>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</si>
  <si>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</si>
  <si>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</si>
  <si>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</si>
  <si>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</si>
  <si>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</si>
  <si>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</si>
  <si>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</si>
  <si>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</si>
  <si>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</si>
  <si>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</si>
  <si>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</si>
  <si>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</si>
  <si>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</si>
  <si>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</si>
  <si>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</si>
  <si>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</si>
  <si>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</si>
  <si>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</si>
  <si>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</si>
  <si>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</si>
  <si>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</si>
  <si>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</si>
  <si>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</si>
  <si>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</si>
  <si>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</si>
  <si>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</si>
  <si>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</si>
  <si>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</si>
  <si>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</si>
  <si>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</si>
  <si>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</si>
  <si>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</si>
  <si>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</si>
  <si>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</si>
  <si>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</si>
  <si>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</si>
  <si>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</si>
  <si>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</si>
  <si>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</si>
  <si>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</si>
  <si>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</si>
  <si>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</si>
  <si>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</si>
  <si>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</si>
  <si>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</si>
  <si>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</si>
  <si>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</si>
  <si>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</si>
  <si>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</si>
  <si>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</si>
  <si>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</si>
  <si>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</si>
  <si>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</si>
  <si>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</si>
  <si>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</si>
  <si>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</si>
  <si>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</si>
  <si>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</si>
  <si>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</si>
  <si>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</si>
  <si>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</si>
  <si>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</si>
  <si>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</si>
  <si>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</si>
  <si>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</si>
  <si>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</si>
  <si>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</si>
  <si>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</si>
  <si>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</si>
  <si>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</si>
  <si>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</si>
  <si>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</si>
  <si>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</si>
  <si>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</si>
  <si>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</si>
  <si>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</si>
  <si>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</si>
  <si>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</si>
  <si>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</si>
  <si>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</si>
  <si>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</si>
  <si>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</si>
  <si>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</si>
  <si>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</si>
  <si>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</si>
  <si>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</si>
  <si>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</si>
  <si>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</si>
  <si>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</si>
  <si>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</si>
  <si>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</si>
  <si>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</si>
  <si>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</si>
  <si>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</si>
  <si>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</si>
  <si>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</si>
  <si>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</si>
  <si>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</si>
  <si>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</si>
  <si>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</si>
  <si>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</si>
  <si>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</si>
  <si>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</si>
  <si>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</si>
  <si>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</si>
  <si>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</si>
  <si>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</si>
  <si>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</si>
  <si>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</si>
  <si>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</si>
  <si>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</si>
  <si>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</si>
  <si>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</si>
  <si>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</si>
  <si>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</si>
  <si>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</si>
  <si>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</si>
  <si>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</si>
  <si>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</si>
  <si>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</si>
  <si>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</si>
  <si>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</si>
  <si>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</si>
  <si>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</si>
  <si>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</si>
  <si>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</si>
  <si>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</si>
  <si>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</si>
  <si>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</si>
  <si>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</si>
  <si>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</si>
  <si>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</si>
  <si>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</si>
  <si>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</si>
  <si>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</si>
  <si>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</si>
  <si>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</si>
  <si>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</si>
  <si>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</si>
  <si>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</si>
  <si>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</si>
  <si>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</si>
  <si>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</si>
  <si>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</si>
  <si>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</si>
  <si>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</si>
  <si>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</si>
  <si>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</si>
  <si>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</si>
  <si>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</si>
  <si>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</si>
  <si>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</si>
  <si>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</si>
  <si>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</si>
  <si>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</si>
  <si>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</si>
  <si>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</si>
  <si>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</si>
  <si>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</si>
  <si>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</si>
  <si>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</si>
  <si>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</si>
  <si>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</si>
  <si>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</si>
  <si>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</si>
  <si>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</si>
  <si>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</si>
  <si>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</si>
  <si>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</si>
  <si>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</si>
  <si>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</si>
  <si>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</si>
  <si>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</si>
  <si>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</si>
  <si>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</si>
  <si>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</si>
  <si>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</si>
  <si>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</si>
  <si>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</si>
  <si>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</si>
  <si>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</si>
  <si>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</si>
  <si>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</si>
  <si>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</si>
  <si>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</si>
  <si>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</si>
  <si>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</si>
  <si>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</si>
  <si>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</si>
  <si>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</si>
  <si>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</si>
  <si>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</si>
  <si>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</si>
  <si>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</si>
  <si>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</si>
  <si>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</si>
  <si>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</si>
  <si>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</si>
  <si>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</si>
  <si>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</si>
  <si>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</si>
  <si>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</si>
  <si>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</si>
  <si>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</si>
  <si>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</si>
  <si>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</si>
  <si>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</si>
  <si>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</si>
  <si>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</si>
  <si>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</si>
  <si>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</si>
  <si>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</si>
  <si>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</si>
  <si>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</si>
  <si>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</si>
  <si>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</si>
  <si>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</si>
  <si>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</si>
  <si>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</si>
  <si>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</si>
  <si>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</si>
  <si>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</si>
  <si>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</si>
  <si>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</si>
  <si>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</si>
  <si>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</si>
  <si>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</si>
  <si>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</si>
  <si>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</si>
  <si>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</si>
  <si>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</si>
  <si>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</si>
  <si>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</si>
  <si>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</si>
  <si>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</si>
  <si>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</si>
  <si>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</si>
  <si>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</si>
  <si>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East</t>
  </si>
  <si>
    <t>West</t>
  </si>
  <si>
    <t>North</t>
  </si>
  <si>
    <t>South</t>
  </si>
  <si>
    <t>PROD133</t>
  </si>
  <si>
    <t>PROD143</t>
  </si>
  <si>
    <t>PROD158</t>
  </si>
  <si>
    <t>PROD117</t>
  </si>
  <si>
    <t>PROD142</t>
  </si>
  <si>
    <t>PROD170</t>
  </si>
  <si>
    <t>PROD104</t>
  </si>
  <si>
    <t>PROD111</t>
  </si>
  <si>
    <t>PROD187</t>
  </si>
  <si>
    <t>PROD103</t>
  </si>
  <si>
    <t>PROD125</t>
  </si>
  <si>
    <t>PROD179</t>
  </si>
  <si>
    <t>PROD126</t>
  </si>
  <si>
    <t>PROD166</t>
  </si>
  <si>
    <t>PROD178</t>
  </si>
  <si>
    <t>PROD108</t>
  </si>
  <si>
    <t>PROD189</t>
  </si>
  <si>
    <t>PROD146</t>
  </si>
  <si>
    <t>PROD184</t>
  </si>
  <si>
    <t>PROD152</t>
  </si>
  <si>
    <t>PROD197</t>
  </si>
  <si>
    <t>PROD154</t>
  </si>
  <si>
    <t>PROD135</t>
  </si>
  <si>
    <t>PROD145</t>
  </si>
  <si>
    <t>PROD107</t>
  </si>
  <si>
    <t>PROD186</t>
  </si>
  <si>
    <t>PROD122</t>
  </si>
  <si>
    <t>PROD106</t>
  </si>
  <si>
    <t>PROD144</t>
  </si>
  <si>
    <t>PROD109</t>
  </si>
  <si>
    <t>PROD128</t>
  </si>
  <si>
    <t>PROD163</t>
  </si>
  <si>
    <t>PROD194</t>
  </si>
  <si>
    <t>PROD168</t>
  </si>
  <si>
    <t>PROD105</t>
  </si>
  <si>
    <t>PROD192</t>
  </si>
  <si>
    <t>PROD171</t>
  </si>
  <si>
    <t>PROD140</t>
  </si>
  <si>
    <t>PROD119</t>
  </si>
  <si>
    <t>PROD193</t>
  </si>
  <si>
    <t>PROD188</t>
  </si>
  <si>
    <t>PROD156</t>
  </si>
  <si>
    <t>PROD118</t>
  </si>
  <si>
    <t>PROD159</t>
  </si>
  <si>
    <t>PROD195</t>
  </si>
  <si>
    <t>PROD149</t>
  </si>
  <si>
    <t>PROD123</t>
  </si>
  <si>
    <t>PROD132</t>
  </si>
  <si>
    <t>PROD137</t>
  </si>
  <si>
    <t>PROD124</t>
  </si>
  <si>
    <t>PROD169</t>
  </si>
  <si>
    <t>PROD161</t>
  </si>
  <si>
    <t>PROD141</t>
  </si>
  <si>
    <t>PROD176</t>
  </si>
  <si>
    <t>PROD164</t>
  </si>
  <si>
    <t>PROD172</t>
  </si>
  <si>
    <t>PROD102</t>
  </si>
  <si>
    <t>PROD153</t>
  </si>
  <si>
    <t>PROD183</t>
  </si>
  <si>
    <t>PROD136</t>
  </si>
  <si>
    <t>PROD198</t>
  </si>
  <si>
    <t>PROD134</t>
  </si>
  <si>
    <t>PROD162</t>
  </si>
  <si>
    <t>PROD160</t>
  </si>
  <si>
    <t>PROD130</t>
  </si>
  <si>
    <t>PROD196</t>
  </si>
  <si>
    <t>PROD180</t>
  </si>
  <si>
    <t>PROD129</t>
  </si>
  <si>
    <t>PROD114</t>
  </si>
  <si>
    <t>PROD151</t>
  </si>
  <si>
    <t>PROD173</t>
  </si>
  <si>
    <t>PROD167</t>
  </si>
  <si>
    <t>PROD155</t>
  </si>
  <si>
    <t>PROD101</t>
  </si>
  <si>
    <t>PROD148</t>
  </si>
  <si>
    <t>PROD110</t>
  </si>
  <si>
    <t>PROD115</t>
  </si>
  <si>
    <t>PROD175</t>
  </si>
  <si>
    <t>PROD100</t>
  </si>
  <si>
    <t>PROD112</t>
  </si>
  <si>
    <t>PROD191</t>
  </si>
  <si>
    <t>PROD157</t>
  </si>
  <si>
    <t>PROD113</t>
  </si>
  <si>
    <t>PROD174</t>
  </si>
  <si>
    <t>PROD185</t>
  </si>
  <si>
    <t>PROD127</t>
  </si>
  <si>
    <t>PROD116</t>
  </si>
  <si>
    <t>PROD182</t>
  </si>
  <si>
    <t>PROD177</t>
  </si>
  <si>
    <t>PROD139</t>
  </si>
  <si>
    <t>PROD165</t>
  </si>
  <si>
    <t>PROD199</t>
  </si>
  <si>
    <t>PROD147</t>
  </si>
  <si>
    <t>PROD131</t>
  </si>
  <si>
    <t>PROD181</t>
  </si>
  <si>
    <t>PROD121</t>
  </si>
  <si>
    <t>PROD138</t>
  </si>
  <si>
    <t>PROD190</t>
  </si>
  <si>
    <t>PROD150</t>
  </si>
  <si>
    <t>PROD120</t>
  </si>
  <si>
    <t>Furniture</t>
  </si>
  <si>
    <t>Electronics</t>
  </si>
  <si>
    <t>Office Supplies</t>
  </si>
  <si>
    <t>Corporate</t>
  </si>
  <si>
    <t>Small Business</t>
  </si>
  <si>
    <t>Consumer</t>
  </si>
  <si>
    <t>Product Name</t>
  </si>
  <si>
    <t>Supplier Name</t>
  </si>
  <si>
    <t>Unit Cost</t>
  </si>
  <si>
    <t>Synthesize Scalable Portals</t>
  </si>
  <si>
    <t>Harness Proactive Eyeballs</t>
  </si>
  <si>
    <t>Optimize Transparent E-Markets</t>
  </si>
  <si>
    <t>Monetize Collaborative Metrics</t>
  </si>
  <si>
    <t>Implement Clicks-And-Mortar Partnerships</t>
  </si>
  <si>
    <t>Transform Holistic Functionalities</t>
  </si>
  <si>
    <t>Synergize End-To-End Supply-Chains</t>
  </si>
  <si>
    <t>Utilize Back-End Models</t>
  </si>
  <si>
    <t>Synergize World-Class Networks</t>
  </si>
  <si>
    <t>Orchestrate E-Business Niches</t>
  </si>
  <si>
    <t>E-Enable Holistic Supply-Chains</t>
  </si>
  <si>
    <t>Harness Revolutionary Interfaces</t>
  </si>
  <si>
    <t>Seize Clicks-And-Mortar Platforms</t>
  </si>
  <si>
    <t>Envisioneer B2B Users</t>
  </si>
  <si>
    <t>Orchestrate User-Centric Platforms</t>
  </si>
  <si>
    <t>Morph World-Class Synergies</t>
  </si>
  <si>
    <t>Synergize Cross-Platform Vortals</t>
  </si>
  <si>
    <t>Revolutionize Efficient Niches</t>
  </si>
  <si>
    <t>Engineer Real-Time Architectures</t>
  </si>
  <si>
    <t>Generate Front-End Functionalities</t>
  </si>
  <si>
    <t>Mesh B2B Platforms</t>
  </si>
  <si>
    <t>Whiteboard B2B Content</t>
  </si>
  <si>
    <t>Empower Dot-Com Deliverables</t>
  </si>
  <si>
    <t>Redefine Real-Time Convergence</t>
  </si>
  <si>
    <t>Incubate Real-Time E-Tailers</t>
  </si>
  <si>
    <t>Leverage Cutting-Edge Vortals</t>
  </si>
  <si>
    <t>Streamline Innovative Architectures</t>
  </si>
  <si>
    <t>Deliver Viral Channels</t>
  </si>
  <si>
    <t>Brand Distributed Info-Mediaries</t>
  </si>
  <si>
    <t>Scale Vertical Networks</t>
  </si>
  <si>
    <t>Synthesize Wireless Initiatives</t>
  </si>
  <si>
    <t>Scale Bleeding-Edge Schemas</t>
  </si>
  <si>
    <t>Synergize End-To-End Roi</t>
  </si>
  <si>
    <t>Re-Intermediate Seamless Applications</t>
  </si>
  <si>
    <t>Utilize Ubiquitous Synergies</t>
  </si>
  <si>
    <t>Optimize 24/365 E-Services</t>
  </si>
  <si>
    <t>Evolve Innovative Web Services</t>
  </si>
  <si>
    <t>Optimize Collaborative Initiatives</t>
  </si>
  <si>
    <t>Deliver Viral Eyeballs</t>
  </si>
  <si>
    <t>Re-Contextualize Viral Mindshare</t>
  </si>
  <si>
    <t>Extend Bricks-And-Clicks Architectures</t>
  </si>
  <si>
    <t>Re-Contextualize Integrated Info-Mediaries</t>
  </si>
  <si>
    <t>Target Bricks-And-Clicks Channels</t>
  </si>
  <si>
    <t>E-Enable Synergistic Vortals</t>
  </si>
  <si>
    <t>Expedite Synergistic Web-Readiness</t>
  </si>
  <si>
    <t>Innovate Strategic Systems</t>
  </si>
  <si>
    <t>Engage Rich Web-Readiness</t>
  </si>
  <si>
    <t>Brand B2C Info-Mediaries</t>
  </si>
  <si>
    <t>Empower Seamless Roi</t>
  </si>
  <si>
    <t>Envisioneer B2C Web-Readiness</t>
  </si>
  <si>
    <t>Evolve Intuitive Bandwidth</t>
  </si>
  <si>
    <t>Re-Contextualize Viral Markets</t>
  </si>
  <si>
    <t>Reinvent Frictionless Roi</t>
  </si>
  <si>
    <t>Seize Plug-And-Play Web-Readiness</t>
  </si>
  <si>
    <t>Utilize Virtual Partnerships</t>
  </si>
  <si>
    <t>Incentivize User-Centric Mindshare</t>
  </si>
  <si>
    <t>Empower Killer Info-Mediaries</t>
  </si>
  <si>
    <t>Implement Rich Platforms</t>
  </si>
  <si>
    <t>Brand Web-Enabled Solutions</t>
  </si>
  <si>
    <t>Mesh Intuitive Supply-Chains</t>
  </si>
  <si>
    <t>Deliver Extensible Partnerships</t>
  </si>
  <si>
    <t>Synergize E-Business Deliverables</t>
  </si>
  <si>
    <t>Reinvent Visionary Niches</t>
  </si>
  <si>
    <t>Grow Back-End Supply-Chains</t>
  </si>
  <si>
    <t>Transition Compelling Web-Readiness</t>
  </si>
  <si>
    <t>Benchmark Cross-Platform Markets</t>
  </si>
  <si>
    <t>Monetize Wireless Functionalities</t>
  </si>
  <si>
    <t>Grow Synergistic Infrastructures</t>
  </si>
  <si>
    <t>Facilitate End-To-End Experiences</t>
  </si>
  <si>
    <t>Unleash End-To-End Web Services</t>
  </si>
  <si>
    <t>Deliver Sticky Networks</t>
  </si>
  <si>
    <t>Scale 24/365 Networks</t>
  </si>
  <si>
    <t>E-Enable Virtual Methodologies</t>
  </si>
  <si>
    <t>Whiteboard Sticky Content</t>
  </si>
  <si>
    <t>Disintermediate Scalable Bandwidth</t>
  </si>
  <si>
    <t>Empower Bleeding-Edge Action-Items</t>
  </si>
  <si>
    <t>Facilitate Integrated E-Business</t>
  </si>
  <si>
    <t>Deploy Granular Channels</t>
  </si>
  <si>
    <t>Monetize Value-Added Niches</t>
  </si>
  <si>
    <t>Target Viral Methodologies</t>
  </si>
  <si>
    <t>Iterate Extensible Roi</t>
  </si>
  <si>
    <t>Extend Bricks-And-Clicks Niches</t>
  </si>
  <si>
    <t>Strategize Best-Of-Breed Web-Readiness</t>
  </si>
  <si>
    <t>Incentivize Front-End Mindshare</t>
  </si>
  <si>
    <t>Embrace 24/365 Functionalities</t>
  </si>
  <si>
    <t>Generate End-To-End Functionalities</t>
  </si>
  <si>
    <t>Reinvent Mission-Critical Markets</t>
  </si>
  <si>
    <t>Whiteboard Compelling Experiences</t>
  </si>
  <si>
    <t>Transition Mission-Critical Interfaces</t>
  </si>
  <si>
    <t>E-Enable Next-Generation Experiences</t>
  </si>
  <si>
    <t>Repurpose End-To-End Networks</t>
  </si>
  <si>
    <t>Synergize Frictionless Synergies</t>
  </si>
  <si>
    <t>Drive Compelling E-Services</t>
  </si>
  <si>
    <t>Innovate Sticky Web Services</t>
  </si>
  <si>
    <t>Leverage Scalable Interfaces</t>
  </si>
  <si>
    <t>Reinvent Out-Of-The-Box Models</t>
  </si>
  <si>
    <t>Strategize E-Business Content</t>
  </si>
  <si>
    <t>Leverage Rich Portals</t>
  </si>
  <si>
    <t>Visualize Dynamic E-Commerce</t>
  </si>
  <si>
    <t>Scale Cross-Platform Web Services</t>
  </si>
  <si>
    <t>Singh, Villa and Flynn</t>
  </si>
  <si>
    <t>Moran and Sons</t>
  </si>
  <si>
    <t>Lee, Tyler and Blevins</t>
  </si>
  <si>
    <t>Ramirez-Brown</t>
  </si>
  <si>
    <t>Smith Inc</t>
  </si>
  <si>
    <t>Ruiz Ltd</t>
  </si>
  <si>
    <t>Higgins-Espinoza</t>
  </si>
  <si>
    <t>Lewis-Holden</t>
  </si>
  <si>
    <t>Gomez-Lawrence</t>
  </si>
  <si>
    <t>Johnson LLC</t>
  </si>
  <si>
    <t>Lin-Mcdaniel</t>
  </si>
  <si>
    <t>Davis, Short and Nguyen</t>
  </si>
  <si>
    <t>Owens, Campos and Wood</t>
  </si>
  <si>
    <t>Rogers Group</t>
  </si>
  <si>
    <t>Wells Ltd</t>
  </si>
  <si>
    <t>Bryant Ltd</t>
  </si>
  <si>
    <t>Edwards Group</t>
  </si>
  <si>
    <t>Lopez-Torres</t>
  </si>
  <si>
    <t>James and Sons</t>
  </si>
  <si>
    <t>Morales-Brown</t>
  </si>
  <si>
    <t>Stevens, Walton and Riddle</t>
  </si>
  <si>
    <t>Romero PLC</t>
  </si>
  <si>
    <t>Davis LLC</t>
  </si>
  <si>
    <t>Hayes, Peters and Douglas</t>
  </si>
  <si>
    <t>Johnson-Riley</t>
  </si>
  <si>
    <t>Robinson, Garrett and Chavez</t>
  </si>
  <si>
    <t>Price, Valentine and Lutz</t>
  </si>
  <si>
    <t>Parker LLC</t>
  </si>
  <si>
    <t>Garcia Ltd</t>
  </si>
  <si>
    <t>Lam, Wood and Jacobs</t>
  </si>
  <si>
    <t>Mosley Ltd</t>
  </si>
  <si>
    <t>Frazier-Schneider</t>
  </si>
  <si>
    <t>Evans-Smith</t>
  </si>
  <si>
    <t>Welch-Reed</t>
  </si>
  <si>
    <t>Kramer, Huang and Shaw</t>
  </si>
  <si>
    <t>Chase Ltd</t>
  </si>
  <si>
    <t>Bush Inc</t>
  </si>
  <si>
    <t>Adkins Ltd</t>
  </si>
  <si>
    <t>Estes, Chan and Thomas</t>
  </si>
  <si>
    <t>Carter-Lane</t>
  </si>
  <si>
    <t>Fuller PLC</t>
  </si>
  <si>
    <t>Jones-Schroeder</t>
  </si>
  <si>
    <t>Dunn, Christensen and Meyer</t>
  </si>
  <si>
    <t>Guzman Group</t>
  </si>
  <si>
    <t>Dunlap, Carpenter and Monroe</t>
  </si>
  <si>
    <t>Mcfarland, Parker and Armstrong</t>
  </si>
  <si>
    <t>Turner Inc</t>
  </si>
  <si>
    <t>Preston Ltd</t>
  </si>
  <si>
    <t>Proctor Group</t>
  </si>
  <si>
    <t>Kemp Group</t>
  </si>
  <si>
    <t>Meadows-Barber</t>
  </si>
  <si>
    <t>Bridges, Castillo and Rodriguez</t>
  </si>
  <si>
    <t>Joseph, Mayer and Carr</t>
  </si>
  <si>
    <t>Smith, Diaz and Heath</t>
  </si>
  <si>
    <t>Becker, Wright and Wong</t>
  </si>
  <si>
    <t>Jones Ltd</t>
  </si>
  <si>
    <t>Parker, Anderson and Salazar</t>
  </si>
  <si>
    <t>Russell Group</t>
  </si>
  <si>
    <t>Soto, Barnett and Heath</t>
  </si>
  <si>
    <t>Martin, Paul and Salazar</t>
  </si>
  <si>
    <t>Crawford, Warren and Williams</t>
  </si>
  <si>
    <t>Huber-Richmond</t>
  </si>
  <si>
    <t>Green LLC</t>
  </si>
  <si>
    <t>Wood-Beck</t>
  </si>
  <si>
    <t>Murphy, Mathews and Wilson</t>
  </si>
  <si>
    <t>Robinson, Rodriguez and Hernandez</t>
  </si>
  <si>
    <t>Adams-Carter</t>
  </si>
  <si>
    <t>Pierce-Goodwin</t>
  </si>
  <si>
    <t>Massey LLC</t>
  </si>
  <si>
    <t>Kim-Hamilton</t>
  </si>
  <si>
    <t>Floyd-Love</t>
  </si>
  <si>
    <t>Wolfe Group</t>
  </si>
  <si>
    <t>Levy PLC</t>
  </si>
  <si>
    <t>Gray, Hayes and Banks</t>
  </si>
  <si>
    <t>Chang-Vargas</t>
  </si>
  <si>
    <t>Barnes Ltd</t>
  </si>
  <si>
    <t>Foster, Velazquez and Lee</t>
  </si>
  <si>
    <t>Alvarez, Myers and Walter</t>
  </si>
  <si>
    <t>Hill-Kelly</t>
  </si>
  <si>
    <t>Hernandez-Rios</t>
  </si>
  <si>
    <t>Morris, King and Ayers</t>
  </si>
  <si>
    <t>Phillips-Tran</t>
  </si>
  <si>
    <t>Smith LLC</t>
  </si>
  <si>
    <t>Sanchez-Stewart</t>
  </si>
  <si>
    <t>Gilbert-Sanders</t>
  </si>
  <si>
    <t>Carrillo, Carr and Ball</t>
  </si>
  <si>
    <t>Weaver Ltd</t>
  </si>
  <si>
    <t>Sanchez-Quinn</t>
  </si>
  <si>
    <t>Torres-Rush</t>
  </si>
  <si>
    <t>Hester and Sons</t>
  </si>
  <si>
    <t>Morris-Villanueva</t>
  </si>
  <si>
    <t>Friedman, Sanders and Adams</t>
  </si>
  <si>
    <t>Kaufman-Jones</t>
  </si>
  <si>
    <t>Wagner-Curtis</t>
  </si>
  <si>
    <t>Patterson LLC</t>
  </si>
  <si>
    <t>Wilson PLC</t>
  </si>
  <si>
    <t>Jones LLC</t>
  </si>
  <si>
    <t>Morrow, Brock and Lewis</t>
  </si>
  <si>
    <t>Total Sales</t>
  </si>
  <si>
    <t>Descriptive Analysis</t>
  </si>
  <si>
    <t>Average Profit</t>
  </si>
  <si>
    <t>Average Sales Per Transaction</t>
  </si>
  <si>
    <t>Max Sales</t>
  </si>
  <si>
    <t>Min Sales</t>
  </si>
  <si>
    <t>Row Labels</t>
  </si>
  <si>
    <t>Grand Total</t>
  </si>
  <si>
    <t>Count of Product Category</t>
  </si>
  <si>
    <t xml:space="preserve">Most Popular Product Categories </t>
  </si>
  <si>
    <t>Sum of Sales Amount</t>
  </si>
  <si>
    <t>Regions with the Highest Sales.</t>
  </si>
  <si>
    <t>Column Labels</t>
  </si>
  <si>
    <t>Qtr1</t>
  </si>
  <si>
    <t>Qtr2</t>
  </si>
  <si>
    <t>Qtr3</t>
  </si>
  <si>
    <t>Qtr4</t>
  </si>
  <si>
    <t>Sales Trends (Quaterly)</t>
  </si>
  <si>
    <t>Sum of Profit</t>
  </si>
  <si>
    <t>Sales by Customer Segment</t>
  </si>
  <si>
    <t>Highest Revenue &amp;Profit Margins (Customer Segment)</t>
  </si>
  <si>
    <t>Most Popular Product Categories &amp;Regions with Highest Sales</t>
  </si>
  <si>
    <t>Underperforming Categories by Comparing Sales with Profit Margins.</t>
  </si>
  <si>
    <t>Profit Margin</t>
  </si>
  <si>
    <t>Average of Profit Margin</t>
  </si>
  <si>
    <t>Electronics is clearly underperforming because of its low profitability.</t>
  </si>
  <si>
    <t>Office Supplies can also be seen as relatively weaker due to lowest sales, but its margin is healthier than Electronics.</t>
  </si>
  <si>
    <t>Conclusion :</t>
  </si>
  <si>
    <t xml:space="preserve"> </t>
  </si>
  <si>
    <t>Elecgtronics</t>
  </si>
  <si>
    <r>
      <rPr>
        <b/>
        <sz val="12"/>
        <color rgb="FF000000"/>
        <rFont val="Aptos"/>
        <family val="2"/>
      </rPr>
      <t>Profit Margin for each Product Category</t>
    </r>
    <r>
      <rPr>
        <sz val="12"/>
        <color rgb="FF000000"/>
        <rFont val="Aptos"/>
        <family val="2"/>
      </rPr>
      <t xml:space="preserve"> </t>
    </r>
  </si>
  <si>
    <t>Category wise Profit</t>
  </si>
  <si>
    <t>Category wise Sales</t>
  </si>
  <si>
    <t xml:space="preserve">Exploratory Data Analysis </t>
  </si>
  <si>
    <t>Conclusion:</t>
  </si>
  <si>
    <t>Suggestions for Improvement:</t>
  </si>
  <si>
    <t>The sales analysis reveals that Electronics is underperforming, primarily due to its low profitability. Office Supplies, while recording the lowest sales, still demonstrates a healthier margin compared to Electronics. On the other hand, Furniture stands out as the best-performing category, delivering strong results in both sales and profitability.</t>
  </si>
  <si>
    <t>Electronics: Focus on reducing costs, renegotiating supplier contracts, and promoting high-margin products to improve overall profitability.</t>
  </si>
  <si>
    <t>Office Supplies: Increase visibility through targeted marketing campaigns and bundle offers to boost sales volume while maintaining healthy margins.</t>
  </si>
  <si>
    <t>Overall Strategy: Continuously monitor product-level performance to identify low-yield items and replace them with higher-margin 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</si>
</sst>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14009]dd\-mm\-yyyy;@"/>
    <numFmt numFmtId="165" formatCode="_ [$₹-4009]\ * #,##0.00_ ;_ [$₹-4009]\ * \-#,##0.00_ ;_ [$₹-4009]\ * &quot;-&quot;??_ ;_ @_ "/>
  </numFmts>
  <fonts count="17" x14ac:knownFonts="1">
    <font>
      <sz val="11"/>
      <color theme="1"/>
      <name val="Calibri"/>
      <family val="2"/>
      <scheme val="minor"/>
    </font>
    <font>
      <b/>
      <sz val="1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font>
    <font>
      <b/>
      <sz val="11"/>
      <color theme="1"/>
      <name val="Calibri"/>
      <family val="2"/>
    </font>
    <font>
      <sz val="11"/>
      <color theme="1"/>
      <name val="Calibri"/>
      <family val="2"/>
    </font>
    <font>
      <sz val="12"/>
      <color rgb="FFFF0000"/>
      <name val="Calibri"/>
      <family val="2"/>
      <scheme val="minor"/>
    </font>
    <font>
      <b/>
      <sz val="11"/>
      <color rgb="FFFF0000"/>
      <name val="Calibri"/>
      <family val="2"/>
      <scheme val="minor"/>
    </font>
    <font>
      <b/>
      <sz val="12"/>
      <color rgb="FFFF0000"/>
      <name val="Aptos"/>
      <family val="2"/>
    </font>
    <font>
      <b/>
      <sz val="11"/>
      <color rgb="FFFF0000"/>
      <name val="Aptos"/>
      <family val="2"/>
    </font>
    <font>
      <b/>
      <sz val="11"/>
      <color rgb="FF00B050"/>
      <name val="Calibri"/>
      <family val="2"/>
      <scheme val="minor"/>
    </font>
    <font>
      <sz val="12"/>
      <color rgb="FF000000"/>
      <name val="Aptos"/>
      <family val="2"/>
    </font>
    <font>
      <b/>
      <sz val="12"/>
      <color rgb="FF000000"/>
      <name val="Aptos"/>
      <family val="2"/>
    </font>
    <font>
      <b/>
      <sz val="12"/>
      <color rgb="FFFF0000"/>
      <name val="Calibri"/>
      <family val="2"/>
      <scheme val="minor"/>
    </font>
    <font>
      <b/>
      <sz val="12"/>
      <color rgb="FFC00000"/>
      <name val="Calibri"/>
      <family val="2"/>
      <scheme val="minor"/>
    </font>
  </fonts>
  <fills count="7">
    <fill>
      <patternFill patternType="none"/>
    </fill>
    <fill>
      <patternFill patternType="gray125"/>
    </fill>
    <fill>
      <patternFill patternType="solid">
        <fgColor rgb="FFA8D08D"/>
        <bgColor rgb="FFA8D08D"/>
      </patternFill>
    </fill>
    <fill>
      <patternFill patternType="solid">
        <fgColor rgb="FFC00000"/>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0" fontId="0" fillId="0" borderId="1" xfId="0" applyBorder="1"/>
    <xf numFmtId="164" fontId="0" fillId="0" borderId="1" xfId="0" applyNumberFormat="1" applyBorder="1"/>
    <xf numFmtId="165" fontId="0" fillId="0" borderId="1" xfId="0" applyNumberFormat="1" applyBorder="1"/>
    <xf numFmtId="165" fontId="0" fillId="0" borderId="1" xfId="1" applyNumberFormat="1" applyFont="1" applyBorder="1"/>
    <xf numFmtId="1" fontId="0" fillId="0" borderId="1" xfId="0" applyNumberFormat="1" applyBorder="1"/>
    <xf numFmtId="165" fontId="0" fillId="0" borderId="0" xfId="0" applyNumberFormat="1"/>
    <xf numFmtId="0" fontId="0" fillId="0" borderId="0" xfId="0" pivotButton="1"/>
    <xf numFmtId="0" fontId="0" fillId="0" borderId="0" xfId="0" applyAlignment="1">
      <alignment horizontal="left"/>
    </xf>
    <xf numFmtId="0" fontId="3" fillId="0" borderId="0" xfId="0" applyFont="1"/>
    <xf numFmtId="0" fontId="8" fillId="0" borderId="0" xfId="0" applyFont="1"/>
    <xf numFmtId="0" fontId="9" fillId="0" borderId="0" xfId="0" applyFont="1"/>
    <xf numFmtId="0" fontId="4" fillId="0" borderId="0" xfId="0" applyFont="1"/>
    <xf numFmtId="0" fontId="10" fillId="0" borderId="0" xfId="0" applyFont="1"/>
    <xf numFmtId="0" fontId="10" fillId="0" borderId="0" xfId="0" applyFont="1" applyAlignment="1">
      <alignment horizontal="left" vertical="center" indent="2"/>
    </xf>
    <xf numFmtId="10" fontId="0" fillId="0" borderId="1" xfId="0" applyNumberFormat="1" applyBorder="1"/>
    <xf numFmtId="0" fontId="11" fillId="0" borderId="0" xfId="0" applyFont="1" applyAlignment="1">
      <alignment horizontal="left" vertical="center" indent="2"/>
    </xf>
    <xf numFmtId="0" fontId="6" fillId="0" borderId="1" xfId="0" applyFont="1" applyBorder="1"/>
    <xf numFmtId="165" fontId="7" fillId="0" borderId="1" xfId="0" applyNumberFormat="1" applyFont="1" applyBorder="1"/>
    <xf numFmtId="165" fontId="7" fillId="0" borderId="1" xfId="1" applyNumberFormat="1" applyFont="1" applyBorder="1"/>
    <xf numFmtId="10" fontId="0" fillId="0" borderId="0" xfId="0" applyNumberFormat="1"/>
    <xf numFmtId="0" fontId="12" fillId="0" borderId="0" xfId="0" applyFont="1"/>
    <xf numFmtId="0" fontId="1" fillId="0" borderId="0" xfId="0" applyFont="1" applyAlignment="1">
      <alignment horizontal="center" vertical="top"/>
    </xf>
    <xf numFmtId="165" fontId="0" fillId="3" borderId="1" xfId="0" applyNumberFormat="1" applyFill="1" applyBorder="1"/>
    <xf numFmtId="165" fontId="0" fillId="3" borderId="1" xfId="1" applyNumberFormat="1" applyFont="1" applyFill="1" applyBorder="1"/>
    <xf numFmtId="1" fontId="0" fillId="3" borderId="1" xfId="0" applyNumberFormat="1" applyFill="1" applyBorder="1"/>
    <xf numFmtId="0" fontId="0" fillId="3" borderId="1" xfId="0" applyFill="1" applyBorder="1"/>
    <xf numFmtId="10" fontId="0" fillId="3" borderId="1" xfId="0" applyNumberFormat="1"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165" fontId="0" fillId="4" borderId="1" xfId="0" applyNumberFormat="1" applyFill="1" applyBorder="1"/>
    <xf numFmtId="165" fontId="0" fillId="4" borderId="1" xfId="1" applyNumberFormat="1" applyFont="1" applyFill="1" applyBorder="1"/>
    <xf numFmtId="1" fontId="0" fillId="4" borderId="1" xfId="0" applyNumberFormat="1" applyFill="1" applyBorder="1"/>
    <xf numFmtId="10" fontId="0" fillId="4" borderId="1" xfId="0" applyNumberFormat="1" applyFill="1" applyBorder="1"/>
    <xf numFmtId="0" fontId="13" fillId="0" borderId="0" xfId="0" applyFont="1"/>
    <xf numFmtId="0" fontId="0" fillId="5" borderId="1" xfId="0" applyFill="1" applyBorder="1"/>
    <xf numFmtId="10" fontId="0" fillId="6" borderId="1" xfId="0" applyNumberFormat="1" applyFill="1" applyBorder="1"/>
    <xf numFmtId="0" fontId="15" fillId="0" borderId="0" xfId="0" applyFont="1"/>
    <xf numFmtId="0" fontId="16" fillId="0" borderId="0" xfId="0" applyFont="1"/>
    <xf numFmtId="0" fontId="4" fillId="0" borderId="0" xfId="0" applyFont="1" applyAlignment="1">
      <alignment horizontal="left" vertical="center" indent="1"/>
    </xf>
    <xf numFmtId="0" fontId="1" fillId="0" borderId="0" xfId="0" applyFont="1"/>
    <xf numFmtId="0" fontId="1" fillId="0" borderId="0" xfId="0" applyFont="1" applyAlignment="1">
      <alignment horizontal="left" vertical="center" indent="1"/>
    </xf>
    <xf numFmtId="0" fontId="5" fillId="2" borderId="1" xfId="0" applyFont="1" applyFill="1" applyBorder="1" applyAlignment="1">
      <alignment horizontal="center"/>
    </xf>
  </cellXfs>
  <cellStyles count="2">
    <cellStyle name="Currency" xfId="1" builtinId="4"/>
    <cellStyle name="Normal" xfId="0" builtinId="0"/>
  </cellStyles>
  <dxfs count="6">
    <dxf>
      <font>
        <color rgb="FF006100"/>
      </font>
      <fill>
        <patternFill>
          <bgColor rgb="FFC6EFCE"/>
        </patternFill>
      </fill>
    </dxf>
    <dxf>
      <fill>
        <patternFill>
          <bgColor rgb="FFC00000"/>
        </patternFill>
      </fill>
    </dxf>
    <dxf>
      <fill>
        <patternFill>
          <bgColor rgb="FFC00000"/>
        </patternFill>
      </fill>
    </dxf>
    <dxf>
      <font>
        <color rgb="FF006100"/>
      </font>
      <fill>
        <patternFill>
          <bgColor rgb="FFC6EFCE"/>
        </patternFill>
      </fill>
    </dxf>
    <dxf>
      <font>
        <b/>
        <i val="0"/>
      </font>
      <fill>
        <patternFill>
          <bgColor theme="8" tint="0.39994506668294322"/>
        </patternFill>
      </fill>
    </dxf>
    <dxf>
      <fill>
        <patternFill>
          <bgColor rgb="FF0070C0"/>
        </patternFill>
      </fill>
    </dxf>
  </dxfs>
  <tableStyles count="1" defaultTableStyle="TableStyleMedium9" defaultPivotStyle="PivotStyleLight16">
    <tableStyle name="Slicer Style 1" pivot="0" table="0" count="10" xr9:uid="{25AC50AC-F6E4-4644-AE35-56E668DFB259}">
      <tableStyleElement type="wholeTable" dxfId="5"/>
      <tableStyleElement type="headerRow" dxfId="4"/>
    </tableStyle>
  </tableStyles>
  <colors>
    <mruColors>
      <color rgb="FF084F6A"/>
      <color rgb="FFF0F8FD"/>
    </mruColors>
  </colors>
  <extLst>
    <ext xmlns:x14="http://schemas.microsoft.com/office/spreadsheetml/2009/9/main" uri="{46F421CA-312F-682f-3DD2-61675219B42D}">
      <x14:dxfs count="8">
        <dxf>
          <fill>
            <patternFill>
              <bgColor rgb="FF002060"/>
            </patternFill>
          </fill>
        </dxf>
        <dxf>
          <fill>
            <patternFill>
              <bgColor rgb="FF002060"/>
            </patternFill>
          </fill>
        </dxf>
        <dxf>
          <fill>
            <patternFill>
              <bgColor theme="0"/>
            </patternFill>
          </fill>
        </dxf>
        <dxf>
          <fill>
            <patternFill>
              <bgColor rgb="FF002060"/>
            </patternFill>
          </fill>
        </dxf>
        <dxf>
          <fill>
            <patternFill>
              <bgColor theme="0"/>
            </patternFill>
          </fill>
        </dxf>
        <dxf>
          <fill>
            <patternFill>
              <bgColor theme="8" tint="0.59996337778862885"/>
            </patternFill>
          </fill>
        </dxf>
        <dxf>
          <fill>
            <patternFill>
              <bgColor rgb="FF002060"/>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[Sales_Performance_Analysis_Project.xlsx]Most Popular Product Categories!PivotTable3</c:name>
    <c:fmtId val="0"/>
  </c:pivotSource>
  <c:chart>
    <c:title>
      <c:tx>
        <c:rich>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r>
              <a:rPr lang="en-US" baseline="0">
                <a:solidFill>
                  <a:schemeClr val="bg1">
                    <a:lumMod val="65000"/>
                  </a:schemeClr>
                </a:solidFill>
              </a:rPr>
              <a:t>Most Popular Product Categories</a:t>
            </a:r>
          </a:p>
        </c:rich>
      </c:tx>
      <c:layout>
        <c:manualLayout>
          <c:xMode val="edge"/>
          <c:yMode val="edge"/>
          <c:x val="0.28963888888888889"/>
          <c:y val="1.28681831437736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Popular Product Categories'!$C$4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6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 Popular Product Categories'!$B$5:$B$8</c:f>
              <c:strCache>
                <c:ptCount val="3"/>
                <c:pt idx="0">
                  <c:v>Furniture</c:v>
                </c:pt>
                <c:pt idx="1">
                  <c:v>Electronics</c:v>
                </c:pt>
                <c:pt idx="2">
                  <c:v>Office Supplies</c:v>
                </c:pt>
              </c:strCache>
            </c:strRef>
          </c:cat>
          <c:val>
            <c:numRef>
              <c:f>'Most Popular Product Categories'!$C$5:$C$8</c:f>
              <c:numCache>
                <c:formatCode>General</c:formatCode>
                <c:ptCount val="3"/>
                <c:pt idx="0">
                  <c:v>705</c:v>
                </c:pt>
                <c:pt idx="1">
                  <c:v>671</c:v>
                </c:pt>
                <c:pt idx="2">
                  <c:v>624</c:v>
                </c:pt>
              </c:numCache>
            </c:numRef>
          </c:val>
          <c:extLst>
            <c:ext xmlns:c16="http://schemas.microsoft.com/office/drawing/2014/chart" uri="{C3380CC4-5D6E-409C-BE32-E72D297353CC}">
              <c16:uniqueId val="{00000000-1A44-4F8A-AEA3-BBC2952BADD5}"/>
            </c:ext>
          </c:extLst>
        </c:ser>
        <c:dLbls>
          <c:dLblPos val="outEnd"/>
          <c:showLegendKey val="0"/>
          <c:showVal val="1"/>
          <c:showCatName val="0"/>
          <c:showSerName val="0"/>
          <c:showPercent val="0"/>
          <c:showBubbleSize val="0"/>
        </c:dLbls>
        <c:gapWidth val="115"/>
        <c:overlap val="-20"/>
        <c:axId val="2066190912"/>
        <c:axId val="2066192832"/>
      </c:barChart>
      <c:catAx>
        <c:axId val="2066190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66192832"/>
        <c:crosses val="autoZero"/>
        <c:auto val="1"/>
        <c:lblAlgn val="ctr"/>
        <c:lblOffset val="100"/>
        <c:noMultiLvlLbl val="0"/>
      </c:catAx>
      <c:valAx>
        <c:axId val="206619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661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[Sales_Performance_Analysis_Project.xlsx]Regions with the Highest Sales.!PivotTable4</c:name>
    <c:fmtId val="0"/>
  </c:pivotSource>
  <c:chart>
    <c:title>
      <c:tx>
        <c:rich>
          <a:bodyPr rot="0" spcFirstLastPara="1" vertOverflow="ellipsis" vert="horz" wrap="square" anchor="ctr" anchorCtr="1"/>
          <a:lstStyle/>
          <a:p>
            <a:pPr>
              <a:defRPr sz="1400" b="1" i="0" u="none" strike="noStrike" kern="1200" cap="none" baseline="0">
                <a:solidFill>
                  <a:schemeClr val="bg1">
                    <a:lumMod val="65000"/>
                  </a:schemeClr>
                </a:solidFill>
                <a:latin typeface="+mn-lt"/>
                <a:ea typeface="+mn-ea"/>
                <a:cs typeface="+mn-cs"/>
              </a:defRPr>
            </a:pPr>
            <a:r>
              <a:rPr lang="en-US" baseline="0">
                <a:solidFill>
                  <a:schemeClr val="bg1">
                    <a:lumMod val="65000"/>
                  </a:schemeClr>
                </a:solidFill>
              </a:rPr>
              <a:t>Regions with Highest Sales</a:t>
            </a:r>
          </a:p>
        </c:rich>
      </c:tx>
      <c:layout>
        <c:manualLayout>
          <c:xMode val="edge"/>
          <c:yMode val="edge"/>
          <c:x val="0.54371522309711284"/>
          <c:y val="3.13867016622922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lumMod val="6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with the Highest Sales.'!$C$3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'Regions with the Highest Sales.'!$B$4:$B$8</c:f>
              <c:strCache>
                <c:ptCount val="4"/>
                <c:pt idx="0">
                  <c:v>North</c:v>
                </c:pt>
                <c:pt idx="1">
                  <c:v>East</c:v>
                </c:pt>
                <c:pt idx="2">
                  <c:v>South</c:v>
                </c:pt>
                <c:pt idx="3">
                  <c:v>West</c:v>
                </c:pt>
              </c:strCache>
            </c:strRef>
          </c:cat>
          <c:val>
            <c:numRef>
              <c:f>'Regions with the Highest Sales.'!$C$4:$C$8</c:f>
              <c:numCache>
                <c:formatCode>_ [$₹-4009]\ * #,##0.00_ ;_ [$₹-4009]\ * \-#,##0.00_ ;_ [$₹-4009]\ * "-"??_ ;_ @_ </c:formatCode>
                <c:ptCount val="4"/>
                <c:pt idx="0">
                  <c:v>1384284.4000000004</c:v>
                </c:pt>
                <c:pt idx="1">
                  <c:v>1350548.3499999992</c:v>
                </c:pt>
                <c:pt idx="2">
                  <c:v>1245772.1199999992</c:v>
                </c:pt>
                <c:pt idx="3">
                  <c:v>1206915.23</c:v>
                </c:pt>
              </c:numCache>
            </c:numRef>
          </c:val>
          <c:extLst>
            <c:ext xmlns:c16="http://schemas.microsoft.com/office/drawing/2014/chart" uri="{C3380CC4-5D6E-409C-BE32-E72D297353CC}">
              <c16:uniqueId val="{00000000-6D32-4433-941B-2B91D7F9B132}"/>
            </c:ext>
          </c:extLst>
        </c:ser>
        <c:dLbls>
          <c:showLegendKey val="0"/>
          <c:showVal val="1"/>
          <c:showCatName val="0"/>
          <c:showSerName val="0"/>
          <c:showPercent val="0"/>
          <c:showBubbleSize val="0"/>
        </c:dLbls>
        <c:gapWidth val="315"/>
        <c:axId val="1152879712"/>
        <c:axId val="1152863872"/>
      </c:barChart>
      <c:catAx>
        <c:axId val="115287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52863872"/>
        <c:crosses val="autoZero"/>
        <c:auto val="1"/>
        <c:lblAlgn val="ctr"/>
        <c:lblOffset val="100"/>
        <c:noMultiLvlLbl val="0"/>
      </c:catAx>
      <c:valAx>
        <c:axId val="1152863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5287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[Sales_Performance_Analysis_Project.xlsx]Sales Trends (Quaterly)	!PivotTable5</c:name>
    <c:fmtId val="0"/>
  </c:pivotSource>
  <c:chart>
    <c:title>
      <c:tx>
        <c:rich>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r>
              <a:rPr lang="en-US" baseline="0">
                <a:solidFill>
                  <a:schemeClr val="bg1">
                    <a:lumMod val="65000"/>
                  </a:schemeClr>
                </a:solidFill>
              </a:rPr>
              <a:t>Sales Trends(Quaterly)</a:t>
            </a:r>
          </a:p>
        </c:rich>
      </c:tx>
      <c:layout>
        <c:manualLayout>
          <c:xMode val="edge"/>
          <c:yMode val="edge"/>
          <c:x val="0.6310137795275591"/>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 (Quaterly)	'!$C$4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Trends (Quaterly)	'!$B$5:$B$9</c:f>
              <c:strCache>
                <c:ptCount val="4"/>
                <c:pt idx="0">
                  <c:v>Qtr3</c:v>
                </c:pt>
                <c:pt idx="1">
                  <c:v>Qtr2</c:v>
                </c:pt>
                <c:pt idx="2">
                  <c:v>Qtr1</c:v>
                </c:pt>
                <c:pt idx="3">
                  <c:v>Qtr4</c:v>
                </c:pt>
              </c:strCache>
            </c:strRef>
          </c:cat>
          <c:val>
            <c:numRef>
              <c:f>'Sales Trends (Quaterly)	'!$C$5:$C$9</c:f>
              <c:numCache>
                <c:formatCode>_ [$₹-4009]\ * #,##0.00_ ;_ [$₹-4009]\ * \-#,##0.00_ ;_ [$₹-4009]\ * "-"??_ ;_ @_ </c:formatCode>
                <c:ptCount val="4"/>
                <c:pt idx="0">
                  <c:v>1442023.0299999998</c:v>
                </c:pt>
                <c:pt idx="1">
                  <c:v>1410532.6099999987</c:v>
                </c:pt>
                <c:pt idx="2">
                  <c:v>1174314.6599999992</c:v>
                </c:pt>
                <c:pt idx="3">
                  <c:v>1160649.800000001</c:v>
                </c:pt>
              </c:numCache>
            </c:numRef>
          </c:val>
          <c:smooth val="0"/>
          <c:extLst>
            <c:ext xmlns:c16="http://schemas.microsoft.com/office/drawing/2014/chart" uri="{C3380CC4-5D6E-409C-BE32-E72D297353CC}">
              <c16:uniqueId val="{00000000-8DED-48AE-8720-4981F74F70AF}"/>
            </c:ext>
          </c:extLst>
        </c:ser>
        <c:dLbls>
          <c:dLblPos val="t"/>
          <c:showLegendKey val="0"/>
          <c:showVal val="1"/>
          <c:showCatName val="0"/>
          <c:showSerName val="0"/>
          <c:showPercent val="0"/>
          <c:showBubbleSize val="0"/>
        </c:dLbls>
        <c:marker val="1"/>
        <c:smooth val="0"/>
        <c:axId val="2066235552"/>
        <c:axId val="2066219712"/>
      </c:lineChart>
      <c:catAx>
        <c:axId val="2066235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66219712"/>
        <c:crosses val="autoZero"/>
        <c:auto val="1"/>
        <c:lblAlgn val="ctr"/>
        <c:lblOffset val="100"/>
        <c:noMultiLvlLbl val="0"/>
      </c:catAx>
      <c:valAx>
        <c:axId val="2066219712"/>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662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[Sales_Performance_Analysis_Project.xlsx]Pivot Table!PivotTable6</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'Pivot Table'!$C$5:$C$6</c:f>
              <c:strCache>
                <c:ptCount val="1"/>
                <c:pt idx="0">
                  <c:v>Furniture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Table'!$B$7:$B$11</c:f>
              <c:strCache>
                <c:ptCount val="4"/>
                <c:pt idx="0">
                  <c:v>North</c:v>
                </c:pt>
                <c:pt idx="1">
                  <c:v>East</c:v>
                </c:pt>
                <c:pt idx="2">
                  <c:v>South</c:v>
                </c:pt>
                <c:pt idx="3">
                  <c:v>West</c:v>
                </c:pt>
              </c:strCache>
            </c:strRef>
          </c:cat>
          <c:val>
            <c:numRef>
              <c:f>'Pivot Table'!$C$7:$C$11</c:f>
              <c:numCache>
                <c:formatCode>_ [$₹-4009]\ * #,##0.00_ ;_ [$₹-4009]\ * \-#,##0.00_ ;_ [$₹-4009]\ * "-"??_ ;_ @_ </c:formatCode>
                <c:ptCount val="4"/>
                <c:pt idx="0">
                  <c:v>523596.69000000018</c:v>
                </c:pt>
                <c:pt idx="1">
                  <c:v>430403.63999999996</c:v>
                </c:pt>
                <c:pt idx="2">
                  <c:v>404040.44000000035</c:v>
                </c:pt>
                <c:pt idx="3">
                  <c:v>474739.92999999993</c:v>
                </c:pt>
              </c:numCache>
            </c:numRef>
          </c:val>
          <c:extLst>
            <c:ext xmlns:c16="http://schemas.microsoft.com/office/drawing/2014/chart" uri="{C3380CC4-5D6E-409C-BE32-E72D297353CC}">
              <c16:uniqueId val="{00000000-0BC8-4C89-BC82-59385F221F3E}"/>
            </c:ext>
          </c:extLst>
        </c:ser>
        <c:ser>
          <c:idx val="1"/>
          <c:order val="1"/>
          <c:tx>
            <c:strRef>
              <c:f>'Pivot Table'!$D$5:$D$6</c:f>
              <c:strCache>
                <c:ptCount val="1"/>
                <c:pt idx="0">
                  <c:v>Electronics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extLst>
              <c:ext xmlns:c16="http://schemas.microsoft.com/office/drawing/2014/chart" uri="{C3380CC4-5D6E-409C-BE32-E72D297353CC}">
                <c16:uniqueId val="{00000004-0BC8-4C89-BC82-59385F221F3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Table'!$B$7:$B$11</c:f>
              <c:strCache>
                <c:ptCount val="4"/>
                <c:pt idx="0">
                  <c:v>North</c:v>
                </c:pt>
                <c:pt idx="1">
                  <c:v>East</c:v>
                </c:pt>
                <c:pt idx="2">
                  <c:v>South</c:v>
                </c:pt>
                <c:pt idx="3">
                  <c:v>West</c:v>
                </c:pt>
              </c:strCache>
            </c:strRef>
          </c:cat>
          <c:val>
            <c:numRef>
              <c:f>'Pivot Table'!$D$7:$D$11</c:f>
              <c:numCache>
                <c:formatCode>_ [$₹-4009]\ * #,##0.00_ ;_ [$₹-4009]\ * \-#,##0.00_ ;_ [$₹-4009]\ * "-"??_ ;_ @_ </c:formatCode>
                <c:ptCount val="4"/>
                <c:pt idx="0">
                  <c:v>448719.02999999997</c:v>
                </c:pt>
                <c:pt idx="1">
                  <c:v>463887.78</c:v>
                </c:pt>
                <c:pt idx="2">
                  <c:v>432630.84000000008</c:v>
                </c:pt>
                <c:pt idx="3">
                  <c:v>405759.01999999984</c:v>
                </c:pt>
              </c:numCache>
            </c:numRef>
          </c:val>
          <c:extLst>
            <c:ext xmlns:c16="http://schemas.microsoft.com/office/drawing/2014/chart" uri="{C3380CC4-5D6E-409C-BE32-E72D297353CC}">
              <c16:uniqueId val="{00000001-0BC8-4C89-BC82-59385F221F3E}"/>
            </c:ext>
          </c:extLst>
        </c:ser>
        <c:ser>
          <c:idx val="2"/>
          <c:order val="2"/>
          <c:tx>
            <c:strRef>
              <c:f>'Pivot Table'!$E$5:$E$6</c:f>
              <c:strCache>
                <c:ptCount val="1"/>
                <c:pt idx="0">
                  <c:v>Office Supplies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extLst>
              <c:ext xmlns:c16="http://schemas.microsoft.com/office/drawing/2014/chart" uri="{C3380CC4-5D6E-409C-BE32-E72D297353CC}">
                <c16:uniqueId val="{00000005-0BC8-4C89-BC82-59385F221F3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Table'!$B$7:$B$11</c:f>
              <c:strCache>
                <c:ptCount val="4"/>
                <c:pt idx="0">
                  <c:v>North</c:v>
                </c:pt>
                <c:pt idx="1">
                  <c:v>East</c:v>
                </c:pt>
                <c:pt idx="2">
                  <c:v>South</c:v>
                </c:pt>
                <c:pt idx="3">
                  <c:v>West</c:v>
                </c:pt>
              </c:strCache>
            </c:strRef>
          </c:cat>
          <c:val>
            <c:numRef>
              <c:f>'Pivot Table'!$E$7:$E$11</c:f>
              <c:numCache>
                <c:formatCode>_ [$₹-4009]\ * #,##0.00_ ;_ [$₹-4009]\ * \-#,##0.00_ ;_ [$₹-4009]\ * "-"??_ ;_ @_ </c:formatCode>
                <c:ptCount val="4"/>
                <c:pt idx="0">
                  <c:v>411968.68</c:v>
                </c:pt>
                <c:pt idx="1">
                  <c:v>456256.93000000017</c:v>
                </c:pt>
                <c:pt idx="2">
                  <c:v>409100.83999999991</c:v>
                </c:pt>
                <c:pt idx="3">
                  <c:v>326416.28000000003</c:v>
                </c:pt>
              </c:numCache>
            </c:numRef>
          </c:val>
          <c:extLst>
            <c:ext xmlns:c16="http://schemas.microsoft.com/office/drawing/2014/chart" uri="{C3380CC4-5D6E-409C-BE32-E72D297353CC}">
              <c16:uniqueId val="{00000002-0BC8-4C89-BC82-59385F221F3E}"/>
            </c:ext>
          </c:extLst>
        </c:ser>
        <c:dLbls>
          <c:showLegendKey val="0"/>
          <c:showVal val="1"/>
          <c:showCatName val="0"/>
          <c:showSerName val="0"/>
          <c:showPercent val="0"/>
          <c:showBubbleSize val="0"/>
        </c:dLbls>
        <c:gapWidth val="219"/>
        <c:axId val="552741631"/>
        <c:axId val="552744511"/>
      </c:barChart>
      <c:catAx>
        <c:axId val="552741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52744511"/>
        <c:crosses val="autoZero"/>
        <c:auto val="1"/>
        <c:lblAlgn val="ctr"/>
        <c:lblOffset val="100"/>
        <c:noMultiLvlLbl val="0"/>
      </c:catAx>
      <c:valAx>
        <c:axId val="552744511"/>
        <c:scaling>
          <c:orientation val="minMax"/>
        </c:scaling>
        <c:delete val="0"/>
        <c:axPos val="b"/>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650" b="1" i="0" u="none" strike="noStrike" kern="1200" baseline="0">
                <a:solidFill>
                  <a:schemeClr val="bg1"/>
                </a:solidFill>
                <a:latin typeface="+mn-lt"/>
                <a:ea typeface="+mn-ea"/>
                <a:cs typeface="+mn-cs"/>
              </a:defRPr>
            </a:pPr>
            <a:endParaRPr lang="en-US"/>
          </a:p>
        </c:txPr>
        <c:crossAx val="5527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[Sales_Performance_Analysis_Project.xlsx]Sales by Customer Segment	!PivotTable17</c:name>
    <c:fmtId val="0"/>
  </c:pivotSource>
  <c:chart>
    <c:title>
      <c:tx>
        <c:rich>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lumMod val="65000"/>
                  </a:schemeClr>
                </a:solidFill>
                <a:effectLst/>
              </a:rPr>
              <a:t>Sales by Customer Segment.</a:t>
            </a:r>
            <a:endParaRPr lang="en-US" baseline="0">
              <a:solidFill>
                <a:schemeClr val="bg1">
                  <a:lumMod val="65000"/>
                </a:schemeClr>
              </a:solidFill>
            </a:endParaRPr>
          </a:p>
        </c:rich>
      </c:tx>
      <c:layout>
        <c:manualLayout>
          <c:xMode val="edge"/>
          <c:yMode val="edge"/>
          <c:x val="0.37874999999999998"/>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by Customer Segment	'!$C$6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BBA-4823-9194-1435F7DA31B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BBA-4823-9194-1435F7DA31B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BBA-4823-9194-1435F7DA31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Customer Segment	'!$B$7:$B$10</c:f>
              <c:strCache>
                <c:ptCount val="3"/>
                <c:pt idx="0">
                  <c:v>Corporate</c:v>
                </c:pt>
                <c:pt idx="1">
                  <c:v>Consumer</c:v>
                </c:pt>
                <c:pt idx="2">
                  <c:v>Small Business</c:v>
                </c:pt>
              </c:strCache>
            </c:strRef>
          </c:cat>
          <c:val>
            <c:numRef>
              <c:f>'Sales by Customer Segment	'!$C$7:$C$10</c:f>
              <c:numCache>
                <c:formatCode>_ [$₹-4009]\ * #,##0.00_ ;_ [$₹-4009]\ * \-#,##0.00_ ;_ [$₹-4009]\ * "-"??_ ;_ @_ </c:formatCode>
                <c:ptCount val="3"/>
                <c:pt idx="0">
                  <c:v>1757995.06</c:v>
                </c:pt>
                <c:pt idx="1">
                  <c:v>1743489.8299999982</c:v>
                </c:pt>
                <c:pt idx="2">
                  <c:v>1686035.2099999997</c:v>
                </c:pt>
              </c:numCache>
            </c:numRef>
          </c:val>
          <c:extLst>
            <c:ext xmlns:c16="http://schemas.microsoft.com/office/drawing/2014/chart" uri="{C3380CC4-5D6E-409C-BE32-E72D297353CC}">
              <c16:uniqueId val="{00000000-FACB-433A-9445-7DC8AB99E5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[Sales_Performance_Analysis_Project.xlsx]Highest Revenue &amp;Profit Margins!PivotTable18</c:name>
    <c:fmtId val="0"/>
  </c:pivotSource>
  <c:chart>
    <c:title>
      <c:tx>
        <c:rich>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r>
              <a:rPr lang="en-US" baseline="0">
                <a:solidFill>
                  <a:schemeClr val="bg1">
                    <a:lumMod val="65000"/>
                  </a:schemeClr>
                </a:solidFill>
              </a:rPr>
              <a:t>Highest Revenue &amp;Profit(Segment)</a:t>
            </a:r>
          </a:p>
        </c:rich>
      </c:tx>
      <c:layout>
        <c:manualLayout>
          <c:xMode val="edge"/>
          <c:yMode val="edge"/>
          <c:x val="0.25186111111111109"/>
          <c:y val="1.2868183143773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Revenue &amp;Profit Margins'!$C$4</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AD7C-4855-8044-A41C19491527}"/>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60E-4C55-9149-A005C8A25DDC}"/>
              </c:ext>
            </c:extLst>
          </c:dPt>
          <c:dLbls>
            <c:dLbl>
              <c:idx val="0"/>
              <c:layout>
                <c:manualLayout>
                  <c:x val="1.94444444444444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7C-4855-8044-A41C19491527}"/>
                </c:ext>
              </c:extLst>
            </c:dLbl>
            <c:dLbl>
              <c:idx val="1"/>
              <c:layout>
                <c:manualLayout>
                  <c:x val="-5.0925337632079971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0E-4C55-9149-A005C8A25D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Revenue &amp;Profit Margins'!$B$5:$B$8</c:f>
              <c:strCache>
                <c:ptCount val="3"/>
                <c:pt idx="0">
                  <c:v>Small Business</c:v>
                </c:pt>
                <c:pt idx="1">
                  <c:v>Corporate</c:v>
                </c:pt>
                <c:pt idx="2">
                  <c:v>Consumer</c:v>
                </c:pt>
              </c:strCache>
            </c:strRef>
          </c:cat>
          <c:val>
            <c:numRef>
              <c:f>'Highest Revenue &amp;Profit Margins'!$C$5:$C$8</c:f>
              <c:numCache>
                <c:formatCode>_ [$₹-4009]\ * #,##0.00_ ;_ [$₹-4009]\ * \-#,##0.00_ ;_ [$₹-4009]\ * "-"??_ ;_ @_ </c:formatCode>
                <c:ptCount val="3"/>
                <c:pt idx="0">
                  <c:v>1686035.2099999997</c:v>
                </c:pt>
                <c:pt idx="1">
                  <c:v>1757995.06</c:v>
                </c:pt>
                <c:pt idx="2">
                  <c:v>1743489.8299999982</c:v>
                </c:pt>
              </c:numCache>
            </c:numRef>
          </c:val>
          <c:extLst>
            <c:ext xmlns:c16="http://schemas.microsoft.com/office/drawing/2014/chart" uri="{C3380CC4-5D6E-409C-BE32-E72D297353CC}">
              <c16:uniqueId val="{00000000-A60E-4C55-9149-A005C8A25DDC}"/>
            </c:ext>
          </c:extLst>
        </c:ser>
        <c:ser>
          <c:idx val="1"/>
          <c:order val="1"/>
          <c:tx>
            <c:strRef>
              <c:f>'Highest Revenue &amp;Profit Margins'!$D$4</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Revenue &amp;Profit Margins'!$B$5:$B$8</c:f>
              <c:strCache>
                <c:ptCount val="3"/>
                <c:pt idx="0">
                  <c:v>Small Business</c:v>
                </c:pt>
                <c:pt idx="1">
                  <c:v>Corporate</c:v>
                </c:pt>
                <c:pt idx="2">
                  <c:v>Consumer</c:v>
                </c:pt>
              </c:strCache>
            </c:strRef>
          </c:cat>
          <c:val>
            <c:numRef>
              <c:f>'Highest Revenue &amp;Profit Margins'!$D$5:$D$8</c:f>
              <c:numCache>
                <c:formatCode>_ [$₹-4009]\ * #,##0.00_ ;_ [$₹-4009]\ * \-#,##0.00_ ;_ [$₹-4009]\ * "-"??_ ;_ @_ </c:formatCode>
                <c:ptCount val="3"/>
                <c:pt idx="0">
                  <c:v>337195.94999999995</c:v>
                </c:pt>
                <c:pt idx="1">
                  <c:v>334305.59000000067</c:v>
                </c:pt>
                <c:pt idx="2">
                  <c:v>336988.57000000024</c:v>
                </c:pt>
              </c:numCache>
            </c:numRef>
          </c:val>
          <c:extLst>
            <c:ext xmlns:c16="http://schemas.microsoft.com/office/drawing/2014/chart" uri="{C3380CC4-5D6E-409C-BE32-E72D297353CC}">
              <c16:uniqueId val="{00000001-A60E-4C55-9149-A005C8A25DDC}"/>
            </c:ext>
          </c:extLst>
        </c:ser>
        <c:dLbls>
          <c:dLblPos val="outEnd"/>
          <c:showLegendKey val="0"/>
          <c:showVal val="1"/>
          <c:showCatName val="0"/>
          <c:showSerName val="0"/>
          <c:showPercent val="0"/>
          <c:showBubbleSize val="0"/>
        </c:dLbls>
        <c:gapWidth val="100"/>
        <c:overlap val="-24"/>
        <c:axId val="656722319"/>
        <c:axId val="656732879"/>
      </c:barChart>
      <c:catAx>
        <c:axId val="65672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6732879"/>
        <c:crosses val="autoZero"/>
        <c:auto val="1"/>
        <c:lblAlgn val="ctr"/>
        <c:lblOffset val="100"/>
        <c:noMultiLvlLbl val="0"/>
      </c:catAx>
      <c:valAx>
        <c:axId val="656732879"/>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6567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[Sales_Performance_Analysis_Project.xlsx]Most Popular Product Categories!PivotTable3</c:name>
    <c:fmtId val="5"/>
  </c:pivotSource>
  <c:chart>
    <c:title>
      <c:tx>
        <c:rich>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Most Popular Product Categories</a:t>
            </a:r>
          </a:p>
        </c:rich>
      </c:tx>
      <c:layout>
        <c:manualLayout>
          <c:xMode val="edge"/>
          <c:yMode val="edge"/>
          <c:x val="9.4538585862592017E-3"/>
          <c:y val="1.28682105844342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6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84F6A"/>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rgbClr val="084F6A"/>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'Most Popular Product Categories'!$C$4</c:f>
              <c:strCache>
                <c:ptCount val="1"/>
                <c:pt idx="0">
                  <c:v>Total</c:v>
                </c:pt>
              </c:strCache>
            </c:strRef>
          </c:tx>
          <c:spPr>
            <a:solidFill>
              <a:srgbClr val="002060"/>
            </a:solidFill>
            <a:ln>
              <a:solidFill>
                <a:srgbClr val="084F6A"/>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6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 Popular Product Categories'!$B$5:$B$8</c:f>
              <c:strCache>
                <c:ptCount val="3"/>
                <c:pt idx="0">
                  <c:v>Furniture</c:v>
                </c:pt>
                <c:pt idx="1">
                  <c:v>Electronics</c:v>
                </c:pt>
                <c:pt idx="2">
                  <c:v>Office Supplies</c:v>
                </c:pt>
              </c:strCache>
            </c:strRef>
          </c:cat>
          <c:val>
            <c:numRef>
              <c:f>'Most Popular Product Categories'!$C$5:$C$8</c:f>
              <c:numCache>
                <c:formatCode>General</c:formatCode>
                <c:ptCount val="3"/>
                <c:pt idx="0">
                  <c:v>705</c:v>
                </c:pt>
                <c:pt idx="1">
                  <c:v>671</c:v>
                </c:pt>
                <c:pt idx="2">
                  <c:v>624</c:v>
                </c:pt>
              </c:numCache>
            </c:numRef>
          </c:val>
          <c:extLst>
            <c:ext xmlns:c16="http://schemas.microsoft.com/office/drawing/2014/chart" uri="{C3380CC4-5D6E-409C-BE32-E72D297353CC}">
              <c16:uniqueId val="{00000000-9CB4-432E-BF3F-3669787D5D2F}"/>
            </c:ext>
          </c:extLst>
        </c:ser>
        <c:dLbls>
          <c:dLblPos val="outEnd"/>
          <c:showLegendKey val="0"/>
          <c:showVal val="1"/>
          <c:showCatName val="0"/>
          <c:showSerName val="0"/>
          <c:showPercent val="0"/>
          <c:showBubbleSize val="0"/>
        </c:dLbls>
        <c:gapWidth val="150"/>
        <c:axId val="2066190912"/>
        <c:axId val="2066192832"/>
      </c:barChart>
      <c:catAx>
        <c:axId val="206619091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66192832"/>
        <c:crosses val="autoZero"/>
        <c:auto val="1"/>
        <c:lblAlgn val="ctr"/>
        <c:lblOffset val="100"/>
        <c:noMultiLvlLbl val="0"/>
      </c:catAx>
      <c:valAx>
        <c:axId val="20661928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661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[Sales_Performance_Analysis_Project.xlsx]Regions with the Highest Sales.!PivotTable4</c:name>
    <c:fmtId val="8"/>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baseline="0">
                <a:solidFill>
                  <a:schemeClr val="tx1"/>
                </a:solidFill>
              </a:rPr>
              <a:t>Regions with Highest Sales</a:t>
            </a:r>
          </a:p>
        </c:rich>
      </c:tx>
      <c:layout>
        <c:manualLayout>
          <c:xMode val="edge"/>
          <c:yMode val="edge"/>
          <c:x val="3.8447065752662634E-4"/>
          <c:y val="4.212022612039167E-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1979049645788"/>
          <c:y val="0.26344689342990457"/>
          <c:w val="0.7107273609587933"/>
          <c:h val="0.55910397547717661"/>
        </c:manualLayout>
      </c:layout>
      <c:barChart>
        <c:barDir val="col"/>
        <c:grouping val="clustered"/>
        <c:varyColors val="0"/>
        <c:ser>
          <c:idx val="0"/>
          <c:order val="0"/>
          <c:tx>
            <c:strRef>
              <c:f>'Regions with the Highest Sales.'!$C$3</c:f>
              <c:strCache>
                <c:ptCount val="1"/>
                <c:pt idx="0">
                  <c:v>Total</c:v>
                </c:pt>
              </c:strCache>
            </c:strRef>
          </c:tx>
          <c:spPr>
            <a:solidFill>
              <a:srgbClr val="00206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'Regions with the Highest Sales.'!$B$4:$B$8</c:f>
              <c:strCache>
                <c:ptCount val="4"/>
                <c:pt idx="0">
                  <c:v>North</c:v>
                </c:pt>
                <c:pt idx="1">
                  <c:v>East</c:v>
                </c:pt>
                <c:pt idx="2">
                  <c:v>South</c:v>
                </c:pt>
                <c:pt idx="3">
                  <c:v>West</c:v>
                </c:pt>
              </c:strCache>
            </c:strRef>
          </c:cat>
          <c:val>
            <c:numRef>
              <c:f>'Regions with the Highest Sales.'!$C$4:$C$8</c:f>
              <c:numCache>
                <c:formatCode>_ [$₹-4009]\ * #,##0.00_ ;_ [$₹-4009]\ * \-#,##0.00_ ;_ [$₹-4009]\ * "-"??_ ;_ @_ </c:formatCode>
                <c:ptCount val="4"/>
                <c:pt idx="0">
                  <c:v>1384284.4000000004</c:v>
                </c:pt>
                <c:pt idx="1">
                  <c:v>1350548.3499999992</c:v>
                </c:pt>
                <c:pt idx="2">
                  <c:v>1245772.1199999992</c:v>
                </c:pt>
                <c:pt idx="3">
                  <c:v>1206915.23</c:v>
                </c:pt>
              </c:numCache>
            </c:numRef>
          </c:val>
          <c:extLst>
            <c:ext xmlns:c16="http://schemas.microsoft.com/office/drawing/2014/chart" uri="{C3380CC4-5D6E-409C-BE32-E72D297353CC}">
              <c16:uniqueId val="{00000000-A4C1-42AA-8119-EFD18AAF04B7}"/>
            </c:ext>
          </c:extLst>
        </c:ser>
        <c:dLbls>
          <c:showLegendKey val="0"/>
          <c:showVal val="1"/>
          <c:showCatName val="0"/>
          <c:showSerName val="0"/>
          <c:showPercent val="0"/>
          <c:showBubbleSize val="0"/>
        </c:dLbls>
        <c:gapWidth val="315"/>
        <c:axId val="1152879712"/>
        <c:axId val="1152863872"/>
      </c:barChart>
      <c:catAx>
        <c:axId val="115287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2863872"/>
        <c:crosses val="autoZero"/>
        <c:auto val="1"/>
        <c:lblAlgn val="ctr"/>
        <c:lblOffset val="100"/>
        <c:noMultiLvlLbl val="0"/>
      </c:catAx>
      <c:valAx>
        <c:axId val="1152863872"/>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287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[Sales_Performance_Analysis_Project.xlsx]Sales Trends (Quaterly)	!PivotTable5</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Sales Trends(Quaterly)</a:t>
            </a:r>
          </a:p>
        </c:rich>
      </c:tx>
      <c:layout>
        <c:manualLayout>
          <c:xMode val="edge"/>
          <c:yMode val="edge"/>
          <c:x val="0.6310137795275591"/>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 (Quaterly)	'!$C$4</c:f>
              <c:strCache>
                <c:ptCount val="1"/>
                <c:pt idx="0">
                  <c:v>Total</c:v>
                </c:pt>
              </c:strCache>
            </c:strRef>
          </c:tx>
          <c:spPr>
            <a:ln w="34925" cap="rnd">
              <a:solidFill>
                <a:srgbClr val="002060"/>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Trends (Quaterly)	'!$B$5:$B$9</c:f>
              <c:strCache>
                <c:ptCount val="4"/>
                <c:pt idx="0">
                  <c:v>Qtr3</c:v>
                </c:pt>
                <c:pt idx="1">
                  <c:v>Qtr2</c:v>
                </c:pt>
                <c:pt idx="2">
                  <c:v>Qtr1</c:v>
                </c:pt>
                <c:pt idx="3">
                  <c:v>Qtr4</c:v>
                </c:pt>
              </c:strCache>
            </c:strRef>
          </c:cat>
          <c:val>
            <c:numRef>
              <c:f>'Sales Trends (Quaterly)	'!$C$5:$C$9</c:f>
              <c:numCache>
                <c:formatCode>_ [$₹-4009]\ * #,##0.00_ ;_ [$₹-4009]\ * \-#,##0.00_ ;_ [$₹-4009]\ * "-"??_ ;_ @_ </c:formatCode>
                <c:ptCount val="4"/>
                <c:pt idx="0">
                  <c:v>1442023.0299999998</c:v>
                </c:pt>
                <c:pt idx="1">
                  <c:v>1410532.6099999987</c:v>
                </c:pt>
                <c:pt idx="2">
                  <c:v>1174314.6599999992</c:v>
                </c:pt>
                <c:pt idx="3">
                  <c:v>1160649.800000001</c:v>
                </c:pt>
              </c:numCache>
            </c:numRef>
          </c:val>
          <c:smooth val="0"/>
          <c:extLst>
            <c:ext xmlns:c16="http://schemas.microsoft.com/office/drawing/2014/chart" uri="{C3380CC4-5D6E-409C-BE32-E72D297353CC}">
              <c16:uniqueId val="{00000000-B482-4D4C-94A8-4A9FEA183080}"/>
            </c:ext>
          </c:extLst>
        </c:ser>
        <c:dLbls>
          <c:dLblPos val="t"/>
          <c:showLegendKey val="0"/>
          <c:showVal val="1"/>
          <c:showCatName val="0"/>
          <c:showSerName val="0"/>
          <c:showPercent val="0"/>
          <c:showBubbleSize val="0"/>
        </c:dLbls>
        <c:marker val="1"/>
        <c:smooth val="0"/>
        <c:axId val="2066235552"/>
        <c:axId val="2066219712"/>
      </c:lineChart>
      <c:catAx>
        <c:axId val="2066235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66219712"/>
        <c:crosses val="autoZero"/>
        <c:auto val="1"/>
        <c:lblAlgn val="ctr"/>
        <c:lblOffset val="100"/>
        <c:noMultiLvlLbl val="0"/>
      </c:catAx>
      <c:valAx>
        <c:axId val="2066219712"/>
        <c:scaling>
          <c:orientation val="minMax"/>
        </c:scaling>
        <c:delete val="0"/>
        <c:axPos val="l"/>
        <c:majorGridlines>
          <c:spPr>
            <a:ln w="9525" cap="flat" cmpd="sng" algn="ctr">
              <a:solidFill>
                <a:srgbClr val="084F6A"/>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662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[Sales_Performance_Analysis_Project.xlsx]Pivot Table!PivotTable6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tx1"/>
                </a:solidFill>
              </a:rPr>
              <a:t>Total</a:t>
            </a:r>
            <a:r>
              <a:rPr lang="en-US" b="1" baseline="0">
                <a:solidFill>
                  <a:schemeClr val="tx1"/>
                </a:solidFill>
              </a:rPr>
              <a:t> Sales across Regions</a:t>
            </a:r>
            <a:endParaRPr lang="en-US" b="1">
              <a:solidFill>
                <a:schemeClr val="tx1"/>
              </a:solidFill>
            </a:endParaRPr>
          </a:p>
        </c:rich>
      </c:tx>
      <c:layout>
        <c:manualLayout>
          <c:xMode val="edge"/>
          <c:yMode val="edge"/>
          <c:x val="1.3458618840078885E-2"/>
          <c:y val="2.16836778249393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31002331002331E-3"/>
              <c:y val="-6.548788474132345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9.82318271119848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31002331002331E-3"/>
              <c:y val="-6.548788474132345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9.82318271119848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31002331002331E-3"/>
              <c:y val="-6.548788474132345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84F6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4F6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9.82318271119848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Table'!$C$5:$C$6</c:f>
              <c:strCache>
                <c:ptCount val="1"/>
                <c:pt idx="0">
                  <c:v>Furniture</c:v>
                </c:pt>
              </c:strCache>
            </c:strRef>
          </c:tx>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Table'!$B$7:$B$11</c:f>
              <c:strCache>
                <c:ptCount val="4"/>
                <c:pt idx="0">
                  <c:v>North</c:v>
                </c:pt>
                <c:pt idx="1">
                  <c:v>East</c:v>
                </c:pt>
                <c:pt idx="2">
                  <c:v>South</c:v>
                </c:pt>
                <c:pt idx="3">
                  <c:v>West</c:v>
                </c:pt>
              </c:strCache>
            </c:strRef>
          </c:cat>
          <c:val>
            <c:numRef>
              <c:f>'Pivot Table'!$C$7:$C$11</c:f>
              <c:numCache>
                <c:formatCode>_ [$₹-4009]\ * #,##0.00_ ;_ [$₹-4009]\ * \-#,##0.00_ ;_ [$₹-4009]\ * "-"??_ ;_ @_ </c:formatCode>
                <c:ptCount val="4"/>
                <c:pt idx="0">
                  <c:v>523596.69000000018</c:v>
                </c:pt>
                <c:pt idx="1">
                  <c:v>430403.63999999996</c:v>
                </c:pt>
                <c:pt idx="2">
                  <c:v>404040.44000000035</c:v>
                </c:pt>
                <c:pt idx="3">
                  <c:v>474739.92999999993</c:v>
                </c:pt>
              </c:numCache>
            </c:numRef>
          </c:val>
          <c:extLst>
            <c:ext xmlns:c16="http://schemas.microsoft.com/office/drawing/2014/chart" uri="{C3380CC4-5D6E-409C-BE32-E72D297353CC}">
              <c16:uniqueId val="{00000000-0BC8-4C89-BC82-59385F221F3E}"/>
            </c:ext>
          </c:extLst>
        </c:ser>
        <c:ser>
          <c:idx val="1"/>
          <c:order val="1"/>
          <c:tx>
            <c:strRef>
              <c:f>'Pivot Table'!$D$5:$D$6</c:f>
              <c:strCache>
                <c:ptCount val="1"/>
                <c:pt idx="0">
                  <c:v>Electronics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F59-407E-B5CE-37238384A8D0}"/>
              </c:ext>
            </c:extLst>
          </c:dPt>
          <c:dLbls>
            <c:dLbl>
              <c:idx val="2"/>
              <c:layout>
                <c:manualLayout>
                  <c:x val="-2.331002331002331E-3"/>
                  <c:y val="-6.5487884741323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59-407E-B5CE-37238384A8D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Table'!$B$7:$B$11</c:f>
              <c:strCache>
                <c:ptCount val="4"/>
                <c:pt idx="0">
                  <c:v>North</c:v>
                </c:pt>
                <c:pt idx="1">
                  <c:v>East</c:v>
                </c:pt>
                <c:pt idx="2">
                  <c:v>South</c:v>
                </c:pt>
                <c:pt idx="3">
                  <c:v>West</c:v>
                </c:pt>
              </c:strCache>
            </c:strRef>
          </c:cat>
          <c:val>
            <c:numRef>
              <c:f>'Pivot Table'!$D$7:$D$11</c:f>
              <c:numCache>
                <c:formatCode>_ [$₹-4009]\ * #,##0.00_ ;_ [$₹-4009]\ * \-#,##0.00_ ;_ [$₹-4009]\ * "-"??_ ;_ @_ </c:formatCode>
                <c:ptCount val="4"/>
                <c:pt idx="0">
                  <c:v>448719.02999999997</c:v>
                </c:pt>
                <c:pt idx="1">
                  <c:v>463887.78</c:v>
                </c:pt>
                <c:pt idx="2">
                  <c:v>432630.84000000008</c:v>
                </c:pt>
                <c:pt idx="3">
                  <c:v>405759.01999999984</c:v>
                </c:pt>
              </c:numCache>
            </c:numRef>
          </c:val>
          <c:extLst>
            <c:ext xmlns:c16="http://schemas.microsoft.com/office/drawing/2014/chart" uri="{C3380CC4-5D6E-409C-BE32-E72D297353CC}">
              <c16:uniqueId val="{00000001-0BC8-4C89-BC82-59385F221F3E}"/>
            </c:ext>
          </c:extLst>
        </c:ser>
        <c:ser>
          <c:idx val="2"/>
          <c:order val="2"/>
          <c:tx>
            <c:strRef>
              <c:f>'Pivot Table'!$E$5:$E$6</c:f>
              <c:strCache>
                <c:ptCount val="1"/>
                <c:pt idx="0">
                  <c:v>Office Supplies</c:v>
                </c:pt>
              </c:strCache>
            </c:strRef>
          </c:tx>
          <c:spPr>
            <a:solidFill>
              <a:srgbClr val="084F6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spPr>
              <a:solidFill>
                <a:srgbClr val="084F6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F59-407E-B5CE-37238384A8D0}"/>
              </c:ext>
            </c:extLst>
          </c:dPt>
          <c:dLbls>
            <c:dLbl>
              <c:idx val="2"/>
              <c:layout>
                <c:manualLayout>
                  <c:x val="0"/>
                  <c:y val="-9.8231827111984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59-407E-B5CE-37238384A8D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Table'!$B$7:$B$11</c:f>
              <c:strCache>
                <c:ptCount val="4"/>
                <c:pt idx="0">
                  <c:v>North</c:v>
                </c:pt>
                <c:pt idx="1">
                  <c:v>East</c:v>
                </c:pt>
                <c:pt idx="2">
                  <c:v>South</c:v>
                </c:pt>
                <c:pt idx="3">
                  <c:v>West</c:v>
                </c:pt>
              </c:strCache>
            </c:strRef>
          </c:cat>
          <c:val>
            <c:numRef>
              <c:f>'Pivot Table'!$E$7:$E$11</c:f>
              <c:numCache>
                <c:formatCode>_ [$₹-4009]\ * #,##0.00_ ;_ [$₹-4009]\ * \-#,##0.00_ ;_ [$₹-4009]\ * "-"??_ ;_ @_ </c:formatCode>
                <c:ptCount val="4"/>
                <c:pt idx="0">
                  <c:v>411968.68</c:v>
                </c:pt>
                <c:pt idx="1">
                  <c:v>456256.93000000017</c:v>
                </c:pt>
                <c:pt idx="2">
                  <c:v>409100.83999999991</c:v>
                </c:pt>
                <c:pt idx="3">
                  <c:v>326416.28000000003</c:v>
                </c:pt>
              </c:numCache>
            </c:numRef>
          </c:val>
          <c:extLst>
            <c:ext xmlns:c16="http://schemas.microsoft.com/office/drawing/2014/chart" uri="{C3380CC4-5D6E-409C-BE32-E72D297353CC}">
              <c16:uniqueId val="{00000002-0BC8-4C89-BC82-59385F221F3E}"/>
            </c:ext>
          </c:extLst>
        </c:ser>
        <c:dLbls>
          <c:showLegendKey val="0"/>
          <c:showVal val="1"/>
          <c:showCatName val="0"/>
          <c:showSerName val="0"/>
          <c:showPercent val="0"/>
          <c:showBubbleSize val="0"/>
        </c:dLbls>
        <c:gapWidth val="219"/>
        <c:axId val="552741631"/>
        <c:axId val="552744511"/>
      </c:barChart>
      <c:catAx>
        <c:axId val="552741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52744511"/>
        <c:crosses val="autoZero"/>
        <c:auto val="1"/>
        <c:lblAlgn val="ctr"/>
        <c:lblOffset val="100"/>
        <c:noMultiLvlLbl val="0"/>
      </c:catAx>
      <c:valAx>
        <c:axId val="552744511"/>
        <c:scaling>
          <c:orientation val="minMax"/>
        </c:scaling>
        <c:delete val="1"/>
        <c:axPos val="b"/>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crossAx val="552741631"/>
        <c:crosses val="autoZero"/>
        <c:crossBetween val="between"/>
      </c:valAx>
      <c:spPr>
        <a:noFill/>
        <a:ln>
          <a:noFill/>
        </a:ln>
        <a:effectLst/>
      </c:spPr>
    </c:plotArea>
    <c:legend>
      <c:legendPos val="r"/>
      <c:layout>
        <c:manualLayout>
          <c:xMode val="edge"/>
          <c:yMode val="edge"/>
          <c:x val="0.7452038159350457"/>
          <c:y val="0.37625502748243644"/>
          <c:w val="0.24853191915934625"/>
          <c:h val="0.1960520339972750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[Sales_Performance_Analysis_Project.xlsx]Sales by Customer Segment	!PivotTable17</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tx1"/>
                </a:solidFill>
                <a:effectLst/>
              </a:rPr>
              <a:t>Sales by Customer Segment.</a:t>
            </a:r>
            <a:endParaRPr lang="en-US" baseline="0">
              <a:solidFill>
                <a:schemeClr val="tx1"/>
              </a:solidFill>
            </a:endParaRPr>
          </a:p>
        </c:rich>
      </c:tx>
      <c:layout>
        <c:manualLayout>
          <c:xMode val="edge"/>
          <c:yMode val="edge"/>
          <c:x val="0.40741111946501962"/>
          <c:y val="2.754150565738725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A2EA0BE2-6CB0-4BA2-8839-6394A8CA2342}" type="VALUE">
                  <a:rPr lang="en-US" baseline="0">
                    <a:solidFill>
                      <a:schemeClr val="bg1"/>
                    </a:solidFill>
                  </a:rPr>
                  <a:pPr>
                    <a:defRPr sz="10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084F6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2.4566467931893498E-2"/>
          <c:y val="0.2119543916983726"/>
          <c:w val="0.63639112782977825"/>
          <c:h val="0.74389007639571414"/>
        </c:manualLayout>
      </c:layout>
      <c:pieChart>
        <c:varyColors val="1"/>
        <c:ser>
          <c:idx val="0"/>
          <c:order val="0"/>
          <c:tx>
            <c:strRef>
              <c:f>'Sales by Customer Segment	'!$C$6</c:f>
              <c:strCache>
                <c:ptCount val="1"/>
                <c:pt idx="0">
                  <c:v>Total</c:v>
                </c:pt>
              </c:strCache>
            </c:strRef>
          </c:tx>
          <c:spPr>
            <a:solidFill>
              <a:srgbClr val="002060"/>
            </a:solidFill>
          </c:spPr>
          <c:dPt>
            <c:idx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12-4518-84A9-6EB7F895C507}"/>
              </c:ext>
            </c:extLst>
          </c:dPt>
          <c:dPt>
            <c:idx val="1"/>
            <c:bubble3D val="0"/>
            <c:spPr>
              <a:solidFill>
                <a:srgbClr val="084F6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12-4518-84A9-6EB7F895C507}"/>
              </c:ext>
            </c:extLst>
          </c:dPt>
          <c:dPt>
            <c:idx val="2"/>
            <c:bubble3D val="0"/>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12-4518-84A9-6EB7F895C507}"/>
              </c:ext>
            </c:extLst>
          </c:dPt>
          <c:dLbls>
            <c:dLbl>
              <c:idx val="0"/>
              <c:tx>
                <c:rich>
                  <a:bodyPr/>
                  <a:lstStyle/>
                  <a:p>
                    <a:fld id="{A2EA0BE2-6CB0-4BA2-8839-6394A8CA2342}" type="VALUE">
                      <a:rPr lang="en-US" baseline="0">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B12-4518-84A9-6EB7F895C50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Customer Segment	'!$B$7:$B$10</c:f>
              <c:strCache>
                <c:ptCount val="3"/>
                <c:pt idx="0">
                  <c:v>Corporate</c:v>
                </c:pt>
                <c:pt idx="1">
                  <c:v>Consumer</c:v>
                </c:pt>
                <c:pt idx="2">
                  <c:v>Small Business</c:v>
                </c:pt>
              </c:strCache>
            </c:strRef>
          </c:cat>
          <c:val>
            <c:numRef>
              <c:f>'Sales by Customer Segment	'!$C$7:$C$10</c:f>
              <c:numCache>
                <c:formatCode>_ [$₹-4009]\ * #,##0.00_ ;_ [$₹-4009]\ * \-#,##0.00_ ;_ [$₹-4009]\ * "-"??_ ;_ @_ </c:formatCode>
                <c:ptCount val="3"/>
                <c:pt idx="0">
                  <c:v>1757995.06</c:v>
                </c:pt>
                <c:pt idx="1">
                  <c:v>1743489.8299999982</c:v>
                </c:pt>
                <c:pt idx="2">
                  <c:v>1686035.2099999997</c:v>
                </c:pt>
              </c:numCache>
            </c:numRef>
          </c:val>
          <c:extLst>
            <c:ext xmlns:c16="http://schemas.microsoft.com/office/drawing/2014/chart" uri="{C3380CC4-5D6E-409C-BE32-E72D297353CC}">
              <c16:uniqueId val="{00000006-CB12-4518-84A9-6EB7F895C5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120841875446723"/>
          <c:y val="0.56655268108557888"/>
          <c:w val="0.31831952463562158"/>
          <c:h val="0.259636419547678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[Sales_Performance_Analysis_Project.xlsx]Highest Revenue &amp;Profit Margins!PivotTable18</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200" baseline="0">
                <a:solidFill>
                  <a:schemeClr val="tx1"/>
                </a:solidFill>
              </a:rPr>
              <a:t>Highest Revenue</a:t>
            </a:r>
          </a:p>
        </c:rich>
      </c:tx>
      <c:layout>
        <c:manualLayout>
          <c:xMode val="edge"/>
          <c:yMode val="edge"/>
          <c:x val="0.56175685144111531"/>
          <c:y val="5.372625167470327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Revenue &amp;Profit Margins'!$C$4</c:f>
              <c:strCache>
                <c:ptCount val="1"/>
                <c:pt idx="0">
                  <c:v>Sum of Sales Amount</c:v>
                </c:pt>
              </c:strCache>
            </c:strRef>
          </c:tx>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D28-4A3C-810B-33F903EA57AF}"/>
              </c:ext>
            </c:extLst>
          </c:dPt>
          <c:dPt>
            <c:idx val="1"/>
            <c:invertIfNegative val="0"/>
            <c:bubble3D val="0"/>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D28-4A3C-810B-33F903EA57AF}"/>
              </c:ext>
            </c:extLst>
          </c:dPt>
          <c:dLbls>
            <c:dLbl>
              <c:idx val="0"/>
              <c:layout>
                <c:manualLayout>
                  <c:x val="1.94444444444444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28-4A3C-810B-33F903EA57AF}"/>
                </c:ext>
              </c:extLst>
            </c:dLbl>
            <c:dLbl>
              <c:idx val="1"/>
              <c:layout>
                <c:manualLayout>
                  <c:x val="-5.0925337632079971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28-4A3C-810B-33F903EA57A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Revenue &amp;Profit Margins'!$B$5:$B$8</c:f>
              <c:strCache>
                <c:ptCount val="3"/>
                <c:pt idx="0">
                  <c:v>Small Business</c:v>
                </c:pt>
                <c:pt idx="1">
                  <c:v>Corporate</c:v>
                </c:pt>
                <c:pt idx="2">
                  <c:v>Consumer</c:v>
                </c:pt>
              </c:strCache>
            </c:strRef>
          </c:cat>
          <c:val>
            <c:numRef>
              <c:f>'Highest Revenue &amp;Profit Margins'!$C$5:$C$8</c:f>
              <c:numCache>
                <c:formatCode>_ [$₹-4009]\ * #,##0.00_ ;_ [$₹-4009]\ * \-#,##0.00_ ;_ [$₹-4009]\ * "-"??_ ;_ @_ </c:formatCode>
                <c:ptCount val="3"/>
                <c:pt idx="0">
                  <c:v>1686035.2099999997</c:v>
                </c:pt>
                <c:pt idx="1">
                  <c:v>1757995.06</c:v>
                </c:pt>
                <c:pt idx="2">
                  <c:v>1743489.8299999982</c:v>
                </c:pt>
              </c:numCache>
            </c:numRef>
          </c:val>
          <c:extLst>
            <c:ext xmlns:c16="http://schemas.microsoft.com/office/drawing/2014/chart" uri="{C3380CC4-5D6E-409C-BE32-E72D297353CC}">
              <c16:uniqueId val="{00000003-AD28-4A3C-810B-33F903EA57AF}"/>
            </c:ext>
          </c:extLst>
        </c:ser>
        <c:ser>
          <c:idx val="1"/>
          <c:order val="1"/>
          <c:tx>
            <c:strRef>
              <c:f>'Highest Revenue &amp;Profit Margins'!$D$4</c:f>
              <c:strCache>
                <c:ptCount val="1"/>
                <c:pt idx="0">
                  <c:v>Sum of Profit</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Revenue &amp;Profit Margins'!$B$5:$B$8</c:f>
              <c:strCache>
                <c:ptCount val="3"/>
                <c:pt idx="0">
                  <c:v>Small Business</c:v>
                </c:pt>
                <c:pt idx="1">
                  <c:v>Corporate</c:v>
                </c:pt>
                <c:pt idx="2">
                  <c:v>Consumer</c:v>
                </c:pt>
              </c:strCache>
            </c:strRef>
          </c:cat>
          <c:val>
            <c:numRef>
              <c:f>'Highest Revenue &amp;Profit Margins'!$D$5:$D$8</c:f>
              <c:numCache>
                <c:formatCode>_ [$₹-4009]\ * #,##0.00_ ;_ [$₹-4009]\ * \-#,##0.00_ ;_ [$₹-4009]\ * "-"??_ ;_ @_ </c:formatCode>
                <c:ptCount val="3"/>
                <c:pt idx="0">
                  <c:v>337195.94999999995</c:v>
                </c:pt>
                <c:pt idx="1">
                  <c:v>334305.59000000067</c:v>
                </c:pt>
                <c:pt idx="2">
                  <c:v>336988.57000000024</c:v>
                </c:pt>
              </c:numCache>
            </c:numRef>
          </c:val>
          <c:extLst>
            <c:ext xmlns:c16="http://schemas.microsoft.com/office/drawing/2014/chart" uri="{C3380CC4-5D6E-409C-BE32-E72D297353CC}">
              <c16:uniqueId val="{00000004-AD28-4A3C-810B-33F903EA57AF}"/>
            </c:ext>
          </c:extLst>
        </c:ser>
        <c:dLbls>
          <c:dLblPos val="outEnd"/>
          <c:showLegendKey val="0"/>
          <c:showVal val="1"/>
          <c:showCatName val="0"/>
          <c:showSerName val="0"/>
          <c:showPercent val="0"/>
          <c:showBubbleSize val="0"/>
        </c:dLbls>
        <c:gapWidth val="100"/>
        <c:overlap val="-24"/>
        <c:axId val="656722319"/>
        <c:axId val="656732879"/>
      </c:barChart>
      <c:catAx>
        <c:axId val="65672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6732879"/>
        <c:crosses val="autoZero"/>
        <c:auto val="1"/>
        <c:lblAlgn val="ctr"/>
        <c:lblOffset val="100"/>
        <c:noMultiLvlLbl val="0"/>
      </c:catAx>
      <c:valAx>
        <c:axId val="656732879"/>
        <c:scaling>
          <c:orientation val="minMax"/>
        </c:scaling>
        <c:delete val="1"/>
        <c:axPos val="l"/>
        <c:numFmt formatCode="_ [$₹-4009]\ * #,##0.00_ ;_ [$₹-4009]\ * \-#,##0.00_ ;_ [$₹-4009]\ * &quot;-&quot;??_ ;_ @_ " sourceLinked="1"/>
        <c:majorTickMark val="none"/>
        <c:minorTickMark val="none"/>
        <c:tickLblPos val="nextTo"/>
        <c:crossAx val="656722319"/>
        <c:crosses val="autoZero"/>
        <c:crossBetween val="between"/>
      </c:valAx>
      <c:spPr>
        <a:noFill/>
        <a:ln>
          <a:noFill/>
        </a:ln>
        <a:effectLst/>
      </c:spPr>
    </c:plotArea>
    <c:legend>
      <c:legendPos val="r"/>
      <c:layout>
        <c:manualLayout>
          <c:xMode val="edge"/>
          <c:yMode val="edge"/>
          <c:x val="0.70595456868902262"/>
          <c:y val="0.6237875738492501"/>
          <c:w val="0.26184846701569953"/>
          <c:h val="0.348548393760365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68580</xdr:colOff>
      <xdr:row>2</xdr:row>
      <xdr:rowOff>171450</xdr:rowOff>
    </xdr:from>
    <xdr:to>
      <xdr:col>10</xdr:col>
      <xdr:colOff>373380</xdr:colOff>
      <xdr:row>17</xdr:row>
      <xdr:rowOff>156210</xdr:rowOff>
    </xdr:to>
    <xdr:graphicFrame macro="">
      <xdr:nvGraphicFramePr>
        <xdr:cNvPr id="2" name="Chart 1">
          <a:extLst>
            <a:ext uri="{FF2B5EF4-FFF2-40B4-BE49-F238E27FC236}">
              <a16:creationId xmlns:a16="http://schemas.microsoft.com/office/drawing/2014/main" id="{FE144DB1-439E-621D-3A79-337252DDA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xdr:row>
      <xdr:rowOff>194310</xdr:rowOff>
    </xdr:from>
    <xdr:to>
      <xdr:col>10</xdr:col>
      <xdr:colOff>350520</xdr:colOff>
      <xdr:row>16</xdr:row>
      <xdr:rowOff>179070</xdr:rowOff>
    </xdr:to>
    <xdr:graphicFrame macro="">
      <xdr:nvGraphicFramePr>
        <xdr:cNvPr id="2" name="Chart 1">
          <a:extLst>
            <a:ext uri="{FF2B5EF4-FFF2-40B4-BE49-F238E27FC236}">
              <a16:creationId xmlns:a16="http://schemas.microsoft.com/office/drawing/2014/main" id="{96893D75-C834-46AE-87A3-1F44C0363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37</xdr:row>
      <xdr:rowOff>83820</xdr:rowOff>
    </xdr:from>
    <xdr:to>
      <xdr:col>2</xdr:col>
      <xdr:colOff>358140</xdr:colOff>
      <xdr:row>50</xdr:row>
      <xdr:rowOff>173355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332F97B-DD64-2E97-E73D-C1437BDD4E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865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37</xdr:row>
      <xdr:rowOff>106681</xdr:rowOff>
    </xdr:from>
    <xdr:to>
      <xdr:col>4</xdr:col>
      <xdr:colOff>281940</xdr:colOff>
      <xdr:row>44</xdr:row>
      <xdr:rowOff>144781</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415DA3D6-9DBD-9FD3-4973-2340EDC8C9D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851660" y="6888481"/>
              <a:ext cx="18288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45</xdr:row>
      <xdr:rowOff>45721</xdr:rowOff>
    </xdr:from>
    <xdr:to>
      <xdr:col>2</xdr:col>
      <xdr:colOff>972312</xdr:colOff>
      <xdr:row>55</xdr:row>
      <xdr:rowOff>169089</xdr:rowOff>
    </xdr:to>
    <mc:AlternateContent xmlns:mc="http://schemas.openxmlformats.org/markup-compatibility/2006" xmlns:a14="http://schemas.microsoft.com/office/drawing/2010/main">
      <mc:Choice Requires="a14">
        <xdr:graphicFrame macro="">
          <xdr:nvGraphicFramePr>
            <xdr:cNvPr id="7" name="Months (Order Date)">
              <a:extLst>
                <a:ext uri="{FF2B5EF4-FFF2-40B4-BE49-F238E27FC236}">
                  <a16:creationId xmlns:a16="http://schemas.microsoft.com/office/drawing/2014/main" id="{B870B807-4E52-117A-CD76-593CC6FD473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5240" y="8290561"/>
              <a:ext cx="2427732" cy="1952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xdr:colOff>
      <xdr:row>3</xdr:row>
      <xdr:rowOff>26670</xdr:rowOff>
    </xdr:from>
    <xdr:to>
      <xdr:col>10</xdr:col>
      <xdr:colOff>365760</xdr:colOff>
      <xdr:row>18</xdr:row>
      <xdr:rowOff>26670</xdr:rowOff>
    </xdr:to>
    <xdr:graphicFrame macro="">
      <xdr:nvGraphicFramePr>
        <xdr:cNvPr id="2" name="Chart 1">
          <a:extLst>
            <a:ext uri="{FF2B5EF4-FFF2-40B4-BE49-F238E27FC236}">
              <a16:creationId xmlns:a16="http://schemas.microsoft.com/office/drawing/2014/main" id="{67ED762B-CB7A-8E17-92A5-40136FC54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xdr:colOff>
      <xdr:row>4</xdr:row>
      <xdr:rowOff>0</xdr:rowOff>
    </xdr:from>
    <xdr:to>
      <xdr:col>15</xdr:col>
      <xdr:colOff>0</xdr:colOff>
      <xdr:row>25</xdr:row>
      <xdr:rowOff>38100</xdr:rowOff>
    </xdr:to>
    <xdr:graphicFrame macro="">
      <xdr:nvGraphicFramePr>
        <xdr:cNvPr id="2" name="Chart 1">
          <a:extLst>
            <a:ext uri="{FF2B5EF4-FFF2-40B4-BE49-F238E27FC236}">
              <a16:creationId xmlns:a16="http://schemas.microsoft.com/office/drawing/2014/main" id="{5CDCB184-27C8-B2C4-C687-0EDB1C28B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4</xdr:row>
      <xdr:rowOff>194310</xdr:rowOff>
    </xdr:from>
    <xdr:to>
      <xdr:col>8</xdr:col>
      <xdr:colOff>472440</xdr:colOff>
      <xdr:row>20</xdr:row>
      <xdr:rowOff>11430</xdr:rowOff>
    </xdr:to>
    <xdr:graphicFrame macro="">
      <xdr:nvGraphicFramePr>
        <xdr:cNvPr id="2" name="Chart 1">
          <a:extLst>
            <a:ext uri="{FF2B5EF4-FFF2-40B4-BE49-F238E27FC236}">
              <a16:creationId xmlns:a16="http://schemas.microsoft.com/office/drawing/2014/main" id="{ED8521AA-26B9-5ACF-000B-CED22FCF7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53340</xdr:colOff>
      <xdr:row>2</xdr:row>
      <xdr:rowOff>156210</xdr:rowOff>
    </xdr:from>
    <xdr:to>
      <xdr:col>11</xdr:col>
      <xdr:colOff>358140</xdr:colOff>
      <xdr:row>17</xdr:row>
      <xdr:rowOff>156210</xdr:rowOff>
    </xdr:to>
    <xdr:graphicFrame macro="">
      <xdr:nvGraphicFramePr>
        <xdr:cNvPr id="2" name="Chart 1">
          <a:extLst>
            <a:ext uri="{FF2B5EF4-FFF2-40B4-BE49-F238E27FC236}">
              <a16:creationId xmlns:a16="http://schemas.microsoft.com/office/drawing/2014/main" id="{3E36B3B9-3C08-44B2-4088-569DBF858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23091</xdr:rowOff>
    </xdr:from>
    <xdr:to>
      <xdr:col>20</xdr:col>
      <xdr:colOff>524163</xdr:colOff>
      <xdr:row>35</xdr:row>
      <xdr:rowOff>57727</xdr:rowOff>
    </xdr:to>
    <xdr:sp macro="" textlink="">
      <xdr:nvSpPr>
        <xdr:cNvPr id="2" name="Rectangle: Rounded Corners 1">
          <a:extLst>
            <a:ext uri="{FF2B5EF4-FFF2-40B4-BE49-F238E27FC236}">
              <a16:creationId xmlns:a16="http://schemas.microsoft.com/office/drawing/2014/main" id="{A5273BD2-F15C-2C8D-E965-309983EA197A}"/>
            </a:ext>
          </a:extLst>
        </xdr:cNvPr>
        <xdr:cNvSpPr/>
      </xdr:nvSpPr>
      <xdr:spPr>
        <a:xfrm>
          <a:off x="0" y="23091"/>
          <a:ext cx="12762345" cy="6500091"/>
        </a:xfrm>
        <a:prstGeom prst="roundRect">
          <a:avLst>
            <a:gd name="adj" fmla="val 263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44825</xdr:colOff>
      <xdr:row>0</xdr:row>
      <xdr:rowOff>44824</xdr:rowOff>
    </xdr:from>
    <xdr:to>
      <xdr:col>15</xdr:col>
      <xdr:colOff>367553</xdr:colOff>
      <xdr:row>5</xdr:row>
      <xdr:rowOff>82304</xdr:rowOff>
    </xdr:to>
    <xdr:sp macro="" textlink="">
      <xdr:nvSpPr>
        <xdr:cNvPr id="5" name="Rectangle: Rounded Corners 4">
          <a:extLst>
            <a:ext uri="{FF2B5EF4-FFF2-40B4-BE49-F238E27FC236}">
              <a16:creationId xmlns:a16="http://schemas.microsoft.com/office/drawing/2014/main" id="{D94DF353-F301-487E-8282-CA0A18E909AE}"/>
            </a:ext>
          </a:extLst>
        </xdr:cNvPr>
        <xdr:cNvSpPr/>
      </xdr:nvSpPr>
      <xdr:spPr>
        <a:xfrm>
          <a:off x="44825" y="44824"/>
          <a:ext cx="9466728" cy="933951"/>
        </a:xfrm>
        <a:prstGeom prst="roundRect">
          <a:avLst/>
        </a:prstGeom>
        <a:gradFill>
          <a:gsLst>
            <a:gs pos="0">
              <a:srgbClr val="084F6A"/>
            </a:gs>
            <a:gs pos="76000">
              <a:srgbClr val="0070C0"/>
            </a:gs>
            <a:gs pos="100000">
              <a:srgbClr val="0070C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35860</xdr:colOff>
      <xdr:row>5</xdr:row>
      <xdr:rowOff>125504</xdr:rowOff>
    </xdr:from>
    <xdr:to>
      <xdr:col>2</xdr:col>
      <xdr:colOff>47860</xdr:colOff>
      <xdr:row>34</xdr:row>
      <xdr:rowOff>161364</xdr:rowOff>
    </xdr:to>
    <xdr:sp macro="" textlink="">
      <xdr:nvSpPr>
        <xdr:cNvPr id="6" name="Rectangle: Rounded Corners 5">
          <a:extLst>
            <a:ext uri="{FF2B5EF4-FFF2-40B4-BE49-F238E27FC236}">
              <a16:creationId xmlns:a16="http://schemas.microsoft.com/office/drawing/2014/main" id="{6615025A-0A43-4A37-9760-7D6574C6C1DB}"/>
            </a:ext>
          </a:extLst>
        </xdr:cNvPr>
        <xdr:cNvSpPr/>
      </xdr:nvSpPr>
      <xdr:spPr>
        <a:xfrm>
          <a:off x="35860" y="1021975"/>
          <a:ext cx="1231200" cy="5235389"/>
        </a:xfrm>
        <a:prstGeom prst="round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134470</xdr:colOff>
      <xdr:row>5</xdr:row>
      <xdr:rowOff>125505</xdr:rowOff>
    </xdr:from>
    <xdr:to>
      <xdr:col>5</xdr:col>
      <xdr:colOff>292870</xdr:colOff>
      <xdr:row>10</xdr:row>
      <xdr:rowOff>119789</xdr:rowOff>
    </xdr:to>
    <xdr:sp macro="" textlink="">
      <xdr:nvSpPr>
        <xdr:cNvPr id="7" name="Rectangle: Rounded Corners 6">
          <a:extLst>
            <a:ext uri="{FF2B5EF4-FFF2-40B4-BE49-F238E27FC236}">
              <a16:creationId xmlns:a16="http://schemas.microsoft.com/office/drawing/2014/main" id="{9DEF9BD4-E631-7A61-36DD-0506472E6E1F}"/>
            </a:ext>
          </a:extLst>
        </xdr:cNvPr>
        <xdr:cNvSpPr/>
      </xdr:nvSpPr>
      <xdr:spPr>
        <a:xfrm>
          <a:off x="1353670" y="1021976"/>
          <a:ext cx="1987200" cy="890754"/>
        </a:xfrm>
        <a:prstGeom prst="roundRect">
          <a:avLst>
            <a:gd name="adj" fmla="val 7548"/>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367552</xdr:colOff>
      <xdr:row>5</xdr:row>
      <xdr:rowOff>116541</xdr:rowOff>
    </xdr:from>
    <xdr:to>
      <xdr:col>8</xdr:col>
      <xdr:colOff>525952</xdr:colOff>
      <xdr:row>10</xdr:row>
      <xdr:rowOff>128753</xdr:rowOff>
    </xdr:to>
    <xdr:sp macro="" textlink="">
      <xdr:nvSpPr>
        <xdr:cNvPr id="8" name="Rectangle: Rounded Corners 7">
          <a:extLst>
            <a:ext uri="{FF2B5EF4-FFF2-40B4-BE49-F238E27FC236}">
              <a16:creationId xmlns:a16="http://schemas.microsoft.com/office/drawing/2014/main" id="{3F56261F-713E-46BD-8061-57B3300E18BC}"/>
            </a:ext>
          </a:extLst>
        </xdr:cNvPr>
        <xdr:cNvSpPr/>
      </xdr:nvSpPr>
      <xdr:spPr>
        <a:xfrm>
          <a:off x="3415552" y="1013012"/>
          <a:ext cx="1987200" cy="908682"/>
        </a:xfrm>
        <a:prstGeom prst="roundRect">
          <a:avLst>
            <a:gd name="adj" fmla="val 11568"/>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116539</xdr:colOff>
      <xdr:row>11</xdr:row>
      <xdr:rowOff>1</xdr:rowOff>
    </xdr:from>
    <xdr:to>
      <xdr:col>8</xdr:col>
      <xdr:colOff>528918</xdr:colOff>
      <xdr:row>25</xdr:row>
      <xdr:rowOff>8965</xdr:rowOff>
    </xdr:to>
    <xdr:sp macro="" textlink="">
      <xdr:nvSpPr>
        <xdr:cNvPr id="9" name="Rectangle: Rounded Corners 8">
          <a:extLst>
            <a:ext uri="{FF2B5EF4-FFF2-40B4-BE49-F238E27FC236}">
              <a16:creationId xmlns:a16="http://schemas.microsoft.com/office/drawing/2014/main" id="{7E7023B6-41DE-4186-A519-DBE2C9A09B36}"/>
            </a:ext>
          </a:extLst>
        </xdr:cNvPr>
        <xdr:cNvSpPr/>
      </xdr:nvSpPr>
      <xdr:spPr>
        <a:xfrm>
          <a:off x="1335739" y="1972236"/>
          <a:ext cx="4069979" cy="2519082"/>
        </a:xfrm>
        <a:prstGeom prst="roundRect">
          <a:avLst>
            <a:gd name="adj" fmla="val 5279"/>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89644</xdr:colOff>
      <xdr:row>25</xdr:row>
      <xdr:rowOff>62753</xdr:rowOff>
    </xdr:from>
    <xdr:to>
      <xdr:col>8</xdr:col>
      <xdr:colOff>519953</xdr:colOff>
      <xdr:row>34</xdr:row>
      <xdr:rowOff>161365</xdr:rowOff>
    </xdr:to>
    <xdr:sp macro="" textlink="">
      <xdr:nvSpPr>
        <xdr:cNvPr id="10" name="Rectangle: Rounded Corners 9">
          <a:extLst>
            <a:ext uri="{FF2B5EF4-FFF2-40B4-BE49-F238E27FC236}">
              <a16:creationId xmlns:a16="http://schemas.microsoft.com/office/drawing/2014/main" id="{D1F4597F-F699-4ABD-AC9A-7921815C2975}"/>
            </a:ext>
          </a:extLst>
        </xdr:cNvPr>
        <xdr:cNvSpPr/>
      </xdr:nvSpPr>
      <xdr:spPr>
        <a:xfrm>
          <a:off x="1308844" y="4545106"/>
          <a:ext cx="4087909" cy="1712259"/>
        </a:xfrm>
        <a:prstGeom prst="roundRect">
          <a:avLst>
            <a:gd name="adj" fmla="val 8140"/>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564776</xdr:colOff>
      <xdr:row>5</xdr:row>
      <xdr:rowOff>98612</xdr:rowOff>
    </xdr:from>
    <xdr:to>
      <xdr:col>15</xdr:col>
      <xdr:colOff>367551</xdr:colOff>
      <xdr:row>25</xdr:row>
      <xdr:rowOff>17930</xdr:rowOff>
    </xdr:to>
    <xdr:sp macro="" textlink="">
      <xdr:nvSpPr>
        <xdr:cNvPr id="11" name="Rectangle: Rounded Corners 10">
          <a:extLst>
            <a:ext uri="{FF2B5EF4-FFF2-40B4-BE49-F238E27FC236}">
              <a16:creationId xmlns:a16="http://schemas.microsoft.com/office/drawing/2014/main" id="{1205ABC2-C992-458C-8453-3FC4BD2AAFC9}"/>
            </a:ext>
          </a:extLst>
        </xdr:cNvPr>
        <xdr:cNvSpPr/>
      </xdr:nvSpPr>
      <xdr:spPr>
        <a:xfrm>
          <a:off x="5441576" y="995083"/>
          <a:ext cx="4069975" cy="3505200"/>
        </a:xfrm>
        <a:prstGeom prst="roundRect">
          <a:avLst>
            <a:gd name="adj" fmla="val 4647"/>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564776</xdr:colOff>
      <xdr:row>25</xdr:row>
      <xdr:rowOff>71719</xdr:rowOff>
    </xdr:from>
    <xdr:to>
      <xdr:col>20</xdr:col>
      <xdr:colOff>475129</xdr:colOff>
      <xdr:row>34</xdr:row>
      <xdr:rowOff>170330</xdr:rowOff>
    </xdr:to>
    <xdr:sp macro="" textlink="">
      <xdr:nvSpPr>
        <xdr:cNvPr id="12" name="Rectangle: Rounded Corners 11">
          <a:extLst>
            <a:ext uri="{FF2B5EF4-FFF2-40B4-BE49-F238E27FC236}">
              <a16:creationId xmlns:a16="http://schemas.microsoft.com/office/drawing/2014/main" id="{D2F812DE-BD3C-49BD-A45D-0D714A1808A3}"/>
            </a:ext>
          </a:extLst>
        </xdr:cNvPr>
        <xdr:cNvSpPr/>
      </xdr:nvSpPr>
      <xdr:spPr>
        <a:xfrm>
          <a:off x="5441576" y="4554072"/>
          <a:ext cx="7225553" cy="1712258"/>
        </a:xfrm>
        <a:prstGeom prst="roundRect">
          <a:avLst>
            <a:gd name="adj" fmla="val 6283"/>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385482</xdr:colOff>
      <xdr:row>0</xdr:row>
      <xdr:rowOff>26894</xdr:rowOff>
    </xdr:from>
    <xdr:to>
      <xdr:col>20</xdr:col>
      <xdr:colOff>475128</xdr:colOff>
      <xdr:row>15</xdr:row>
      <xdr:rowOff>44824</xdr:rowOff>
    </xdr:to>
    <xdr:sp macro="" textlink="">
      <xdr:nvSpPr>
        <xdr:cNvPr id="13" name="Rectangle: Rounded Corners 12">
          <a:extLst>
            <a:ext uri="{FF2B5EF4-FFF2-40B4-BE49-F238E27FC236}">
              <a16:creationId xmlns:a16="http://schemas.microsoft.com/office/drawing/2014/main" id="{876D04B5-9773-428B-9A32-869B588044F6}"/>
            </a:ext>
          </a:extLst>
        </xdr:cNvPr>
        <xdr:cNvSpPr/>
      </xdr:nvSpPr>
      <xdr:spPr>
        <a:xfrm>
          <a:off x="9529482" y="26894"/>
          <a:ext cx="3137646" cy="2707342"/>
        </a:xfrm>
        <a:prstGeom prst="roundRect">
          <a:avLst>
            <a:gd name="adj" fmla="val 9231"/>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394447</xdr:colOff>
      <xdr:row>15</xdr:row>
      <xdr:rowOff>80682</xdr:rowOff>
    </xdr:from>
    <xdr:to>
      <xdr:col>20</xdr:col>
      <xdr:colOff>475129</xdr:colOff>
      <xdr:row>25</xdr:row>
      <xdr:rowOff>8964</xdr:rowOff>
    </xdr:to>
    <xdr:sp macro="" textlink="">
      <xdr:nvSpPr>
        <xdr:cNvPr id="14" name="Rectangle: Rounded Corners 13">
          <a:extLst>
            <a:ext uri="{FF2B5EF4-FFF2-40B4-BE49-F238E27FC236}">
              <a16:creationId xmlns:a16="http://schemas.microsoft.com/office/drawing/2014/main" id="{225D6F87-4DA8-41C5-9C17-9CE7530FAD2F}"/>
            </a:ext>
          </a:extLst>
        </xdr:cNvPr>
        <xdr:cNvSpPr/>
      </xdr:nvSpPr>
      <xdr:spPr>
        <a:xfrm>
          <a:off x="9538447" y="2770094"/>
          <a:ext cx="3128682" cy="1721223"/>
        </a:xfrm>
        <a:prstGeom prst="roundRect">
          <a:avLst>
            <a:gd name="adj" fmla="val 7813"/>
          </a:avLst>
        </a:prstGeom>
        <a:gradFill>
          <a:gsLst>
            <a:gs pos="0">
              <a:srgbClr val="F0F8FD"/>
            </a:gs>
            <a:gs pos="76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403412</xdr:colOff>
      <xdr:row>0</xdr:row>
      <xdr:rowOff>161365</xdr:rowOff>
    </xdr:from>
    <xdr:to>
      <xdr:col>15</xdr:col>
      <xdr:colOff>143435</xdr:colOff>
      <xdr:row>4</xdr:row>
      <xdr:rowOff>71718</xdr:rowOff>
    </xdr:to>
    <xdr:sp macro="" textlink="">
      <xdr:nvSpPr>
        <xdr:cNvPr id="15" name="TextBox 14">
          <a:extLst>
            <a:ext uri="{FF2B5EF4-FFF2-40B4-BE49-F238E27FC236}">
              <a16:creationId xmlns:a16="http://schemas.microsoft.com/office/drawing/2014/main" id="{02338F42-E17A-D03B-7916-D44FB4A77B7D}"/>
            </a:ext>
          </a:extLst>
        </xdr:cNvPr>
        <xdr:cNvSpPr txBox="1"/>
      </xdr:nvSpPr>
      <xdr:spPr>
        <a:xfrm>
          <a:off x="403412" y="161365"/>
          <a:ext cx="8884023" cy="627529"/>
        </a:xfrm>
        <a:prstGeom prst="rect">
          <a:avLst/>
        </a:prstGeom>
        <a:gradFill>
          <a:gsLst>
            <a:gs pos="0">
              <a:srgbClr val="084F6A"/>
            </a:gs>
            <a:gs pos="76000">
              <a:srgbClr val="0070C0"/>
            </a:gs>
            <a:gs pos="100000">
              <a:srgbClr val="0070C0"/>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US" sz="4400">
              <a:solidFill>
                <a:schemeClr val="bg2"/>
              </a:solidFill>
            </a:rPr>
            <a:t>SALES ANALYSIS DASHBOARD</a:t>
          </a:r>
        </a:p>
      </xdr:txBody>
    </xdr:sp>
    <xdr:clientData/>
  </xdr:twoCellAnchor>
  <xdr:twoCellAnchor editAs="oneCell">
    <xdr:from>
      <xdr:col>0</xdr:col>
      <xdr:colOff>53789</xdr:colOff>
      <xdr:row>0</xdr:row>
      <xdr:rowOff>53789</xdr:rowOff>
    </xdr:from>
    <xdr:to>
      <xdr:col>1</xdr:col>
      <xdr:colOff>358589</xdr:colOff>
      <xdr:row>5</xdr:row>
      <xdr:rowOff>71718</xdr:rowOff>
    </xdr:to>
    <xdr:pic>
      <xdr:nvPicPr>
        <xdr:cNvPr id="17" name="Graphic 16" descr="Bar graph with upward trend with solid fill">
          <a:extLst>
            <a:ext uri="{FF2B5EF4-FFF2-40B4-BE49-F238E27FC236}">
              <a16:creationId xmlns:a16="http://schemas.microsoft.com/office/drawing/2014/main" id="{927A7012-1E90-7898-3BA9-EF54F771F2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789" y="53789"/>
          <a:ext cx="914400" cy="914400"/>
        </a:xfrm>
        <a:prstGeom prst="rect">
          <a:avLst/>
        </a:prstGeom>
      </xdr:spPr>
    </xdr:pic>
    <xdr:clientData/>
  </xdr:twoCellAnchor>
  <xdr:twoCellAnchor editAs="oneCell">
    <xdr:from>
      <xdr:col>2</xdr:col>
      <xdr:colOff>152400</xdr:colOff>
      <xdr:row>5</xdr:row>
      <xdr:rowOff>156334</xdr:rowOff>
    </xdr:from>
    <xdr:to>
      <xdr:col>3</xdr:col>
      <xdr:colOff>224118</xdr:colOff>
      <xdr:row>9</xdr:row>
      <xdr:rowOff>143435</xdr:rowOff>
    </xdr:to>
    <xdr:pic>
      <xdr:nvPicPr>
        <xdr:cNvPr id="19" name="Graphic 18" descr="Money with solid fill">
          <a:extLst>
            <a:ext uri="{FF2B5EF4-FFF2-40B4-BE49-F238E27FC236}">
              <a16:creationId xmlns:a16="http://schemas.microsoft.com/office/drawing/2014/main" id="{B0B214B8-0233-EB44-48F7-FB2B8EE478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71600" y="1052805"/>
          <a:ext cx="681318" cy="704277"/>
        </a:xfrm>
        <a:prstGeom prst="rect">
          <a:avLst/>
        </a:prstGeom>
      </xdr:spPr>
    </xdr:pic>
    <xdr:clientData/>
  </xdr:twoCellAnchor>
  <xdr:twoCellAnchor>
    <xdr:from>
      <xdr:col>3</xdr:col>
      <xdr:colOff>233082</xdr:colOff>
      <xdr:row>6</xdr:row>
      <xdr:rowOff>8964</xdr:rowOff>
    </xdr:from>
    <xdr:to>
      <xdr:col>5</xdr:col>
      <xdr:colOff>161365</xdr:colOff>
      <xdr:row>7</xdr:row>
      <xdr:rowOff>170329</xdr:rowOff>
    </xdr:to>
    <xdr:sp macro="" textlink="">
      <xdr:nvSpPr>
        <xdr:cNvPr id="20" name="TextBox 19">
          <a:extLst>
            <a:ext uri="{FF2B5EF4-FFF2-40B4-BE49-F238E27FC236}">
              <a16:creationId xmlns:a16="http://schemas.microsoft.com/office/drawing/2014/main" id="{62573201-329E-3C0E-2B34-9BC36DC9C804}"/>
            </a:ext>
          </a:extLst>
        </xdr:cNvPr>
        <xdr:cNvSpPr txBox="1"/>
      </xdr:nvSpPr>
      <xdr:spPr>
        <a:xfrm>
          <a:off x="2061882" y="1084729"/>
          <a:ext cx="1147483"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268941</xdr:colOff>
      <xdr:row>5</xdr:row>
      <xdr:rowOff>170329</xdr:rowOff>
    </xdr:from>
    <xdr:to>
      <xdr:col>9</xdr:col>
      <xdr:colOff>44824</xdr:colOff>
      <xdr:row>7</xdr:row>
      <xdr:rowOff>152400</xdr:rowOff>
    </xdr:to>
    <xdr:sp macro="" textlink="">
      <xdr:nvSpPr>
        <xdr:cNvPr id="23" name="TextBox 22">
          <a:extLst>
            <a:ext uri="{FF2B5EF4-FFF2-40B4-BE49-F238E27FC236}">
              <a16:creationId xmlns:a16="http://schemas.microsoft.com/office/drawing/2014/main" id="{B07BB226-6E19-4952-A95F-E0D5CBD1FED9}"/>
            </a:ext>
          </a:extLst>
        </xdr:cNvPr>
        <xdr:cNvSpPr txBox="1"/>
      </xdr:nvSpPr>
      <xdr:spPr>
        <a:xfrm>
          <a:off x="3926541" y="1066800"/>
          <a:ext cx="1604683"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AVERAGE</a:t>
          </a:r>
          <a:r>
            <a:rPr lang="en-US" sz="1400" b="1" baseline="0">
              <a:solidFill>
                <a:schemeClr val="tx1"/>
              </a:solidFill>
            </a:rPr>
            <a:t> PROFIT</a:t>
          </a:r>
          <a:endParaRPr lang="en-US" sz="1400" b="1">
            <a:solidFill>
              <a:schemeClr val="tx1"/>
            </a:solidFill>
          </a:endParaRPr>
        </a:p>
      </xdr:txBody>
    </xdr:sp>
    <xdr:clientData/>
  </xdr:twoCellAnchor>
  <xdr:twoCellAnchor editAs="oneCell">
    <xdr:from>
      <xdr:col>5</xdr:col>
      <xdr:colOff>331695</xdr:colOff>
      <xdr:row>5</xdr:row>
      <xdr:rowOff>161364</xdr:rowOff>
    </xdr:from>
    <xdr:to>
      <xdr:col>6</xdr:col>
      <xdr:colOff>493060</xdr:colOff>
      <xdr:row>10</xdr:row>
      <xdr:rowOff>35859</xdr:rowOff>
    </xdr:to>
    <xdr:pic>
      <xdr:nvPicPr>
        <xdr:cNvPr id="25" name="Graphic 24" descr="Coins with solid fill">
          <a:extLst>
            <a:ext uri="{FF2B5EF4-FFF2-40B4-BE49-F238E27FC236}">
              <a16:creationId xmlns:a16="http://schemas.microsoft.com/office/drawing/2014/main" id="{ACB839A3-73F2-B4A5-D05F-4F404C6503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79695" y="1057835"/>
          <a:ext cx="770965" cy="770965"/>
        </a:xfrm>
        <a:prstGeom prst="rect">
          <a:avLst/>
        </a:prstGeom>
      </xdr:spPr>
    </xdr:pic>
    <xdr:clientData/>
  </xdr:twoCellAnchor>
  <xdr:twoCellAnchor>
    <xdr:from>
      <xdr:col>3</xdr:col>
      <xdr:colOff>161364</xdr:colOff>
      <xdr:row>7</xdr:row>
      <xdr:rowOff>53787</xdr:rowOff>
    </xdr:from>
    <xdr:to>
      <xdr:col>5</xdr:col>
      <xdr:colOff>304799</xdr:colOff>
      <xdr:row>10</xdr:row>
      <xdr:rowOff>8964</xdr:rowOff>
    </xdr:to>
    <xdr:sp macro="" textlink="'Sales Data'!L7">
      <xdr:nvSpPr>
        <xdr:cNvPr id="26" name="TextBox 25">
          <a:extLst>
            <a:ext uri="{FF2B5EF4-FFF2-40B4-BE49-F238E27FC236}">
              <a16:creationId xmlns:a16="http://schemas.microsoft.com/office/drawing/2014/main" id="{CC94FAED-FB3C-4113-AA32-5EFE870B8C1D}"/>
            </a:ext>
          </a:extLst>
        </xdr:cNvPr>
        <xdr:cNvSpPr txBox="1"/>
      </xdr:nvSpPr>
      <xdr:spPr>
        <a:xfrm>
          <a:off x="1990164" y="1308846"/>
          <a:ext cx="1362635"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2B40FB-95AC-4689-85C6-84FFEC41B713}" type="TxLink">
            <a:rPr lang="en-US" sz="1400" b="1" i="0" u="none" strike="noStrike">
              <a:solidFill>
                <a:srgbClr val="000000"/>
              </a:solidFill>
              <a:latin typeface="Calibri"/>
              <a:ea typeface="Calibri"/>
              <a:cs typeface="Calibri"/>
            </a:rPr>
            <a:pPr/>
            <a:t> ₹ 5,187,520.10 </a:t>
          </a:fld>
          <a:endParaRPr lang="en-US" sz="1800" b="1">
            <a:solidFill>
              <a:schemeClr val="tx1"/>
            </a:solidFill>
          </a:endParaRPr>
        </a:p>
      </xdr:txBody>
    </xdr:sp>
    <xdr:clientData/>
  </xdr:twoCellAnchor>
  <xdr:twoCellAnchor>
    <xdr:from>
      <xdr:col>6</xdr:col>
      <xdr:colOff>493057</xdr:colOff>
      <xdr:row>7</xdr:row>
      <xdr:rowOff>44822</xdr:rowOff>
    </xdr:from>
    <xdr:to>
      <xdr:col>8</xdr:col>
      <xdr:colOff>421340</xdr:colOff>
      <xdr:row>9</xdr:row>
      <xdr:rowOff>26893</xdr:rowOff>
    </xdr:to>
    <xdr:sp macro="" textlink="'Sales Data'!L8">
      <xdr:nvSpPr>
        <xdr:cNvPr id="27" name="TextBox 26">
          <a:extLst>
            <a:ext uri="{FF2B5EF4-FFF2-40B4-BE49-F238E27FC236}">
              <a16:creationId xmlns:a16="http://schemas.microsoft.com/office/drawing/2014/main" id="{422BC80E-FEDC-4B23-8B60-867FB70E8554}"/>
            </a:ext>
          </a:extLst>
        </xdr:cNvPr>
        <xdr:cNvSpPr txBox="1"/>
      </xdr:nvSpPr>
      <xdr:spPr>
        <a:xfrm>
          <a:off x="4150657" y="1299881"/>
          <a:ext cx="1147483"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0EEECB-E3C7-4EF3-A8FB-1616C5F97056}" type="TxLink">
            <a:rPr lang="en-US" sz="1600" b="1" i="0" u="none" strike="noStrike">
              <a:solidFill>
                <a:srgbClr val="000000"/>
              </a:solidFill>
              <a:latin typeface="Calibri"/>
              <a:ea typeface="Calibri"/>
              <a:cs typeface="Calibri"/>
            </a:rPr>
            <a:pPr/>
            <a:t> ₹ 504.25 </a:t>
          </a:fld>
          <a:endParaRPr lang="en-US" sz="2400" b="1">
            <a:solidFill>
              <a:schemeClr val="tx1"/>
            </a:solidFill>
          </a:endParaRPr>
        </a:p>
      </xdr:txBody>
    </xdr:sp>
    <xdr:clientData/>
  </xdr:twoCellAnchor>
  <xdr:twoCellAnchor>
    <xdr:from>
      <xdr:col>2</xdr:col>
      <xdr:colOff>116539</xdr:colOff>
      <xdr:row>11</xdr:row>
      <xdr:rowOff>1</xdr:rowOff>
    </xdr:from>
    <xdr:to>
      <xdr:col>8</xdr:col>
      <xdr:colOff>493059</xdr:colOff>
      <xdr:row>24</xdr:row>
      <xdr:rowOff>161365</xdr:rowOff>
    </xdr:to>
    <xdr:graphicFrame macro="">
      <xdr:nvGraphicFramePr>
        <xdr:cNvPr id="28" name="Chart 27">
          <a:extLst>
            <a:ext uri="{FF2B5EF4-FFF2-40B4-BE49-F238E27FC236}">
              <a16:creationId xmlns:a16="http://schemas.microsoft.com/office/drawing/2014/main" id="{1543788C-ED31-4F72-AFDD-FABF474BF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125506</xdr:colOff>
      <xdr:row>25</xdr:row>
      <xdr:rowOff>89647</xdr:rowOff>
    </xdr:from>
    <xdr:to>
      <xdr:col>8</xdr:col>
      <xdr:colOff>502024</xdr:colOff>
      <xdr:row>34</xdr:row>
      <xdr:rowOff>116542</xdr:rowOff>
    </xdr:to>
    <xdr:graphicFrame macro="">
      <xdr:nvGraphicFramePr>
        <xdr:cNvPr id="29" name="Chart 28">
          <a:extLst>
            <a:ext uri="{FF2B5EF4-FFF2-40B4-BE49-F238E27FC236}">
              <a16:creationId xmlns:a16="http://schemas.microsoft.com/office/drawing/2014/main" id="{50D79703-5B5F-4D0B-8700-365997561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582707</xdr:colOff>
      <xdr:row>25</xdr:row>
      <xdr:rowOff>143435</xdr:rowOff>
    </xdr:from>
    <xdr:to>
      <xdr:col>20</xdr:col>
      <xdr:colOff>457200</xdr:colOff>
      <xdr:row>34</xdr:row>
      <xdr:rowOff>134471</xdr:rowOff>
    </xdr:to>
    <xdr:graphicFrame macro="">
      <xdr:nvGraphicFramePr>
        <xdr:cNvPr id="30" name="Chart 29">
          <a:extLst>
            <a:ext uri="{FF2B5EF4-FFF2-40B4-BE49-F238E27FC236}">
              <a16:creationId xmlns:a16="http://schemas.microsoft.com/office/drawing/2014/main" id="{81155780-8830-40B1-A730-E00E3F5B5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591670</xdr:colOff>
      <xdr:row>5</xdr:row>
      <xdr:rowOff>98612</xdr:rowOff>
    </xdr:from>
    <xdr:to>
      <xdr:col>15</xdr:col>
      <xdr:colOff>349623</xdr:colOff>
      <xdr:row>25</xdr:row>
      <xdr:rowOff>26894</xdr:rowOff>
    </xdr:to>
    <xdr:graphicFrame macro="">
      <xdr:nvGraphicFramePr>
        <xdr:cNvPr id="31" name="Chart 30">
          <a:extLst>
            <a:ext uri="{FF2B5EF4-FFF2-40B4-BE49-F238E27FC236}">
              <a16:creationId xmlns:a16="http://schemas.microsoft.com/office/drawing/2014/main" id="{F3E5E49D-2A3A-4DE1-9DB0-FC540757F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412376</xdr:colOff>
      <xdr:row>0</xdr:row>
      <xdr:rowOff>80683</xdr:rowOff>
    </xdr:from>
    <xdr:to>
      <xdr:col>20</xdr:col>
      <xdr:colOff>466165</xdr:colOff>
      <xdr:row>15</xdr:row>
      <xdr:rowOff>44823</xdr:rowOff>
    </xdr:to>
    <xdr:graphicFrame macro="">
      <xdr:nvGraphicFramePr>
        <xdr:cNvPr id="32" name="Chart 31">
          <a:extLst>
            <a:ext uri="{FF2B5EF4-FFF2-40B4-BE49-F238E27FC236}">
              <a16:creationId xmlns:a16="http://schemas.microsoft.com/office/drawing/2014/main" id="{B0956F07-AD42-41AA-9D28-16C6B67D3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394447</xdr:colOff>
      <xdr:row>15</xdr:row>
      <xdr:rowOff>80682</xdr:rowOff>
    </xdr:from>
    <xdr:to>
      <xdr:col>20</xdr:col>
      <xdr:colOff>502024</xdr:colOff>
      <xdr:row>24</xdr:row>
      <xdr:rowOff>161365</xdr:rowOff>
    </xdr:to>
    <xdr:graphicFrame macro="">
      <xdr:nvGraphicFramePr>
        <xdr:cNvPr id="33" name="Chart 32">
          <a:extLst>
            <a:ext uri="{FF2B5EF4-FFF2-40B4-BE49-F238E27FC236}">
              <a16:creationId xmlns:a16="http://schemas.microsoft.com/office/drawing/2014/main" id="{F8DD368E-FF39-4D55-8595-6D27714A8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52169</xdr:colOff>
      <xdr:row>18</xdr:row>
      <xdr:rowOff>125384</xdr:rowOff>
    </xdr:from>
    <xdr:to>
      <xdr:col>2</xdr:col>
      <xdr:colOff>25274</xdr:colOff>
      <xdr:row>25</xdr:row>
      <xdr:rowOff>21167</xdr:rowOff>
    </xdr:to>
    <mc:AlternateContent xmlns:mc="http://schemas.openxmlformats.org/markup-compatibility/2006" xmlns:a14="http://schemas.microsoft.com/office/drawing/2010/main">
      <mc:Choice Requires="a14">
        <xdr:graphicFrame macro="">
          <xdr:nvGraphicFramePr>
            <xdr:cNvPr id="35" name="Product Category 1">
              <a:extLst>
                <a:ext uri="{FF2B5EF4-FFF2-40B4-BE49-F238E27FC236}">
                  <a16:creationId xmlns:a16="http://schemas.microsoft.com/office/drawing/2014/main" id="{2E1E1049-49BE-4DFF-B510-AA9CE3E8A4C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2169" y="3363884"/>
              <a:ext cx="1200772" cy="115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71718</xdr:colOff>
      <xdr:row>26</xdr:row>
      <xdr:rowOff>14818</xdr:rowOff>
    </xdr:from>
    <xdr:to>
      <xdr:col>2</xdr:col>
      <xdr:colOff>17929</xdr:colOff>
      <xdr:row>34</xdr:row>
      <xdr:rowOff>60262</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D44F357B-CA05-49AB-BEB5-81414363904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1718" y="4692651"/>
              <a:ext cx="1173878" cy="1484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52916</xdr:colOff>
      <xdr:row>7</xdr:row>
      <xdr:rowOff>0</xdr:rowOff>
    </xdr:from>
    <xdr:to>
      <xdr:col>2</xdr:col>
      <xdr:colOff>31749</xdr:colOff>
      <xdr:row>17</xdr:row>
      <xdr:rowOff>169334</xdr:rowOff>
    </xdr:to>
    <mc:AlternateContent xmlns:mc="http://schemas.openxmlformats.org/markup-compatibility/2006" xmlns:a14="http://schemas.microsoft.com/office/drawing/2010/main">
      <mc:Choice Requires="a14">
        <xdr:graphicFrame macro="">
          <xdr:nvGraphicFramePr>
            <xdr:cNvPr id="3" name="Months (Order Date) 1">
              <a:extLst>
                <a:ext uri="{FF2B5EF4-FFF2-40B4-BE49-F238E27FC236}">
                  <a16:creationId xmlns:a16="http://schemas.microsoft.com/office/drawing/2014/main" id="{83209285-1593-464D-B154-A556A7C4D9FF}"/>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52916" y="1259417"/>
              <a:ext cx="1206500" cy="196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Taha Nomani" id="{931CB9D3-F8E9-48B6-857F-8325603FA4BB}" userId="c1a6040e492ff81c" providerId="Windows Live"/>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tahan\AppData\Local\Microsoft\Windows\INetCache\IE\JROKIX2J\Sales_Performance_Analysis_Project%5b1%5d.xlsx%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tahan\AppData\Local\Microsoft\Windows\INetCache\IE\JROKIX2J\Sales_Performance_Analysis_Project%5b1%5d.xlsx%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a Nomani" refreshedDate="45907.855535879629" createdVersion="8" refreshedVersion="8" minRefreshableVersion="3" recordCount="2000" xr:uid="{6B520136-6CAD-42D7-AADA-95693A1C6FF1}">
  <cacheSource type="worksheet">
    <worksheetSource ref="B3:M2003" sheet=".xlsx].xlsx]Master Sheet" r:id="rId2"/>
  </cacheSource>
  <cacheFields count="15">
    <cacheField name="Order ID" numFmtId="0">
      <sharedItems/>
    </cacheField>
    <cacheField name="Order Date" numFmtId="164">
      <sharedItems containsSemiMixedTypes="0" containsNonDate="0" containsDate="1" containsString="0" minDate="2020-01-01T00:00:00" maxDate="2024-11-10T00:00:00" count="1180">
        <d v="2024-01-11T00:00:00"/>
        <d v="2023-04-23T00:00:00"/>
        <d v="2021-03-21T00:00:00"/>
        <d v="2023-07-22T00:00:00"/>
        <d v="2023-09-29T00:00:00"/>
        <d v="2021-04-06T00:00:00"/>
        <d v="2020-02-15T00:00:00"/>
        <d v="2021-03-30T00:00:00"/>
        <d v="2023-03-22T00:00:00"/>
        <d v="2024-05-04T00:00:00"/>
        <d v="2022-01-11T00:00:00"/>
        <d v="2024-08-12T00:00:00"/>
        <d v="2023-01-24T00:00:00"/>
        <d v="2022-05-01T00:00:00"/>
        <d v="2022-01-12T00:00:00"/>
        <d v="2020-07-03T00:00:00"/>
        <d v="2022-04-13T00:00:00"/>
        <d v="2022-05-13T00:00:00"/>
        <d v="2024-06-04T00:00:00"/>
        <d v="2022-05-20T00:00:00"/>
        <d v="2023-12-07T00:00:00"/>
        <d v="2022-01-09T00:00:00"/>
        <d v="2024-02-21T00:00:00"/>
        <d v="2024-06-18T00:00:00"/>
        <d v="2020-12-26T00:00:00"/>
        <d v="2021-02-24T00:00:00"/>
        <d v="2024-08-31T00:00:00"/>
        <d v="2021-11-04T00:00:00"/>
        <d v="2020-09-01T00:00:00"/>
        <d v="2022-09-30T00:00:00"/>
        <d v="2020-07-25T00:00:00"/>
        <d v="2024-10-13T00:00:00"/>
        <d v="2023-09-04T00:00:00"/>
        <d v="2020-02-20T00:00:00"/>
        <d v="2024-03-09T00:00:00"/>
        <d v="2021-11-11T00:00:00"/>
        <d v="2020-12-15T00:00:00"/>
        <d v="2022-09-04T00:00:00"/>
        <d v="2021-11-29T00:00:00"/>
        <d v="2022-08-05T00:00:00"/>
        <d v="2020-02-02T00:00:00"/>
        <d v="2024-02-19T00:00:00"/>
        <d v="2022-02-19T00:00:00"/>
        <d v="2023-03-31T00:00:00"/>
        <d v="2024-09-30T00:00:00"/>
        <d v="2021-02-09T00:00:00"/>
        <d v="2020-12-01T00:00:00"/>
        <d v="2020-03-04T00:00:00"/>
        <d v="2021-02-21T00:00:00"/>
        <d v="2020-04-05T00:00:00"/>
        <d v="2022-08-28T00:00:00"/>
        <d v="2020-06-07T00:00:00"/>
        <d v="2023-12-15T00:00:00"/>
        <d v="2022-09-18T00:00:00"/>
        <d v="2020-08-14T00:00:00"/>
        <d v="2021-11-24T00:00:00"/>
        <d v="2021-12-09T00:00:00"/>
        <d v="2020-11-12T00:00:00"/>
        <d v="2022-01-18T00:00:00"/>
        <d v="2024-09-09T00:00:00"/>
        <d v="2024-10-09T00:00:00"/>
        <d v="2023-04-15T00:00:00"/>
        <d v="2023-12-06T00:00:00"/>
        <d v="2020-10-26T00:00:00"/>
        <d v="2023-04-18T00:00:00"/>
        <d v="2020-01-13T00:00:00"/>
        <d v="2020-10-25T00:00:00"/>
        <d v="2024-10-29T00:00:00"/>
        <d v="2022-02-23T00:00:00"/>
        <d v="2022-08-01T00:00:00"/>
        <d v="2021-08-08T00:00:00"/>
        <d v="2022-04-09T00:00:00"/>
        <d v="2022-10-24T00:00:00"/>
        <d v="2022-09-09T00:00:00"/>
        <d v="2024-09-12T00:00:00"/>
        <d v="2022-06-15T00:00:00"/>
        <d v="2024-07-19T00:00:00"/>
        <d v="2022-08-17T00:00:00"/>
        <d v="2020-10-01T00:00:00"/>
        <d v="2020-08-23T00:00:00"/>
        <d v="2024-06-19T00:00:00"/>
        <d v="2022-07-05T00:00:00"/>
        <d v="2022-02-08T00:00:00"/>
        <d v="2022-08-12T00:00:00"/>
        <d v="2021-01-16T00:00:00"/>
        <d v="2021-11-25T00:00:00"/>
        <d v="2022-10-29T00:00:00"/>
        <d v="2022-06-08T00:00:00"/>
        <d v="2023-11-12T00:00:00"/>
        <d v="2022-04-15T00:00:00"/>
        <d v="2021-12-18T00:00:00"/>
        <d v="2024-01-06T00:00:00"/>
        <d v="2022-04-11T00:00:00"/>
        <d v="2024-10-01T00:00:00"/>
        <d v="2020-04-27T00:00:00"/>
        <d v="2020-02-08T00:00:00"/>
        <d v="2024-05-23T00:00:00"/>
        <d v="2024-06-01T00:00:00"/>
        <d v="2020-09-25T00:00:00"/>
        <d v="2023-06-15T00:00:00"/>
        <d v="2024-02-22T00:00:00"/>
        <d v="2021-09-17T00:00:00"/>
        <d v="2020-04-11T00:00:00"/>
        <d v="2023-02-17T00:00:00"/>
        <d v="2020-11-09T00:00:00"/>
        <d v="2020-08-29T00:00:00"/>
        <d v="2021-04-30T00:00:00"/>
        <d v="2021-03-15T00:00:00"/>
        <d v="2020-07-04T00:00:00"/>
        <d v="2023-02-09T00:00:00"/>
        <d v="2022-03-16T00:00:00"/>
        <d v="2021-03-11T00:00:00"/>
        <d v="2022-02-04T00:00:00"/>
        <d v="2021-07-28T00:00:00"/>
        <d v="2023-07-26T00:00:00"/>
        <d v="2024-10-30T00:00:00"/>
        <d v="2023-03-11T00:00:00"/>
        <d v="2022-03-08T00:00:00"/>
        <d v="2020-12-02T00:00:00"/>
        <d v="2022-10-20T00:00:00"/>
        <d v="2022-03-11T00:00:00"/>
        <d v="2022-02-26T00:00:00"/>
        <d v="2022-11-08T00:00:00"/>
        <d v="2023-02-25T00:00:00"/>
        <d v="2023-12-29T00:00:00"/>
        <d v="2021-12-11T00:00:00"/>
        <d v="2021-10-23T00:00:00"/>
        <d v="2022-12-18T00:00:00"/>
        <d v="2020-10-02T00:00:00"/>
        <d v="2020-02-22T00:00:00"/>
        <d v="2021-05-22T00:00:00"/>
        <d v="2022-01-04T00:00:00"/>
        <d v="2021-11-03T00:00:00"/>
        <d v="2024-09-02T00:00:00"/>
        <d v="2023-09-30T00:00:00"/>
        <d v="2023-08-13T00:00:00"/>
        <d v="2024-02-03T00:00:00"/>
        <d v="2020-12-20T00:00:00"/>
        <d v="2020-08-03T00:00:00"/>
        <d v="2024-03-31T00:00:00"/>
        <d v="2021-04-18T00:00:00"/>
        <d v="2023-05-16T00:00:00"/>
        <d v="2023-12-19T00:00:00"/>
        <d v="2021-11-17T00:00:00"/>
        <d v="2022-07-25T00:00:00"/>
        <d v="2023-05-26T00:00:00"/>
        <d v="2021-10-30T00:00:00"/>
        <d v="2022-09-07T00:00:00"/>
        <d v="2024-08-02T00:00:00"/>
        <d v="2022-02-16T00:00:00"/>
        <d v="2021-09-29T00:00:00"/>
        <d v="2021-03-23T00:00:00"/>
        <d v="2023-05-17T00:00:00"/>
        <d v="2022-03-01T00:00:00"/>
        <d v="2023-12-05T00:00:00"/>
        <d v="2024-09-04T00:00:00"/>
        <d v="2023-06-06T00:00:00"/>
        <d v="2020-06-30T00:00:00"/>
        <d v="2024-03-15T00:00:00"/>
        <d v="2020-04-29T00:00:00"/>
        <d v="2021-11-05T00:00:00"/>
        <d v="2022-11-13T00:00:00"/>
        <d v="2024-08-29T00:00:00"/>
        <d v="2022-07-01T00:00:00"/>
        <d v="2021-05-25T00:00:00"/>
        <d v="2024-03-04T00:00:00"/>
        <d v="2021-07-20T00:00:00"/>
        <d v="2021-12-06T00:00:00"/>
        <d v="2024-09-26T00:00:00"/>
        <d v="2024-09-15T00:00:00"/>
        <d v="2022-09-21T00:00:00"/>
        <d v="2020-10-16T00:00:00"/>
        <d v="2024-08-23T00:00:00"/>
        <d v="2023-07-10T00:00:00"/>
        <d v="2023-06-23T00:00:00"/>
        <d v="2023-05-03T00:00:00"/>
        <d v="2022-11-11T00:00:00"/>
        <d v="2022-08-22T00:00:00"/>
        <d v="2022-02-18T00:00:00"/>
        <d v="2021-03-18T00:00:00"/>
        <d v="2020-03-25T00:00:00"/>
        <d v="2020-07-11T00:00:00"/>
        <d v="2023-07-02T00:00:00"/>
        <d v="2023-06-26T00:00:00"/>
        <d v="2024-02-07T00:00:00"/>
        <d v="2022-08-14T00:00:00"/>
        <d v="2023-03-14T00:00:00"/>
        <d v="2022-12-08T00:00:00"/>
        <d v="2022-04-20T00:00:00"/>
        <d v="2021-11-02T00:00:00"/>
        <d v="2024-10-22T00:00:00"/>
        <d v="2021-01-02T00:00:00"/>
        <d v="2020-08-13T00:00:00"/>
        <d v="2024-05-13T00:00:00"/>
        <d v="2021-08-12T00:00:00"/>
        <d v="2024-10-08T00:00:00"/>
        <d v="2021-10-17T00:00:00"/>
        <d v="2022-08-21T00:00:00"/>
        <d v="2020-05-07T00:00:00"/>
        <d v="2020-05-31T00:00:00"/>
        <d v="2021-04-11T00:00:00"/>
        <d v="2021-12-24T00:00:00"/>
        <d v="2022-11-07T00:00:00"/>
        <d v="2021-02-02T00:00:00"/>
        <d v="2020-05-27T00:00:00"/>
        <d v="2020-08-20T00:00:00"/>
        <d v="2024-06-21T00:00:00"/>
        <d v="2021-04-03T00:00:00"/>
        <d v="2024-10-24T00:00:00"/>
        <d v="2022-09-08T00:00:00"/>
        <d v="2022-03-05T00:00:00"/>
        <d v="2024-09-13T00:00:00"/>
        <d v="2022-08-18T00:00:00"/>
        <d v="2021-06-25T00:00:00"/>
        <d v="2024-03-05T00:00:00"/>
        <d v="2021-10-05T00:00:00"/>
        <d v="2024-10-18T00:00:00"/>
        <d v="2021-12-08T00:00:00"/>
        <d v="2024-07-12T00:00:00"/>
        <d v="2023-03-13T00:00:00"/>
        <d v="2021-12-13T00:00:00"/>
        <d v="2023-11-10T00:00:00"/>
        <d v="2023-01-13T00:00:00"/>
        <d v="2023-12-28T00:00:00"/>
        <d v="2021-11-10T00:00:00"/>
        <d v="2022-05-09T00:00:00"/>
        <d v="2022-11-10T00:00:00"/>
        <d v="2021-12-14T00:00:00"/>
        <d v="2021-01-22T00:00:00"/>
        <d v="2024-01-29T00:00:00"/>
        <d v="2020-03-22T00:00:00"/>
        <d v="2020-06-23T00:00:00"/>
        <d v="2022-10-21T00:00:00"/>
        <d v="2022-12-01T00:00:00"/>
        <d v="2021-12-05T00:00:00"/>
        <d v="2023-07-09T00:00:00"/>
        <d v="2023-05-10T00:00:00"/>
        <d v="2020-04-03T00:00:00"/>
        <d v="2023-08-24T00:00:00"/>
        <d v="2022-04-30T00:00:00"/>
        <d v="2021-03-31T00:00:00"/>
        <d v="2021-02-10T00:00:00"/>
        <d v="2021-07-10T00:00:00"/>
        <d v="2020-08-27T00:00:00"/>
        <d v="2024-01-10T00:00:00"/>
        <d v="2022-11-09T00:00:00"/>
        <d v="2021-02-13T00:00:00"/>
        <d v="2022-09-29T00:00:00"/>
        <d v="2022-11-26T00:00:00"/>
        <d v="2022-12-20T00:00:00"/>
        <d v="2022-02-15T00:00:00"/>
        <d v="2023-05-28T00:00:00"/>
        <d v="2023-06-19T00:00:00"/>
        <d v="2021-04-10T00:00:00"/>
        <d v="2021-04-13T00:00:00"/>
        <d v="2021-01-06T00:00:00"/>
        <d v="2022-06-29T00:00:00"/>
        <d v="2024-05-26T00:00:00"/>
        <d v="2022-07-10T00:00:00"/>
        <d v="2022-03-12T00:00:00"/>
        <d v="2021-10-07T00:00:00"/>
        <d v="2020-01-17T00:00:00"/>
        <d v="2024-11-03T00:00:00"/>
        <d v="2021-11-06T00:00:00"/>
        <d v="2022-08-07T00:00:00"/>
        <d v="2020-03-12T00:00:00"/>
        <d v="2021-05-21T00:00:00"/>
        <d v="2020-09-28T00:00:00"/>
        <d v="2023-01-19T00:00:00"/>
        <d v="2024-07-10T00:00:00"/>
        <d v="2023-01-29T00:00:00"/>
        <d v="2024-06-22T00:00:00"/>
        <d v="2021-08-22T00:00:00"/>
        <d v="2020-04-19T00:00:00"/>
        <d v="2024-08-16T00:00:00"/>
        <d v="2022-02-07T00:00:00"/>
        <d v="2021-09-02T00:00:00"/>
        <d v="2023-02-03T00:00:00"/>
        <d v="2020-07-10T00:00:00"/>
        <d v="2021-05-30T00:00:00"/>
        <d v="2022-10-05T00:00:00"/>
        <d v="2022-02-03T00:00:00"/>
        <d v="2022-11-15T00:00:00"/>
        <d v="2022-07-12T00:00:00"/>
        <d v="2021-02-07T00:00:00"/>
        <d v="2020-11-04T00:00:00"/>
        <d v="2020-07-26T00:00:00"/>
        <d v="2024-06-20T00:00:00"/>
        <d v="2022-06-07T00:00:00"/>
        <d v="2023-11-03T00:00:00"/>
        <d v="2021-06-15T00:00:00"/>
        <d v="2023-07-21T00:00:00"/>
        <d v="2024-01-15T00:00:00"/>
        <d v="2022-11-18T00:00:00"/>
        <d v="2020-03-02T00:00:00"/>
        <d v="2021-01-29T00:00:00"/>
        <d v="2021-07-31T00:00:00"/>
        <d v="2021-12-02T00:00:00"/>
        <d v="2022-11-24T00:00:00"/>
        <d v="2020-01-25T00:00:00"/>
        <d v="2022-11-02T00:00:00"/>
        <d v="2021-07-18T00:00:00"/>
        <d v="2024-05-02T00:00:00"/>
        <d v="2024-08-11T00:00:00"/>
        <d v="2021-12-01T00:00:00"/>
        <d v="2022-07-02T00:00:00"/>
        <d v="2021-03-27T00:00:00"/>
        <d v="2022-04-08T00:00:00"/>
        <d v="2020-04-24T00:00:00"/>
        <d v="2022-07-26T00:00:00"/>
        <d v="2022-01-05T00:00:00"/>
        <d v="2020-02-19T00:00:00"/>
        <d v="2021-05-20T00:00:00"/>
        <d v="2020-11-01T00:00:00"/>
        <d v="2021-06-20T00:00:00"/>
        <d v="2023-10-23T00:00:00"/>
        <d v="2023-12-26T00:00:00"/>
        <d v="2020-03-29T00:00:00"/>
        <d v="2023-03-16T00:00:00"/>
        <d v="2023-04-25T00:00:00"/>
        <d v="2023-12-25T00:00:00"/>
        <d v="2020-05-17T00:00:00"/>
        <d v="2024-05-01T00:00:00"/>
        <d v="2022-08-26T00:00:00"/>
        <d v="2020-04-10T00:00:00"/>
        <d v="2024-03-06T00:00:00"/>
        <d v="2022-02-06T00:00:00"/>
        <d v="2024-08-27T00:00:00"/>
        <d v="2020-11-20T00:00:00"/>
        <d v="2021-04-02T00:00:00"/>
        <d v="2022-03-26T00:00:00"/>
        <d v="2022-08-04T00:00:00"/>
        <d v="2022-11-12T00:00:00"/>
        <d v="2023-07-20T00:00:00"/>
        <d v="2023-06-18T00:00:00"/>
        <d v="2023-09-20T00:00:00"/>
        <d v="2020-10-24T00:00:00"/>
        <d v="2024-08-26T00:00:00"/>
        <d v="2022-11-03T00:00:00"/>
        <d v="2021-10-08T00:00:00"/>
        <d v="2023-01-15T00:00:00"/>
        <d v="2023-01-08T00:00:00"/>
        <d v="2022-12-21T00:00:00"/>
        <d v="2021-06-24T00:00:00"/>
        <d v="2023-09-12T00:00:00"/>
        <d v="2021-02-03T00:00:00"/>
        <d v="2024-06-29T00:00:00"/>
        <d v="2020-02-27T00:00:00"/>
        <d v="2022-01-13T00:00:00"/>
        <d v="2021-09-16T00:00:00"/>
        <d v="2023-04-17T00:00:00"/>
        <d v="2023-04-16T00:00:00"/>
        <d v="2023-10-13T00:00:00"/>
        <d v="2021-03-07T00:00:00"/>
        <d v="2021-02-20T00:00:00"/>
        <d v="2022-08-29T00:00:00"/>
        <d v="2021-08-23T00:00:00"/>
        <d v="2022-09-27T00:00:00"/>
        <d v="2020-01-15T00:00:00"/>
        <d v="2022-05-16T00:00:00"/>
        <d v="2020-11-13T00:00:00"/>
        <d v="2024-07-28T00:00:00"/>
        <d v="2021-05-19T00:00:00"/>
        <d v="2021-12-25T00:00:00"/>
        <d v="2020-05-08T00:00:00"/>
        <d v="2020-11-10T00:00:00"/>
        <d v="2020-04-26T00:00:00"/>
        <d v="2023-06-02T00:00:00"/>
        <d v="2020-06-22T00:00:00"/>
        <d v="2021-09-11T00:00:00"/>
        <d v="2024-07-03T00:00:00"/>
        <d v="2020-07-20T00:00:00"/>
        <d v="2020-08-30T00:00:00"/>
        <d v="2023-05-27T00:00:00"/>
        <d v="2021-07-02T00:00:00"/>
        <d v="2020-06-10T00:00:00"/>
        <d v="2024-06-27T00:00:00"/>
        <d v="2022-12-06T00:00:00"/>
        <d v="2024-09-23T00:00:00"/>
        <d v="2021-01-08T00:00:00"/>
        <d v="2022-04-19T00:00:00"/>
        <d v="2024-04-05T00:00:00"/>
        <d v="2021-07-27T00:00:00"/>
        <d v="2023-07-15T00:00:00"/>
        <d v="2022-02-14T00:00:00"/>
        <d v="2024-02-11T00:00:00"/>
        <d v="2023-10-03T00:00:00"/>
        <d v="2023-10-20T00:00:00"/>
        <d v="2023-12-31T00:00:00"/>
        <d v="2024-11-08T00:00:00"/>
        <d v="2021-06-11T00:00:00"/>
        <d v="2021-05-14T00:00:00"/>
        <d v="2021-09-25T00:00:00"/>
        <d v="2022-01-27T00:00:00"/>
        <d v="2020-01-29T00:00:00"/>
        <d v="2021-11-14T00:00:00"/>
        <d v="2023-10-16T00:00:00"/>
        <d v="2022-02-01T00:00:00"/>
        <d v="2022-03-02T00:00:00"/>
        <d v="2022-03-15T00:00:00"/>
        <d v="2022-04-27T00:00:00"/>
        <d v="2023-04-30T00:00:00"/>
        <d v="2022-12-23T00:00:00"/>
        <d v="2021-11-07T00:00:00"/>
        <d v="2023-03-17T00:00:00"/>
        <d v="2022-08-15T00:00:00"/>
        <d v="2024-07-31T00:00:00"/>
        <d v="2022-09-28T00:00:00"/>
        <d v="2020-10-23T00:00:00"/>
        <d v="2021-07-06T00:00:00"/>
        <d v="2023-09-22T00:00:00"/>
        <d v="2023-04-29T00:00:00"/>
        <d v="2020-10-11T00:00:00"/>
        <d v="2022-02-28T00:00:00"/>
        <d v="2020-10-22T00:00:00"/>
        <d v="2021-01-11T00:00:00"/>
        <d v="2023-09-18T00:00:00"/>
        <d v="2023-09-07T00:00:00"/>
        <d v="2024-09-08T00:00:00"/>
        <d v="2021-07-30T00:00:00"/>
        <d v="2022-11-01T00:00:00"/>
        <d v="2024-01-03T00:00:00"/>
        <d v="2020-06-27T00:00:00"/>
        <d v="2022-01-20T00:00:00"/>
        <d v="2020-01-31T00:00:00"/>
        <d v="2021-12-20T00:00:00"/>
        <d v="2024-05-31T00:00:00"/>
        <d v="2020-01-24T00:00:00"/>
        <d v="2022-08-06T00:00:00"/>
        <d v="2024-01-13T00:00:00"/>
        <d v="2022-10-11T00:00:00"/>
        <d v="2020-11-25T00:00:00"/>
        <d v="2024-04-06T00:00:00"/>
        <d v="2021-01-27T00:00:00"/>
        <d v="2024-10-23T00:00:00"/>
        <d v="2024-07-01T00:00:00"/>
        <d v="2022-06-09T00:00:00"/>
        <d v="2022-06-05T00:00:00"/>
        <d v="2020-04-20T00:00:00"/>
        <d v="2023-07-05T00:00:00"/>
        <d v="2021-07-01T00:00:00"/>
        <d v="2020-07-14T00:00:00"/>
        <d v="2023-03-15T00:00:00"/>
        <d v="2020-09-09T00:00:00"/>
        <d v="2024-10-04T00:00:00"/>
        <d v="2020-11-07T00:00:00"/>
        <d v="2023-07-04T00:00:00"/>
        <d v="2021-03-17T00:00:00"/>
        <d v="2024-02-16T00:00:00"/>
        <d v="2022-08-31T00:00:00"/>
        <d v="2023-02-13T00:00:00"/>
        <d v="2020-08-05T00:00:00"/>
        <d v="2024-08-17T00:00:00"/>
        <d v="2021-08-29T00:00:00"/>
        <d v="2022-04-03T00:00:00"/>
        <d v="2021-06-30T00:00:00"/>
        <d v="2021-01-05T00:00:00"/>
        <d v="2024-07-20T00:00:00"/>
        <d v="2023-08-17T00:00:00"/>
        <d v="2020-11-27T00:00:00"/>
        <d v="2024-08-15T00:00:00"/>
        <d v="2020-09-30T00:00:00"/>
        <d v="2021-10-02T00:00:00"/>
        <d v="2020-10-12T00:00:00"/>
        <d v="2020-09-20T00:00:00"/>
        <d v="2024-05-10T00:00:00"/>
        <d v="2021-08-20T00:00:00"/>
        <d v="2021-09-09T00:00:00"/>
        <d v="2021-09-01T00:00:00"/>
        <d v="2020-11-22T00:00:00"/>
        <d v="2021-09-28T00:00:00"/>
        <d v="2021-10-26T00:00:00"/>
        <d v="2024-04-07T00:00:00"/>
        <d v="2020-03-30T00:00:00"/>
        <d v="2023-06-14T00:00:00"/>
        <d v="2023-12-30T00:00:00"/>
        <d v="2021-09-12T00:00:00"/>
        <d v="2022-06-10T00:00:00"/>
        <d v="2023-10-15T00:00:00"/>
        <d v="2020-06-26T00:00:00"/>
        <d v="2020-01-11T00:00:00"/>
        <d v="2022-05-15T00:00:00"/>
        <d v="2023-06-28T00:00:00"/>
        <d v="2022-06-20T00:00:00"/>
        <d v="2021-06-18T00:00:00"/>
        <d v="2024-03-11T00:00:00"/>
        <d v="2022-10-28T00:00:00"/>
        <d v="2021-04-15T00:00:00"/>
        <d v="2021-11-08T00:00:00"/>
        <d v="2021-11-13T00:00:00"/>
        <d v="2020-09-18T00:00:00"/>
        <d v="2024-05-27T00:00:00"/>
        <d v="2023-10-10T00:00:00"/>
        <d v="2021-01-12T00:00:00"/>
        <d v="2020-07-23T00:00:00"/>
        <d v="2022-04-12T00:00:00"/>
        <d v="2024-08-20T00:00:00"/>
        <d v="2023-04-06T00:00:00"/>
        <d v="2023-07-25T00:00:00"/>
        <d v="2023-06-29T00:00:00"/>
        <d v="2021-10-28T00:00:00"/>
        <d v="2023-09-25T00:00:00"/>
        <d v="2022-05-06T00:00:00"/>
        <d v="2020-07-18T00:00:00"/>
        <d v="2023-01-01T00:00:00"/>
        <d v="2023-11-01T00:00:00"/>
        <d v="2021-08-19T00:00:00"/>
        <d v="2022-04-18T00:00:00"/>
        <d v="2024-10-06T00:00:00"/>
        <d v="2020-08-02T00:00:00"/>
        <d v="2021-12-21T00:00:00"/>
        <d v="2021-07-03T00:00:00"/>
        <d v="2021-05-12T00:00:00"/>
        <d v="2024-09-20T00:00:00"/>
        <d v="2024-07-14T00:00:00"/>
        <d v="2022-05-05T00:00:00"/>
        <d v="2023-07-01T00:00:00"/>
        <d v="2024-02-12T00:00:00"/>
        <d v="2020-09-19T00:00:00"/>
        <d v="2020-12-18T00:00:00"/>
        <d v="2024-02-08T00:00:00"/>
        <d v="2024-10-31T00:00:00"/>
        <d v="2022-06-13T00:00:00"/>
        <d v="2021-07-26T00:00:00"/>
        <d v="2023-06-24T00:00:00"/>
        <d v="2020-05-04T00:00:00"/>
        <d v="2022-09-12T00:00:00"/>
        <d v="2023-03-18T00:00:00"/>
        <d v="2023-11-13T00:00:00"/>
        <d v="2021-12-27T00:00:00"/>
        <d v="2024-05-12T00:00:00"/>
        <d v="2024-03-17T00:00:00"/>
        <d v="2024-05-18T00:00:00"/>
        <d v="2022-12-07T00:00:00"/>
        <d v="2024-03-30T00:00:00"/>
        <d v="2023-06-10T00:00:00"/>
        <d v="2022-07-04T00:00:00"/>
        <d v="2021-10-24T00:00:00"/>
        <d v="2021-03-26T00:00:00"/>
        <d v="2020-10-06T00:00:00"/>
        <d v="2023-07-30T00:00:00"/>
        <d v="2021-10-09T00:00:00"/>
        <d v="2020-12-22T00:00:00"/>
        <d v="2022-09-13T00:00:00"/>
        <d v="2023-04-10T00:00:00"/>
        <d v="2020-05-05T00:00:00"/>
        <d v="2022-02-20T00:00:00"/>
        <d v="2021-09-20T00:00:00"/>
        <d v="2022-06-22T00:00:00"/>
        <d v="2023-11-19T00:00:00"/>
        <d v="2022-02-27T00:00:00"/>
        <d v="2020-04-23T00:00:00"/>
        <d v="2020-07-05T00:00:00"/>
        <d v="2022-10-10T00:00:00"/>
        <d v="2023-05-02T00:00:00"/>
        <d v="2020-12-24T00:00:00"/>
        <d v="2020-04-18T00:00:00"/>
        <d v="2022-10-18T00:00:00"/>
        <d v="2020-05-24T00:00:00"/>
        <d v="2022-01-19T00:00:00"/>
        <d v="2020-07-16T00:00:00"/>
        <d v="2020-09-23T00:00:00"/>
        <d v="2024-08-19T00:00:00"/>
        <d v="2020-07-13T00:00:00"/>
        <d v="2023-04-20T00:00:00"/>
        <d v="2020-08-12T00:00:00"/>
        <d v="2021-03-13T00:00:00"/>
        <d v="2023-02-05T00:00:00"/>
        <d v="2020-01-21T00:00:00"/>
        <d v="2021-09-10T00:00:00"/>
        <d v="2022-04-16T00:00:00"/>
        <d v="2020-08-15T00:00:00"/>
        <d v="2021-10-11T00:00:00"/>
        <d v="2022-09-14T00:00:00"/>
        <d v="2020-11-08T00:00:00"/>
        <d v="2023-04-08T00:00:00"/>
        <d v="2022-03-31T00:00:00"/>
        <d v="2022-04-05T00:00:00"/>
        <d v="2021-08-17T00:00:00"/>
        <d v="2024-04-22T00:00:00"/>
        <d v="2020-08-07T00:00:00"/>
        <d v="2024-08-03T00:00:00"/>
        <d v="2022-09-22T00:00:00"/>
        <d v="2023-03-12T00:00:00"/>
        <d v="2023-11-02T00:00:00"/>
        <d v="2024-02-25T00:00:00"/>
        <d v="2021-12-03T00:00:00"/>
        <d v="2023-08-29T00:00:00"/>
        <d v="2022-10-27T00:00:00"/>
        <d v="2024-03-27T00:00:00"/>
        <d v="2024-09-03T00:00:00"/>
        <d v="2020-02-16T00:00:00"/>
        <d v="2021-01-07T00:00:00"/>
        <d v="2022-11-06T00:00:00"/>
        <d v="2021-09-23T00:00:00"/>
        <d v="2023-01-22T00:00:00"/>
        <d v="2021-02-01T00:00:00"/>
        <d v="2023-08-11T00:00:00"/>
        <d v="2020-04-13T00:00:00"/>
        <d v="2024-03-24T00:00:00"/>
        <d v="2022-04-22T00:00:00"/>
        <d v="2024-02-27T00:00:00"/>
        <d v="2024-03-25T00:00:00"/>
        <d v="2024-04-23T00:00:00"/>
        <d v="2024-01-16T00:00:00"/>
        <d v="2020-10-09T00:00:00"/>
        <d v="2022-01-23T00:00:00"/>
        <d v="2021-04-19T00:00:00"/>
        <d v="2021-02-11T00:00:00"/>
        <d v="2023-05-29T00:00:00"/>
        <d v="2022-06-26T00:00:00"/>
        <d v="2021-06-26T00:00:00"/>
        <d v="2022-07-08T00:00:00"/>
        <d v="2023-03-30T00:00:00"/>
        <d v="2020-06-25T00:00:00"/>
        <d v="2022-03-09T00:00:00"/>
        <d v="2020-04-02T00:00:00"/>
        <d v="2020-06-13T00:00:00"/>
        <d v="2021-05-13T00:00:00"/>
        <d v="2024-07-05T00:00:00"/>
        <d v="2024-08-06T00:00:00"/>
        <d v="2024-09-16T00:00:00"/>
        <d v="2024-06-26T00:00:00"/>
        <d v="2021-01-10T00:00:00"/>
        <d v="2020-01-26T00:00:00"/>
        <d v="2020-11-19T00:00:00"/>
        <d v="2024-06-10T00:00:00"/>
        <d v="2021-12-04T00:00:00"/>
        <d v="2021-05-16T00:00:00"/>
        <d v="2023-11-17T00:00:00"/>
        <d v="2022-05-11T00:00:00"/>
        <d v="2020-08-08T00:00:00"/>
        <d v="2022-10-13T00:00:00"/>
        <d v="2021-09-05T00:00:00"/>
        <d v="2024-09-05T00:00:00"/>
        <d v="2022-02-09T00:00:00"/>
        <d v="2020-12-09T00:00:00"/>
        <d v="2022-06-25T00:00:00"/>
        <d v="2022-03-19T00:00:00"/>
        <d v="2023-12-20T00:00:00"/>
        <d v="2021-04-20T00:00:00"/>
        <d v="2021-12-07T00:00:00"/>
        <d v="2021-08-05T00:00:00"/>
        <d v="2023-03-27T00:00:00"/>
        <d v="2023-10-31T00:00:00"/>
        <d v="2020-05-29T00:00:00"/>
        <d v="2022-09-17T00:00:00"/>
        <d v="2021-10-21T00:00:00"/>
        <d v="2020-11-14T00:00:00"/>
        <d v="2023-12-08T00:00:00"/>
        <d v="2021-11-23T00:00:00"/>
        <d v="2021-04-28T00:00:00"/>
        <d v="2020-07-06T00:00:00"/>
        <d v="2022-10-02T00:00:00"/>
        <d v="2020-03-23T00:00:00"/>
        <d v="2024-09-25T00:00:00"/>
        <d v="2020-02-21T00:00:00"/>
        <d v="2021-10-03T00:00:00"/>
        <d v="2020-12-28T00:00:00"/>
        <d v="2024-09-14T00:00:00"/>
        <d v="2020-05-21T00:00:00"/>
        <d v="2023-01-18T00:00:00"/>
        <d v="2020-04-30T00:00:00"/>
        <d v="2022-12-05T00:00:00"/>
        <d v="2023-08-25T00:00:00"/>
        <d v="2020-03-07T00:00:00"/>
        <d v="2024-08-08T00:00:00"/>
        <d v="2024-06-06T00:00:00"/>
        <d v="2024-03-14T00:00:00"/>
        <d v="2024-10-11T00:00:00"/>
        <d v="2023-10-02T00:00:00"/>
        <d v="2024-09-18T00:00:00"/>
        <d v="2021-11-09T00:00:00"/>
        <d v="2022-10-09T00:00:00"/>
        <d v="2024-06-15T00:00:00"/>
        <d v="2024-05-29T00:00:00"/>
        <d v="2021-05-17T00:00:00"/>
        <d v="2020-06-11T00:00:00"/>
        <d v="2024-08-28T00:00:00"/>
        <d v="2020-09-16T00:00:00"/>
        <d v="2023-06-21T00:00:00"/>
        <d v="2020-12-21T00:00:00"/>
        <d v="2023-09-23T00:00:00"/>
        <d v="2021-03-08T00:00:00"/>
        <d v="2020-07-22T00:00:00"/>
        <d v="2020-09-17T00:00:00"/>
        <d v="2022-08-20T00:00:00"/>
        <d v="2024-03-10T00:00:00"/>
        <d v="2022-12-29T00:00:00"/>
        <d v="2024-06-11T00:00:00"/>
        <d v="2023-04-21T00:00:00"/>
        <d v="2023-09-21T00:00:00"/>
        <d v="2021-06-19T00:00:00"/>
        <d v="2022-07-28T00:00:00"/>
        <d v="2020-04-14T00:00:00"/>
        <d v="2021-02-27T00:00:00"/>
        <d v="2022-04-04T00:00:00"/>
        <d v="2023-11-27T00:00:00"/>
        <d v="2022-09-19T00:00:00"/>
        <d v="2020-09-15T00:00:00"/>
        <d v="2023-12-17T00:00:00"/>
        <d v="2020-07-28T00:00:00"/>
        <d v="2021-09-30T00:00:00"/>
        <d v="2020-03-01T00:00:00"/>
        <d v="2020-03-08T00:00:00"/>
        <d v="2022-01-01T00:00:00"/>
        <d v="2024-06-16T00:00:00"/>
        <d v="2021-12-16T00:00:00"/>
        <d v="2021-11-26T00:00:00"/>
        <d v="2024-04-19T00:00:00"/>
        <d v="2020-03-27T00:00:00"/>
        <d v="2024-03-02T00:00:00"/>
        <d v="2022-06-17T00:00:00"/>
        <d v="2021-04-01T00:00:00"/>
        <d v="2023-08-05T00:00:00"/>
        <d v="2021-12-26T00:00:00"/>
        <d v="2023-06-27T00:00:00"/>
        <d v="2024-08-14T00:00:00"/>
        <d v="2021-01-30T00:00:00"/>
        <d v="2024-10-16T00:00:00"/>
        <d v="2023-09-01T00:00:00"/>
        <d v="2022-11-04T00:00:00"/>
        <d v="2020-08-19T00:00:00"/>
        <d v="2024-02-18T00:00:00"/>
        <d v="2021-06-22T00:00:00"/>
        <d v="2024-09-06T00:00:00"/>
        <d v="2024-03-29T00:00:00"/>
        <d v="2021-05-10T00:00:00"/>
        <d v="2023-11-07T00:00:00"/>
        <d v="2022-03-10T00:00:00"/>
        <d v="2024-10-07T00:00:00"/>
        <d v="2020-06-20T00:00:00"/>
        <d v="2024-03-01T00:00:00"/>
        <d v="2024-04-25T00:00:00"/>
        <d v="2021-01-04T00:00:00"/>
        <d v="2021-06-01T00:00:00"/>
        <d v="2021-07-17T00:00:00"/>
        <d v="2024-07-23T00:00:00"/>
        <d v="2021-01-15T00:00:00"/>
        <d v="2024-01-20T00:00:00"/>
        <d v="2024-01-08T00:00:00"/>
        <d v="2022-05-18T00:00:00"/>
        <d v="2024-07-09T00:00:00"/>
        <d v="2024-07-13T00:00:00"/>
        <d v="2023-07-23T00:00:00"/>
        <d v="2024-06-24T00:00:00"/>
        <d v="2024-08-13T00:00:00"/>
        <d v="2020-03-14T00:00:00"/>
        <d v="2022-05-23T00:00:00"/>
        <d v="2022-04-10T00:00:00"/>
        <d v="2024-11-09T00:00:00"/>
        <d v="2020-11-02T00:00:00"/>
        <d v="2021-08-10T00:00:00"/>
        <d v="2022-01-22T00:00:00"/>
        <d v="2023-08-01T00:00:00"/>
        <d v="2022-12-16T00:00:00"/>
        <d v="2023-10-07T00:00:00"/>
        <d v="2021-10-06T00:00:00"/>
        <d v="2024-09-07T00:00:00"/>
        <d v="2020-10-15T00:00:00"/>
        <d v="2021-03-25T00:00:00"/>
        <d v="2021-01-26T00:00:00"/>
        <d v="2024-01-04T00:00:00"/>
        <d v="2020-12-14T00:00:00"/>
        <d v="2023-10-18T00:00:00"/>
        <d v="2021-09-22T00:00:00"/>
        <d v="2024-01-24T00:00:00"/>
        <d v="2022-08-25T00:00:00"/>
        <d v="2020-01-10T00:00:00"/>
        <d v="2020-05-30T00:00:00"/>
        <d v="2020-07-29T00:00:00"/>
        <d v="2020-04-15T00:00:00"/>
        <d v="2023-12-03T00:00:00"/>
        <d v="2020-10-13T00:00:00"/>
        <d v="2020-05-22T00:00:00"/>
        <d v="2022-04-17T00:00:00"/>
        <d v="2020-05-12T00:00:00"/>
        <d v="2023-01-02T00:00:00"/>
        <d v="2024-08-24T00:00:00"/>
        <d v="2024-08-09T00:00:00"/>
        <d v="2024-10-02T00:00:00"/>
        <d v="2020-03-15T00:00:00"/>
        <d v="2020-05-26T00:00:00"/>
        <d v="2020-01-09T00:00:00"/>
        <d v="2022-05-28T00:00:00"/>
        <d v="2023-06-22T00:00:00"/>
        <d v="2021-09-18T00:00:00"/>
        <d v="2024-02-05T00:00:00"/>
        <d v="2023-03-05T00:00:00"/>
        <d v="2022-01-15T00:00:00"/>
        <d v="2020-05-28T00:00:00"/>
        <d v="2020-12-12T00:00:00"/>
        <d v="2023-01-20T00:00:00"/>
        <d v="2023-08-18T00:00:00"/>
        <d v="2022-10-30T00:00:00"/>
        <d v="2020-09-10T00:00:00"/>
        <d v="2022-09-10T00:00:00"/>
        <d v="2020-10-31T00:00:00"/>
        <d v="2024-10-14T00:00:00"/>
        <d v="2020-09-13T00:00:00"/>
        <d v="2020-01-27T00:00:00"/>
        <d v="2021-02-26T00:00:00"/>
        <d v="2020-09-22T00:00:00"/>
        <d v="2022-07-31T00:00:00"/>
        <d v="2022-06-23T00:00:00"/>
        <d v="2024-02-04T00:00:00"/>
        <d v="2020-02-04T00:00:00"/>
        <d v="2024-01-17T00:00:00"/>
        <d v="2023-10-24T00:00:00"/>
        <d v="2023-06-16T00:00:00"/>
        <d v="2023-05-09T00:00:00"/>
        <d v="2020-01-02T00:00:00"/>
        <d v="2022-06-16T00:00:00"/>
        <d v="2023-06-12T00:00:00"/>
        <d v="2020-05-15T00:00:00"/>
        <d v="2021-07-15T00:00:00"/>
        <d v="2023-08-31T00:00:00"/>
        <d v="2022-07-09T00:00:00"/>
        <d v="2024-01-19T00:00:00"/>
        <d v="2022-08-24T00:00:00"/>
        <d v="2022-04-29T00:00:00"/>
        <d v="2021-02-19T00:00:00"/>
        <d v="2021-09-04T00:00:00"/>
        <d v="2022-07-30T00:00:00"/>
        <d v="2021-08-14T00:00:00"/>
        <d v="2024-08-25T00:00:00"/>
        <d v="2020-11-17T00:00:00"/>
        <d v="2023-07-31T00:00:00"/>
        <d v="2024-11-06T00:00:00"/>
        <d v="2023-01-30T00:00:00"/>
        <d v="2024-03-19T00:00:00"/>
        <d v="2020-01-04T00:00:00"/>
        <d v="2020-01-01T00:00:00"/>
        <d v="2021-10-25T00:00:00"/>
        <d v="2020-06-18T00:00:00"/>
        <d v="2024-02-09T00:00:00"/>
        <d v="2020-02-17T00:00:00"/>
        <d v="2023-11-06T00:00:00"/>
        <d v="2023-10-11T00:00:00"/>
        <d v="2020-05-25T00:00:00"/>
        <d v="2024-08-10T00:00:00"/>
        <d v="2021-09-24T00:00:00"/>
        <d v="2021-10-12T00:00:00"/>
        <d v="2023-01-16T00:00:00"/>
        <d v="2023-03-06T00:00:00"/>
        <d v="2024-05-07T00:00:00"/>
        <d v="2021-05-02T00:00:00"/>
        <d v="2020-09-05T00:00:00"/>
        <d v="2024-04-14T00:00:00"/>
        <d v="2022-06-24T00:00:00"/>
        <d v="2020-12-11T00:00:00"/>
        <d v="2023-07-29T00:00:00"/>
        <d v="2020-01-16T00:00:00"/>
        <d v="2020-03-09T00:00:00"/>
        <d v="2020-05-02T00:00:00"/>
        <d v="2023-06-04T00:00:00"/>
        <d v="2020-12-04T00:00:00"/>
        <d v="2024-01-27T00:00:00"/>
        <d v="2024-01-30T00:00:00"/>
        <d v="2023-03-29T00:00:00"/>
        <d v="2020-07-21T00:00:00"/>
        <d v="2021-06-07T00:00:00"/>
        <d v="2022-03-29T00:00:00"/>
        <d v="2020-09-11T00:00:00"/>
        <d v="2021-08-02T00:00:00"/>
        <d v="2020-01-14T00:00:00"/>
        <d v="2022-12-30T00:00:00"/>
        <d v="2024-08-21T00:00:00"/>
        <d v="2023-08-07T00:00:00"/>
        <d v="2021-11-12T00:00:00"/>
        <d v="2021-07-13T00:00:00"/>
        <d v="2021-03-04T00:00:00"/>
        <d v="2020-03-10T00:00:00"/>
        <d v="2022-11-14T00:00:00"/>
        <d v="2021-03-20T00:00:00"/>
        <d v="2022-01-14T00:00:00"/>
        <d v="2024-09-21T00:00:00"/>
        <d v="2023-11-23T00:00:00"/>
        <d v="2020-02-07T00:00:00"/>
        <d v="2021-08-04T00:00:00"/>
        <d v="2024-05-08T00:00:00"/>
        <d v="2020-08-04T00:00:00"/>
        <d v="2022-03-25T00:00:00"/>
        <d v="2023-12-27T00:00:00"/>
        <d v="2022-09-24T00:00:00"/>
        <d v="2022-06-27T00:00:00"/>
        <d v="2023-07-19T00:00:00"/>
        <d v="2024-04-30T00:00:00"/>
        <d v="2022-04-23T00:00:00"/>
        <d v="2024-03-12T00:00:00"/>
        <d v="2023-11-26T00:00:00"/>
        <d v="2022-11-23T00:00:00"/>
        <d v="2021-07-22T00:00:00"/>
        <d v="2024-06-12T00:00:00"/>
        <d v="2020-06-01T00:00:00"/>
        <d v="2022-09-23T00:00:00"/>
        <d v="2023-05-07T00:00:00"/>
        <d v="2022-06-30T00:00:00"/>
        <d v="2022-03-17T00:00:00"/>
        <d v="2023-01-07T00:00:00"/>
        <d v="2024-08-05T00:00:00"/>
        <d v="2022-05-14T00:00:00"/>
        <d v="2020-08-22T00:00:00"/>
        <d v="2023-01-05T00:00:00"/>
        <d v="2024-04-09T00:00:00"/>
        <d v="2023-10-25T00:00:00"/>
        <d v="2023-12-09T00:00:00"/>
        <d v="2021-05-01T00:00:00"/>
        <d v="2022-05-03T00:00:00"/>
        <d v="2021-06-27T00:00:00"/>
        <d v="2021-06-12T00:00:00"/>
        <d v="2023-08-19T00:00:00"/>
        <d v="2020-05-06T00:00:00"/>
        <d v="2022-01-07T00:00:00"/>
        <d v="2020-10-08T00:00:00"/>
        <d v="2024-02-28T00:00:00"/>
        <d v="2021-05-24T00:00:00"/>
        <d v="2021-07-11T00:00:00"/>
        <d v="2022-06-06T00:00:00"/>
        <d v="2021-04-29T00:00:00"/>
        <d v="2021-08-25T00:00:00"/>
        <d v="2022-12-26T00:00:00"/>
        <d v="2022-07-23T00:00:00"/>
        <d v="2021-11-19T00:00:00"/>
        <d v="2021-06-09T00:00:00"/>
        <d v="2020-03-11T00:00:00"/>
        <d v="2022-02-21T00:00:00"/>
        <d v="2020-11-06T00:00:00"/>
        <d v="2020-09-04T00:00:00"/>
        <d v="2021-07-07T00:00:00"/>
        <d v="2021-05-23T00:00:00"/>
        <d v="2020-11-28T00:00:00"/>
        <d v="2021-05-03T00:00:00"/>
        <d v="2024-07-29T00:00:00"/>
        <d v="2023-07-06T00:00:00"/>
        <d v="2022-12-19T00:00:00"/>
        <d v="2020-01-30T00:00:00"/>
        <d v="2022-02-22T00:00:00"/>
        <d v="2024-09-27T00:00:00"/>
        <d v="2022-08-27T00:00:00"/>
        <d v="2023-11-18T00:00:00"/>
        <d v="2020-12-13T00:00:00"/>
        <d v="2021-11-27T00:00:00"/>
        <d v="2024-01-18T00:00:00"/>
        <d v="2020-12-03T00:00:00"/>
        <d v="2021-07-16T00:00:00"/>
        <d v="2021-10-29T00:00:00"/>
        <d v="2021-10-16T00:00:00"/>
        <d v="2023-05-04T00:00:00"/>
        <d v="2021-08-11T00:00:00"/>
        <d v="2022-10-07T00:00:00"/>
        <d v="2024-03-26T00:00:00"/>
        <d v="2022-12-13T00:00:00"/>
        <d v="2024-10-28T00:00:00"/>
        <d v="2020-10-03T00:00:00"/>
        <d v="2022-11-28T00:00:00"/>
        <d v="2020-02-29T00:00:00"/>
        <d v="2023-06-13T00:00:00"/>
        <d v="2023-11-08T00:00:00"/>
        <d v="2022-12-02T00:00:00"/>
        <d v="2021-02-17T00:00:00"/>
        <d v="2020-10-05T00:00:00"/>
        <d v="2022-12-15T00:00:00"/>
        <d v="2020-07-01T00:00:00"/>
        <d v="2020-03-05T00:00:00"/>
        <d v="2020-04-28T00:00:00"/>
        <d v="2021-10-31T00:00:00"/>
        <d v="2022-03-06T00:00:00"/>
        <d v="2020-10-17T00:00:00"/>
        <d v="2021-06-05T00:00:00"/>
        <d v="2020-02-10T00:00:00"/>
        <d v="2022-01-24T00:00:00"/>
        <d v="2021-10-01T00:00:00"/>
        <d v="2022-05-31T00:00:00"/>
        <d v="2024-01-09T00:00:00"/>
        <d v="2023-09-05T00:00:00"/>
        <d v="2021-04-26T00:00:00"/>
        <d v="2023-04-19T00:00:00"/>
        <d v="2023-10-22T00:00:00"/>
        <d v="2024-03-08T00:00:00"/>
        <d v="2021-03-12T00:00:00"/>
        <d v="2020-09-02T00:00:00"/>
        <d v="2022-11-22T00:00:00"/>
        <d v="2021-07-04T00:00:00"/>
        <d v="2020-12-29T00:00:00"/>
        <d v="2024-02-17T00:00:00"/>
        <d v="2023-03-24T00:00:00"/>
        <d v="2022-11-30T00:00:00"/>
        <d v="2022-09-25T00:00:00"/>
        <d v="2021-12-29T00:00:00"/>
        <d v="2024-04-21T00:00:00"/>
        <d v="2023-03-28T00:00:00"/>
        <d v="2023-04-22T00:00:00"/>
        <d v="2022-03-03T00:00:00"/>
        <d v="2024-09-10T00:00:00"/>
        <d v="2021-09-27T00:00:00"/>
        <d v="2021-06-06T00:00:00"/>
        <d v="2022-03-18T00:00:00"/>
        <d v="2021-05-09T00:00:00"/>
        <d v="2021-02-15T00:00:00"/>
        <d v="2024-04-20T00:00:00"/>
        <d v="2022-06-14T00:00:00"/>
        <d v="2021-10-19T00:00:00"/>
        <d v="2024-06-02T00:00:00"/>
        <d v="2023-07-16T00:00:00"/>
        <d v="2021-04-24T00:00:00"/>
        <d v="2022-07-13T00:00:00"/>
        <d v="2020-09-08T00:00:00"/>
        <d v="2023-03-08T00:00:00"/>
        <d v="2023-11-22T00:00:00"/>
        <d v="2022-01-10T00:00:00"/>
        <d v="2021-09-26T00:00:00"/>
        <d v="2021-07-21T00:00:00"/>
        <d v="2020-01-08T00:00:00"/>
        <d v="2023-01-27T00:00:00"/>
        <d v="2023-08-04T00:00:00"/>
        <d v="2024-06-30T00:00:00"/>
        <d v="2022-04-06T00:00:00"/>
        <d v="2021-03-29T00:00:00"/>
        <d v="2020-09-24T00:00:00"/>
        <d v="2024-08-18T00:00:00"/>
        <d v="2023-12-23T00:00:00"/>
        <d v="2024-04-11T00:00:00"/>
        <d v="2024-01-25T00:00:00"/>
        <d v="2022-04-02T00:00:00"/>
        <d v="2021-12-17T00:00:00"/>
        <d v="2023-06-07T00:00:00"/>
        <d v="2024-05-28T00:00:00"/>
        <d v="2023-08-06T00:00:00"/>
        <d v="2023-01-17T00:00:00"/>
        <d v="2022-08-09T00:00:00"/>
        <d v="2023-09-26T00:00:00"/>
        <d v="2023-05-20T00:00:00"/>
        <d v="2020-03-18T00:00:00"/>
        <d v="2020-02-23T00:00:00"/>
        <d v="2022-05-19T00:00:00"/>
        <d v="2024-06-09T00:00:00"/>
        <d v="2023-05-12T00:00:00"/>
        <d v="2020-11-16T00:00:00"/>
        <d v="2023-05-30T00:00:00"/>
        <d v="2020-09-27T00:00:00"/>
        <d v="2020-05-18T00:00:00"/>
        <d v="2021-09-19T00:00:00"/>
        <d v="2024-04-29T00:00:00"/>
        <d v="2024-02-02T00:00:00"/>
        <d v="2020-03-24T00:00:00"/>
        <d v="2023-09-28T00:00:00"/>
        <d v="2021-04-09T00:00:00"/>
        <d v="2022-05-12T00:00:00"/>
        <d v="2022-08-23T00:00:00"/>
        <d v="2023-04-03T00:00:00"/>
        <d v="2020-03-19T00:00:00"/>
        <d v="2020-05-10T00:00:00"/>
        <d v="2021-09-07T00:00:00"/>
        <d v="2021-05-05T00:00:00"/>
        <d v="2023-12-16T00:00:00"/>
        <d v="2023-12-04T00:00:00"/>
        <d v="2021-07-23T00:00:00"/>
        <d v="2020-05-20T00:00:00"/>
        <d v="2022-08-11T00:00:00"/>
        <d v="2021-06-29T00:00:00"/>
        <d v="2022-08-03T00:00:00"/>
        <d v="2020-07-17T00:00:00"/>
        <d v="2022-05-24T00:00:00"/>
        <d v="2023-05-19T00:00:00"/>
        <d v="2024-04-02T00:00:00"/>
        <d v="2021-03-06T00:00:00"/>
        <d v="2021-07-08T00:00:00"/>
        <d v="2024-09-29T00:00:00"/>
        <d v="2021-01-24T00:00:00"/>
        <d v="2023-07-08T00:00:00"/>
        <d v="2021-04-22T00:00:00"/>
        <d v="2022-07-20T00:00:00"/>
        <d v="2020-08-16T00:00:00"/>
        <d v="2023-02-22T00:00:00"/>
        <d v="2023-06-25T00:00:00"/>
        <d v="2020-12-31T00:00:00"/>
        <d v="2022-07-11T00:00:00"/>
        <d v="2024-01-07T00:00:00"/>
        <d v="2021-12-12T00:00:00"/>
        <d v="2021-01-09T00:00:00"/>
        <d v="2023-01-21T00:00:00"/>
        <d v="2021-06-16T00:00:00"/>
        <d v="2020-04-17T00:00:00"/>
        <d v="2024-03-18T00:00:00"/>
        <d v="2020-05-23T00:00:00"/>
        <d v="2023-11-11T00:00:00"/>
        <d v="2022-11-16T00:00:00"/>
        <d v="2024-07-18T00:00:00"/>
        <d v="2021-10-13T00:00:00"/>
        <d v="2024-05-16T00:00:00"/>
        <d v="2024-02-01T00:00:00"/>
        <d v="2022-05-02T00:00:00"/>
        <d v="2023-09-24T00:00:00"/>
        <d v="2022-03-04T00:00:00"/>
        <d v="2023-04-09T00:00:00"/>
        <d v="2023-04-26T00:00:00"/>
        <d v="2022-09-02T00:00:00"/>
        <d v="2020-06-14T00:00:00"/>
        <d v="2022-09-20T00:00:00"/>
        <d v="2023-11-04T00:00:00"/>
        <d v="2023-09-09T00:00:00"/>
        <d v="2024-02-10T00:00:00"/>
        <d v="2022-01-29T00:00:00"/>
        <d v="2022-10-08T00:00:00"/>
        <d v="2024-03-28T00:00:00"/>
        <d v="2024-04-28T00:00:00"/>
        <d v="2020-05-03T00:00:00"/>
        <d v="2023-12-10T00:00:00"/>
        <d v="2020-12-05T00:00:00"/>
        <d v="2023-07-28T00:00:00"/>
        <d v="2023-12-13T00:00:00"/>
        <d v="2020-03-03T00:00:00"/>
        <d v="2020-02-11T00:00:00"/>
        <d v="2022-10-06T00:00:00"/>
        <d v="2022-11-20T00:00:00"/>
        <d v="2022-12-14T00:00:00"/>
        <d v="2021-03-05T00:00:00"/>
        <d v="2022-09-16T00:00:00"/>
        <d v="2021-06-14T00:00:00"/>
        <d v="2021-08-26T00:00:00"/>
        <d v="2022-04-25T00:00:00"/>
        <d v="2024-02-23T00:00:00"/>
        <d v="2020-12-16T00:00:00"/>
        <d v="2024-02-26T00:00:00"/>
        <d v="2023-05-25T00:00:00"/>
        <d v="2023-06-03T00:00:00"/>
        <d v="2020-12-07T00:00:00"/>
        <d v="2020-10-29T00:00:00"/>
        <d v="2024-10-05T00:00:00"/>
        <d v="2021-07-14T00:00:00"/>
        <d v="2021-04-14T00:00:00"/>
        <d v="2020-10-04T00:00:00"/>
        <d v="2022-10-22T00:00:00"/>
        <d v="2024-04-27T00:00:00"/>
        <d v="2023-03-26T00:00:00"/>
        <d v="2020-01-07T00:00:00"/>
        <d v="2024-09-17T00:00:00"/>
        <d v="2023-12-22T00:00:00"/>
        <d v="2021-09-15T00:00:00"/>
        <d v="2020-05-09T00:00:00"/>
        <d v="2023-03-07T00:00:00"/>
        <d v="2022-04-28T00:00:00"/>
        <d v="2021-06-08T00:00:00"/>
        <d v="2021-10-20T00:00:00"/>
        <d v="2020-09-03T00:00:00"/>
        <d v="2021-08-01T00:00:00"/>
        <d v="2020-09-14T00:00:00"/>
        <d v="2024-01-28T00:00:00"/>
        <d v="2023-01-31T00:00:00"/>
        <d v="2021-08-03T00:00:00"/>
        <d v="2020-06-21T00:00:00"/>
        <d v="2021-09-06T00:00:00"/>
        <d v="2024-07-30T00:00:00"/>
        <d v="2023-01-11T00:00:00"/>
        <d v="2022-09-06T00:00:00"/>
        <d v="2023-06-11T00:00:00"/>
        <d v="2023-09-19T00:00:00"/>
        <d v="2022-06-12T00:00:00"/>
        <d v="2021-04-08T00:00:00"/>
        <d v="2021-07-24T00:00:00"/>
        <d v="2021-02-16T00:00:00"/>
        <d v="2022-08-10T00:00:00"/>
        <d v="2020-04-22T00:00:00"/>
        <d v="2020-08-26T00:00:00"/>
        <d v="2021-08-28T00:00:00"/>
        <d v="2022-07-07T00:00:00"/>
        <d v="2021-12-19T00:00:00"/>
        <d v="2024-06-07T00:00:00"/>
        <d v="2023-08-15T00:00:00"/>
        <d v="2022-12-22T00:00:00"/>
        <d v="2021-03-28T00:00:00"/>
        <d v="2022-12-12T00:00:00"/>
        <d v="2021-02-23T00:00:00"/>
        <d v="2022-12-03T00:00:00"/>
        <d v="2022-04-14T00:00:00"/>
        <d v="2020-11-18T00:00:00"/>
        <d v="2021-07-29T00:00:00"/>
        <d v="2022-05-21T00:00:00"/>
        <d v="2023-11-21T00:00:00"/>
      </sharedItems>
      <fieldGroup par="14"/>
    </cacheField>
    <cacheField name="Region" numFmtId="0">
      <sharedItems count="4">
        <s v="East"/>
        <s v="West"/>
        <s v="North"/>
        <s v="South"/>
      </sharedItems>
    </cacheField>
    <cacheField name="Product ID" numFmtId="0">
      <sharedItems/>
    </cacheField>
    <cacheField name="Sales Amount" numFmtId="165">
      <sharedItems containsSemiMixedTypes="0" containsString="0" containsNumber="1" minValue="50.76" maxValue="4996.41" count="1996">
        <n v="1908.61"/>
        <n v="3605.39"/>
        <n v="3804.89"/>
        <n v="3516.82"/>
        <n v="1236.98"/>
        <n v="1074.73"/>
        <n v="3182.57"/>
        <n v="4694.2"/>
        <n v="2514.25"/>
        <n v="1179.95"/>
        <n v="2945.07"/>
        <n v="401"/>
        <n v="508.92"/>
        <n v="3178.29"/>
        <n v="1642.61"/>
        <n v="2717.48"/>
        <n v="2183.89"/>
        <n v="4686.58"/>
        <n v="3425.69"/>
        <n v="561.88"/>
        <n v="4818.87"/>
        <n v="1001.81"/>
        <n v="3266.83"/>
        <n v="2511.89"/>
        <n v="4069.56"/>
        <n v="4565.33"/>
        <n v="3357.15"/>
        <n v="1315.66"/>
        <n v="4143.2"/>
        <n v="4738.3900000000003"/>
        <n v="2251.63"/>
        <n v="1451.5"/>
        <n v="2767.9"/>
        <n v="488.99"/>
        <n v="198.88"/>
        <n v="4224.26"/>
        <n v="1006.65"/>
        <n v="462.16"/>
        <n v="1200.4100000000001"/>
        <n v="420.01"/>
        <n v="214.18"/>
        <n v="113.07"/>
        <n v="4560.07"/>
        <n v="283.73"/>
        <n v="685.2"/>
        <n v="3541.72"/>
        <n v="2239.04"/>
        <n v="3761.19"/>
        <n v="3633.29"/>
        <n v="220.85"/>
        <n v="4626.08"/>
        <n v="1984.99"/>
        <n v="2620.37"/>
        <n v="2145.6799999999998"/>
        <n v="1537.19"/>
        <n v="2035.47"/>
        <n v="2205.2600000000002"/>
        <n v="1729.08"/>
        <n v="4169.8999999999996"/>
        <n v="1527.8"/>
        <n v="4379.74"/>
        <n v="4310.79"/>
        <n v="2035.86"/>
        <n v="4531.28"/>
        <n v="101.99"/>
        <n v="2687.89"/>
        <n v="2001.89"/>
        <n v="1672.71"/>
        <n v="3639.49"/>
        <n v="2618.38"/>
        <n v="393.09"/>
        <n v="3460.49"/>
        <n v="3208.49"/>
        <n v="3643.91"/>
        <n v="1237.7"/>
        <n v="4890.7299999999996"/>
        <n v="4786.6000000000004"/>
        <n v="2641.75"/>
        <n v="1068.8599999999999"/>
        <n v="3337.96"/>
        <n v="903.63"/>
        <n v="3829.31"/>
        <n v="3634.59"/>
        <n v="2832.09"/>
        <n v="2362.11"/>
        <n v="1703.89"/>
        <n v="658.29"/>
        <n v="2740.1"/>
        <n v="1005.44"/>
        <n v="1844.31"/>
        <n v="3305.44"/>
        <n v="2568.64"/>
        <n v="3682.52"/>
        <n v="1611.44"/>
        <n v="4920.3500000000004"/>
        <n v="4129.58"/>
        <n v="2597.71"/>
        <n v="3382.39"/>
        <n v="2253.66"/>
        <n v="4827.91"/>
        <n v="387.17"/>
        <n v="1063.9000000000001"/>
        <n v="2753.78"/>
        <n v="3121.82"/>
        <n v="1684.63"/>
        <n v="4769.18"/>
        <n v="2019.54"/>
        <n v="3675.57"/>
        <n v="1729.87"/>
        <n v="195.33"/>
        <n v="2923.5"/>
        <n v="639.13"/>
        <n v="2832.75"/>
        <n v="3777.35"/>
        <n v="2239.63"/>
        <n v="685.74"/>
        <n v="2271.3200000000002"/>
        <n v="256.39999999999998"/>
        <n v="1491.89"/>
        <n v="2937.57"/>
        <n v="2768.6"/>
        <n v="2167.1"/>
        <n v="2265.2399999999998"/>
        <n v="3647.86"/>
        <n v="2665.73"/>
        <n v="4087.08"/>
        <n v="4777.8599999999997"/>
        <n v="641.27"/>
        <n v="1738.23"/>
        <n v="3693.88"/>
        <n v="4480.79"/>
        <n v="1203.18"/>
        <n v="4075.22"/>
        <n v="2468.8000000000002"/>
        <n v="3101.77"/>
        <n v="812.1"/>
        <n v="208.41"/>
        <n v="601.79"/>
        <n v="1113.25"/>
        <n v="4648.99"/>
        <n v="428.54"/>
        <n v="2541.0100000000002"/>
        <n v="595.72"/>
        <n v="77.16"/>
        <n v="597.87"/>
        <n v="4374.3500000000004"/>
        <n v="677.19"/>
        <n v="3472.91"/>
        <n v="3484.07"/>
        <n v="2569.12"/>
        <n v="2303.34"/>
        <n v="2817.1"/>
        <n v="4931.68"/>
        <n v="672.65"/>
        <n v="4118.74"/>
        <n v="1284.75"/>
        <n v="3289.46"/>
        <n v="1625.58"/>
        <n v="1161.1300000000001"/>
        <n v="2223.36"/>
        <n v="2688.84"/>
        <n v="4700.6499999999996"/>
        <n v="3126.49"/>
        <n v="228.14"/>
        <n v="3685.18"/>
        <n v="3120.96"/>
        <n v="4220.93"/>
        <n v="3206.76"/>
        <n v="2652.73"/>
        <n v="437.36"/>
        <n v="3676"/>
        <n v="1784.7"/>
        <n v="1005.16"/>
        <n v="2804.49"/>
        <n v="4878.17"/>
        <n v="4851.63"/>
        <n v="3491.38"/>
        <n v="1584.51"/>
        <n v="3878.18"/>
        <n v="4544.66"/>
        <n v="1458.71"/>
        <n v="4868.8100000000004"/>
        <n v="2317.48"/>
        <n v="1471.68"/>
        <n v="89.71"/>
        <n v="1556.46"/>
        <n v="4261.3500000000004"/>
        <n v="1119.4000000000001"/>
        <n v="4606.8"/>
        <n v="3894.2"/>
        <n v="230.22"/>
        <n v="3342.99"/>
        <n v="2824.55"/>
        <n v="4959.1899999999996"/>
        <n v="4539.2299999999996"/>
        <n v="4955.5200000000004"/>
        <n v="1793.71"/>
        <n v="3220.07"/>
        <n v="1361.46"/>
        <n v="4348.88"/>
        <n v="2881.67"/>
        <n v="3579.89"/>
        <n v="3600.04"/>
        <n v="2730.85"/>
        <n v="3770.22"/>
        <n v="2898.51"/>
        <n v="4376.88"/>
        <n v="2070.38"/>
        <n v="3564.37"/>
        <n v="1220.78"/>
        <n v="2970.14"/>
        <n v="2423.65"/>
        <n v="449.08"/>
        <n v="1559.67"/>
        <n v="4868.18"/>
        <n v="2452.37"/>
        <n v="1622.75"/>
        <n v="2092.48"/>
        <n v="2115.85"/>
        <n v="1150.76"/>
        <n v="1261.94"/>
        <n v="2033.07"/>
        <n v="2323.2800000000002"/>
        <n v="1619.51"/>
        <n v="1843.79"/>
        <n v="4626.32"/>
        <n v="4811.95"/>
        <n v="3107"/>
        <n v="2461.7199999999998"/>
        <n v="4353.18"/>
        <n v="154.53"/>
        <n v="2892.85"/>
        <n v="4886.25"/>
        <n v="2690.62"/>
        <n v="3919.28"/>
        <n v="498.69"/>
        <n v="3528.08"/>
        <n v="712.38"/>
        <n v="2721.61"/>
        <n v="4466.42"/>
        <n v="1802.76"/>
        <n v="4436.8599999999997"/>
        <n v="758.3"/>
        <n v="857.7"/>
        <n v="3930.24"/>
        <n v="3396.64"/>
        <n v="3942.1"/>
        <n v="3580.25"/>
        <n v="3785.26"/>
        <n v="4909.07"/>
        <n v="4380.54"/>
        <n v="3780.52"/>
        <n v="2845.99"/>
        <n v="1181.06"/>
        <n v="4492.96"/>
        <n v="1742.91"/>
        <n v="4625.66"/>
        <n v="208.07"/>
        <n v="2336.81"/>
        <n v="1034.72"/>
        <n v="4448.3500000000004"/>
        <n v="4278.83"/>
        <n v="2206.38"/>
        <n v="1857.53"/>
        <n v="374.76"/>
        <n v="2907.82"/>
        <n v="3030.5"/>
        <n v="2975.88"/>
        <n v="975.96"/>
        <n v="4829.88"/>
        <n v="2381.59"/>
        <n v="2946.15"/>
        <n v="2381.96"/>
        <n v="3786.62"/>
        <n v="2080.19"/>
        <n v="1729.18"/>
        <n v="1770.48"/>
        <n v="959.66"/>
        <n v="4244.46"/>
        <n v="1611.46"/>
        <n v="2897.92"/>
        <n v="3869.56"/>
        <n v="2597.4499999999998"/>
        <n v="3104.07"/>
        <n v="3568.66"/>
        <n v="3320.43"/>
        <n v="1507.41"/>
        <n v="2279.36"/>
        <n v="3522.69"/>
        <n v="1447.06"/>
        <n v="1151.1600000000001"/>
        <n v="1137.24"/>
        <n v="4915.12"/>
        <n v="4443.51"/>
        <n v="4448.24"/>
        <n v="3052.1"/>
        <n v="4335.13"/>
        <n v="1206.3800000000001"/>
        <n v="1014.16"/>
        <n v="1212.1099999999999"/>
        <n v="4291.43"/>
        <n v="3870.83"/>
        <n v="4744.76"/>
        <n v="3780.24"/>
        <n v="3927.77"/>
        <n v="4454.7"/>
        <n v="1731.35"/>
        <n v="3680.89"/>
        <n v="1266.23"/>
        <n v="1031.3699999999999"/>
        <n v="1351.78"/>
        <n v="2247.94"/>
        <n v="4541.62"/>
        <n v="1877.04"/>
        <n v="1824.4"/>
        <n v="4587.0200000000004"/>
        <n v="3932.15"/>
        <n v="4720.57"/>
        <n v="2678.08"/>
        <n v="1245.0899999999999"/>
        <n v="4433.8"/>
        <n v="4752.07"/>
        <n v="4901.09"/>
        <n v="3312.37"/>
        <n v="3781.22"/>
        <n v="1133.1099999999999"/>
        <n v="3078.43"/>
        <n v="543.64"/>
        <n v="1672.43"/>
        <n v="2116.66"/>
        <n v="858.11"/>
        <n v="872.21"/>
        <n v="2480.83"/>
        <n v="2438.58"/>
        <n v="1928.31"/>
        <n v="2092.0100000000002"/>
        <n v="3420.84"/>
        <n v="1091.56"/>
        <n v="161.86000000000001"/>
        <n v="2018.34"/>
        <n v="4065.86"/>
        <n v="4309.0200000000004"/>
        <n v="4976.78"/>
        <n v="3355.52"/>
        <n v="1399.77"/>
        <n v="1894.45"/>
        <n v="4992.66"/>
        <n v="1873.71"/>
        <n v="2962.59"/>
        <n v="191.89"/>
        <n v="2487.59"/>
        <n v="4188.17"/>
        <n v="304.51"/>
        <n v="1925.14"/>
        <n v="566.66999999999996"/>
        <n v="4813.4399999999996"/>
        <n v="3685.33"/>
        <n v="3512.18"/>
        <n v="3391.54"/>
        <n v="699.35"/>
        <n v="2565.9699999999998"/>
        <n v="4213.5"/>
        <n v="4489.47"/>
        <n v="4657.3100000000004"/>
        <n v="4204.54"/>
        <n v="4835.0600000000004"/>
        <n v="2153.09"/>
        <n v="1994.14"/>
        <n v="4896.53"/>
        <n v="340.88"/>
        <n v="1955.86"/>
        <n v="1497.19"/>
        <n v="4719.9399999999996"/>
        <n v="1298.81"/>
        <n v="2231.62"/>
        <n v="4181.1000000000004"/>
        <n v="3899.3"/>
        <n v="3994.03"/>
        <n v="3673.03"/>
        <n v="2709.1"/>
        <n v="1659.6"/>
        <n v="3546.11"/>
        <n v="4403.49"/>
        <n v="1920.47"/>
        <n v="4360.4799999999996"/>
        <n v="3790.54"/>
        <n v="2143.89"/>
        <n v="1555.81"/>
        <n v="3933.32"/>
        <n v="4020.18"/>
        <n v="1078.9100000000001"/>
        <n v="4031.51"/>
        <n v="1219.55"/>
        <n v="2657.65"/>
        <n v="527.46"/>
        <n v="2599.62"/>
        <n v="1916.38"/>
        <n v="411.99"/>
        <n v="4779.7700000000004"/>
        <n v="3462.48"/>
        <n v="4473.25"/>
        <n v="821.69"/>
        <n v="3362.75"/>
        <n v="361.84"/>
        <n v="4125.25"/>
        <n v="558.03"/>
        <n v="762.39"/>
        <n v="3232.91"/>
        <n v="2581.89"/>
        <n v="1663.07"/>
        <n v="2062.08"/>
        <n v="2310.41"/>
        <n v="2467.84"/>
        <n v="4284.66"/>
        <n v="53.95"/>
        <n v="292.31"/>
        <n v="2154.9899999999998"/>
        <n v="3395.75"/>
        <n v="4666.78"/>
        <n v="737.76"/>
        <n v="514.54"/>
        <n v="1329.04"/>
        <n v="2836.21"/>
        <n v="2973.71"/>
        <n v="805.17"/>
        <n v="3137.47"/>
        <n v="462.02"/>
        <n v="701.07"/>
        <n v="3613.08"/>
        <n v="1025.29"/>
        <n v="1631.34"/>
        <n v="1394.39"/>
        <n v="4780.47"/>
        <n v="2836.38"/>
        <n v="973.55"/>
        <n v="2061.88"/>
        <n v="839.55"/>
        <n v="2718.55"/>
        <n v="4855.71"/>
        <n v="4218.45"/>
        <n v="4176.04"/>
        <n v="243.84"/>
        <n v="386.12"/>
        <n v="3012.86"/>
        <n v="1142.82"/>
        <n v="4777.6400000000003"/>
        <n v="4422.87"/>
        <n v="4865.8100000000004"/>
        <n v="1952.28"/>
        <n v="1955.18"/>
        <n v="4461.42"/>
        <n v="1094.4000000000001"/>
        <n v="1060"/>
        <n v="1651.62"/>
        <n v="4921.7299999999996"/>
        <n v="1426.56"/>
        <n v="476.19"/>
        <n v="4343.68"/>
        <n v="3987.63"/>
        <n v="4009.24"/>
        <n v="4332.34"/>
        <n v="1205.3499999999999"/>
        <n v="1270.5999999999999"/>
        <n v="2511.1799999999998"/>
        <n v="2601.2800000000002"/>
        <n v="4228.4799999999996"/>
        <n v="2657.27"/>
        <n v="4049.19"/>
        <n v="3156.73"/>
        <n v="861.55"/>
        <n v="4542.3"/>
        <n v="2737.26"/>
        <n v="4989.46"/>
        <n v="2131.4"/>
        <n v="4722.8999999999996"/>
        <n v="4008.47"/>
        <n v="1779.15"/>
        <n v="3304.16"/>
        <n v="272.81"/>
        <n v="926.86"/>
        <n v="4350.05"/>
        <n v="1049.9100000000001"/>
        <n v="299.54000000000002"/>
        <n v="3684.61"/>
        <n v="1570.26"/>
        <n v="1789.75"/>
        <n v="2876.53"/>
        <n v="185.33"/>
        <n v="3956.33"/>
        <n v="4174.1000000000004"/>
        <n v="2178.37"/>
        <n v="3764.5"/>
        <n v="4903.57"/>
        <n v="1807"/>
        <n v="2477.65"/>
        <n v="2961.17"/>
        <n v="3807.76"/>
        <n v="4583.2299999999996"/>
        <n v="4340.09"/>
        <n v="2181.38"/>
        <n v="3184.06"/>
        <n v="2795.92"/>
        <n v="1614.85"/>
        <n v="3168.57"/>
        <n v="1894.91"/>
        <n v="1933.3"/>
        <n v="962.9"/>
        <n v="1335.07"/>
        <n v="83.48"/>
        <n v="2535.19"/>
        <n v="2467.2399999999998"/>
        <n v="4961.92"/>
        <n v="2649.04"/>
        <n v="1092.51"/>
        <n v="2348.21"/>
        <n v="4400.38"/>
        <n v="3828.6"/>
        <n v="3518.59"/>
        <n v="65.02"/>
        <n v="3835.8"/>
        <n v="4827.58"/>
        <n v="4694.45"/>
        <n v="2285.91"/>
        <n v="131.66"/>
        <n v="3660.28"/>
        <n v="3052.67"/>
        <n v="3122.87"/>
        <n v="3953.27"/>
        <n v="2900.6"/>
        <n v="4320.12"/>
        <n v="4374.08"/>
        <n v="3525.87"/>
        <n v="2199.1999999999998"/>
        <n v="2715.63"/>
        <n v="2113.7600000000002"/>
        <n v="2333.9"/>
        <n v="4199.92"/>
        <n v="1628.48"/>
        <n v="3728.19"/>
        <n v="1935.84"/>
        <n v="2446.4299999999998"/>
        <n v="3709.66"/>
        <n v="1645.19"/>
        <n v="4362.17"/>
        <n v="1844.29"/>
        <n v="1686.93"/>
        <n v="965.87"/>
        <n v="4178.09"/>
        <n v="4017.97"/>
        <n v="1021.37"/>
        <n v="2367.54"/>
        <n v="2317.7199999999998"/>
        <n v="3280.37"/>
        <n v="697.76"/>
        <n v="3035.58"/>
        <n v="752.41"/>
        <n v="3993.97"/>
        <n v="4681.49"/>
        <n v="3461.81"/>
        <n v="4366.79"/>
        <n v="2585.36"/>
        <n v="833.17"/>
        <n v="3661.58"/>
        <n v="4568.79"/>
        <n v="1087.8"/>
        <n v="4654.57"/>
        <n v="3548.99"/>
        <n v="734.55"/>
        <n v="4078.66"/>
        <n v="608.15"/>
        <n v="3322.21"/>
        <n v="2265.86"/>
        <n v="779.15"/>
        <n v="1468.68"/>
        <n v="1419.16"/>
        <n v="4779.87"/>
        <n v="3542.42"/>
        <n v="1221.32"/>
        <n v="4079.24"/>
        <n v="648.57000000000005"/>
        <n v="933.38"/>
        <n v="3965.41"/>
        <n v="3287.12"/>
        <n v="2145.33"/>
        <n v="1729.33"/>
        <n v="446.16"/>
        <n v="4271.28"/>
        <n v="451.13"/>
        <n v="4718.6499999999996"/>
        <n v="3382.58"/>
        <n v="3431.99"/>
        <n v="606.26"/>
        <n v="4604.68"/>
        <n v="1732.68"/>
        <n v="4367.01"/>
        <n v="1656.12"/>
        <n v="3005.26"/>
        <n v="4393.41"/>
        <n v="3127.34"/>
        <n v="287.3"/>
        <n v="4045.14"/>
        <n v="4313.54"/>
        <n v="1801.15"/>
        <n v="328.65"/>
        <n v="2109.02"/>
        <n v="236.02"/>
        <n v="1601.51"/>
        <n v="637.76"/>
        <n v="4800.43"/>
        <n v="3875.66"/>
        <n v="1068.6400000000001"/>
        <n v="727.42"/>
        <n v="2114.04"/>
        <n v="2303.91"/>
        <n v="95.62"/>
        <n v="662.6"/>
        <n v="3972.51"/>
        <n v="4365.45"/>
        <n v="1066.98"/>
        <n v="2198.77"/>
        <n v="4203.51"/>
        <n v="1527.03"/>
        <n v="2819.58"/>
        <n v="3753.85"/>
        <n v="62.1"/>
        <n v="3818.08"/>
        <n v="660.69"/>
        <n v="3568.08"/>
        <n v="2586.6999999999998"/>
        <n v="4704.6899999999996"/>
        <n v="2433.44"/>
        <n v="3171.74"/>
        <n v="3265.74"/>
        <n v="1329.92"/>
        <n v="3131.85"/>
        <n v="2258.59"/>
        <n v="3208.93"/>
        <n v="906.01"/>
        <n v="4612.95"/>
        <n v="3321.94"/>
        <n v="955.36"/>
        <n v="2899.87"/>
        <n v="4026.72"/>
        <n v="1956.1"/>
        <n v="3794.62"/>
        <n v="3518.97"/>
        <n v="764.08"/>
        <n v="2594.17"/>
        <n v="848.36"/>
        <n v="1010.7"/>
        <n v="379.93"/>
        <n v="3360.46"/>
        <n v="2636.97"/>
        <n v="2465.17"/>
        <n v="3584.06"/>
        <n v="2531.98"/>
        <n v="4087.68"/>
        <n v="2353.42"/>
        <n v="3682.57"/>
        <n v="273.37"/>
        <n v="4462.6499999999996"/>
        <n v="2524.98"/>
        <n v="4603.8599999999997"/>
        <n v="1877.16"/>
        <n v="3914.18"/>
        <n v="4042.52"/>
        <n v="3051.99"/>
        <n v="2453.5100000000002"/>
        <n v="3715.86"/>
        <n v="2841.27"/>
        <n v="1515.53"/>
        <n v="4030.19"/>
        <n v="303.58"/>
        <n v="4350.83"/>
        <n v="4334.7"/>
        <n v="79.11"/>
        <n v="3247.11"/>
        <n v="1045.97"/>
        <n v="4825.6499999999996"/>
        <n v="4614.75"/>
        <n v="4496.4799999999996"/>
        <n v="1576.7"/>
        <n v="1510.44"/>
        <n v="230.27"/>
        <n v="1320.37"/>
        <n v="1521.42"/>
        <n v="1451.34"/>
        <n v="3348.49"/>
        <n v="3444.24"/>
        <n v="2456.92"/>
        <n v="587.16"/>
        <n v="4298.62"/>
        <n v="4770.45"/>
        <n v="438.84"/>
        <n v="2508.4"/>
        <n v="548.38"/>
        <n v="85.51"/>
        <n v="2372.9299999999998"/>
        <n v="1866.34"/>
        <n v="2272.9299999999998"/>
        <n v="660.27"/>
        <n v="4618.4399999999996"/>
        <n v="283.02999999999997"/>
        <n v="2132.98"/>
        <n v="4258.38"/>
        <n v="741.44"/>
        <n v="3601.03"/>
        <n v="4838.8999999999996"/>
        <n v="53.73"/>
        <n v="3212.65"/>
        <n v="2770.66"/>
        <n v="4575.7700000000004"/>
        <n v="99.11"/>
        <n v="2835.81"/>
        <n v="494.19"/>
        <n v="4875.84"/>
        <n v="218.81"/>
        <n v="2316.48"/>
        <n v="4630.67"/>
        <n v="3890.14"/>
        <n v="1577.72"/>
        <n v="2904.6"/>
        <n v="4452.8900000000003"/>
        <n v="2186.7600000000002"/>
        <n v="4527.54"/>
        <n v="3420.6"/>
        <n v="3734.92"/>
        <n v="4631.2299999999996"/>
        <n v="2500.27"/>
        <n v="402.16"/>
        <n v="3914.57"/>
        <n v="3668.56"/>
        <n v="2502.42"/>
        <n v="3640.92"/>
        <n v="2394.58"/>
        <n v="626.36"/>
        <n v="2644.34"/>
        <n v="2902.72"/>
        <n v="3823.95"/>
        <n v="1021.55"/>
        <n v="4720.78"/>
        <n v="2246.85"/>
        <n v="2034.14"/>
        <n v="202.76"/>
        <n v="1644.71"/>
        <n v="222.39"/>
        <n v="392.01"/>
        <n v="716.51"/>
        <n v="3427.01"/>
        <n v="1215.96"/>
        <n v="1649.81"/>
        <n v="2749.5"/>
        <n v="2223.2199999999998"/>
        <n v="117.79"/>
        <n v="2762.51"/>
        <n v="2590.48"/>
        <n v="3607.64"/>
        <n v="1507.68"/>
        <n v="1426.51"/>
        <n v="1585.32"/>
        <n v="57.42"/>
        <n v="2640.33"/>
        <n v="420.94"/>
        <n v="1866.17"/>
        <n v="1401.5"/>
        <n v="4354.63"/>
        <n v="132.53"/>
        <n v="337.82"/>
        <n v="2271.19"/>
        <n v="173.98"/>
        <n v="1128.97"/>
        <n v="67.27"/>
        <n v="645.88"/>
        <n v="808.05"/>
        <n v="1709.68"/>
        <n v="1595.32"/>
        <n v="4646.8"/>
        <n v="4697.49"/>
        <n v="760.41"/>
        <n v="3230.8"/>
        <n v="563.73"/>
        <n v="1040.97"/>
        <n v="218.21"/>
        <n v="4871.41"/>
        <n v="4907.21"/>
        <n v="4143.72"/>
        <n v="2385.91"/>
        <n v="2480.5300000000002"/>
        <n v="3748.27"/>
        <n v="3035.89"/>
        <n v="3983.37"/>
        <n v="3991.86"/>
        <n v="506.65"/>
        <n v="157.46"/>
        <n v="2683.52"/>
        <n v="113.49"/>
        <n v="1648.46"/>
        <n v="4126.26"/>
        <n v="2264.6"/>
        <n v="4982.8900000000003"/>
        <n v="3430.68"/>
        <n v="1784.53"/>
        <n v="4015.19"/>
        <n v="2050.62"/>
        <n v="2772.41"/>
        <n v="2297.04"/>
        <n v="4105.87"/>
        <n v="2014.33"/>
        <n v="1825.82"/>
        <n v="2962.74"/>
        <n v="4226.3"/>
        <n v="183.59"/>
        <n v="182.18"/>
        <n v="4100.79"/>
        <n v="1065.23"/>
        <n v="1245.19"/>
        <n v="4016.5"/>
        <n v="4015.14"/>
        <n v="4166.99"/>
        <n v="445.31"/>
        <n v="3939.14"/>
        <n v="901.69"/>
        <n v="4416.37"/>
        <n v="3257.42"/>
        <n v="4760.43"/>
        <n v="2575.96"/>
        <n v="3755.49"/>
        <n v="2821.2"/>
        <n v="547.61"/>
        <n v="1345.71"/>
        <n v="4341.67"/>
        <n v="2747.85"/>
        <n v="2052.84"/>
        <n v="2623.84"/>
        <n v="4245.88"/>
        <n v="360.58"/>
        <n v="1786.23"/>
        <n v="775"/>
        <n v="1181.45"/>
        <n v="4164.57"/>
        <n v="648.25"/>
        <n v="1121.46"/>
        <n v="4938.45"/>
        <n v="1605.35"/>
        <n v="4399.1899999999996"/>
        <n v="1269.52"/>
        <n v="116.54"/>
        <n v="1725.71"/>
        <n v="4219.8900000000003"/>
        <n v="1311.14"/>
        <n v="2428.88"/>
        <n v="771.83"/>
        <n v="4513.01"/>
        <n v="3682.54"/>
        <n v="2587.35"/>
        <n v="861.2"/>
        <n v="3736.87"/>
        <n v="3040.15"/>
        <n v="4105.59"/>
        <n v="2291.9499999999998"/>
        <n v="1991.21"/>
        <n v="150.9"/>
        <n v="4970.47"/>
        <n v="3409.97"/>
        <n v="3360.71"/>
        <n v="221.61"/>
        <n v="4546.68"/>
        <n v="166.97"/>
        <n v="3807.49"/>
        <n v="2467.92"/>
        <n v="386.55"/>
        <n v="2509.39"/>
        <n v="1999.69"/>
        <n v="722.25"/>
        <n v="3958.62"/>
        <n v="498.75"/>
        <n v="4383.45"/>
        <n v="1605.04"/>
        <n v="4166.4399999999996"/>
        <n v="2538.4499999999998"/>
        <n v="3585.12"/>
        <n v="174.63"/>
        <n v="2883.09"/>
        <n v="2077.44"/>
        <n v="1646.01"/>
        <n v="2028.74"/>
        <n v="3108.61"/>
        <n v="3464.8"/>
        <n v="2077.54"/>
        <n v="3930.19"/>
        <n v="3976.57"/>
        <n v="3133.66"/>
        <n v="3753.11"/>
        <n v="4254.41"/>
        <n v="3266.4"/>
        <n v="3050.61"/>
        <n v="2607.15"/>
        <n v="3410.89"/>
        <n v="1630.85"/>
        <n v="1010.02"/>
        <n v="3816.45"/>
        <n v="3289.19"/>
        <n v="1547.83"/>
        <n v="2092.61"/>
        <n v="4156.7700000000004"/>
        <n v="961.38"/>
        <n v="1265.55"/>
        <n v="2295.4"/>
        <n v="1896.6"/>
        <n v="1925.44"/>
        <n v="2745.37"/>
        <n v="4864.33"/>
        <n v="2892.74"/>
        <n v="4935.7700000000004"/>
        <n v="2656.9"/>
        <n v="3245.76"/>
        <n v="3456.85"/>
        <n v="2812.06"/>
        <n v="3859.4"/>
        <n v="797.82"/>
        <n v="4030.23"/>
        <n v="4405.8100000000004"/>
        <n v="4490.3599999999997"/>
        <n v="4026.79"/>
        <n v="862.65"/>
        <n v="1830.36"/>
        <n v="3671.1"/>
        <n v="4822.9399999999996"/>
        <n v="50.76"/>
        <n v="1323.41"/>
        <n v="1993"/>
        <n v="4982.66"/>
        <n v="3253.73"/>
        <n v="1435.62"/>
        <n v="2718.57"/>
        <n v="2178.77"/>
        <n v="841.42"/>
        <n v="1446.59"/>
        <n v="298.33999999999997"/>
        <n v="2330.0300000000002"/>
        <n v="2741.47"/>
        <n v="4104.59"/>
        <n v="3288.58"/>
        <n v="3502.73"/>
        <n v="613.15"/>
        <n v="840.2"/>
        <n v="1448.73"/>
        <n v="1271.48"/>
        <n v="1004.42"/>
        <n v="3577.83"/>
        <n v="3018.25"/>
        <n v="894.54"/>
        <n v="800.53"/>
        <n v="1476.83"/>
        <n v="1073"/>
        <n v="268.33"/>
        <n v="1984.08"/>
        <n v="2269.63"/>
        <n v="754.18"/>
        <n v="4462.37"/>
        <n v="4743.5600000000004"/>
        <n v="1309.54"/>
        <n v="2670.84"/>
        <n v="3344.33"/>
        <n v="3141.47"/>
        <n v="2821.79"/>
        <n v="3106.47"/>
        <n v="4920.63"/>
        <n v="3598.89"/>
        <n v="4912.47"/>
        <n v="323.39999999999998"/>
        <n v="1542.23"/>
        <n v="4853.8900000000003"/>
        <n v="4604.28"/>
        <n v="3244.25"/>
        <n v="1747.38"/>
        <n v="4260.82"/>
        <n v="3916.09"/>
        <n v="262.92"/>
        <n v="1188.7"/>
        <n v="4272.4399999999996"/>
        <n v="2285.06"/>
        <n v="4848.45"/>
        <n v="2098.0100000000002"/>
        <n v="464.24"/>
        <n v="1077.5"/>
        <n v="4763.84"/>
        <n v="4816.6000000000004"/>
        <n v="2801.61"/>
        <n v="1859.18"/>
        <n v="80.36"/>
        <n v="1898.9"/>
        <n v="4001.97"/>
        <n v="2685.68"/>
        <n v="1818.34"/>
        <n v="461.86"/>
        <n v="3397.67"/>
        <n v="4210.71"/>
        <n v="4461.79"/>
        <n v="915.4"/>
        <n v="1005.26"/>
        <n v="3879.86"/>
        <n v="413.73"/>
        <n v="3304.82"/>
        <n v="288.11"/>
        <n v="4781.9399999999996"/>
        <n v="3101.86"/>
        <n v="3099.97"/>
        <n v="169.95"/>
        <n v="2569.11"/>
        <n v="1165.6600000000001"/>
        <n v="424.59"/>
        <n v="3626.6"/>
        <n v="3704"/>
        <n v="4125.41"/>
        <n v="3949.47"/>
        <n v="1199.1600000000001"/>
        <n v="1765.99"/>
        <n v="3905.95"/>
        <n v="3413.6"/>
        <n v="4930.71"/>
        <n v="3120.29"/>
        <n v="847.74"/>
        <n v="2324.75"/>
        <n v="4935.58"/>
        <n v="2091.9699999999998"/>
        <n v="2698.88"/>
        <n v="1972.7"/>
        <n v="3882.27"/>
        <n v="4703.51"/>
        <n v="1066.3900000000001"/>
        <n v="2637.67"/>
        <n v="78.39"/>
        <n v="492.38"/>
        <n v="3083.84"/>
        <n v="1418.03"/>
        <n v="1330.05"/>
        <n v="4818.84"/>
        <n v="3377.11"/>
        <n v="736.71"/>
        <n v="3690.52"/>
        <n v="2846.69"/>
        <n v="1656.3"/>
        <n v="1919.15"/>
        <n v="2821.64"/>
        <n v="472.96"/>
        <n v="4603.0200000000004"/>
        <n v="3544.31"/>
        <n v="1206.08"/>
        <n v="2407.64"/>
        <n v="3828.59"/>
        <n v="1436.98"/>
        <n v="769.44"/>
        <n v="3720.49"/>
        <n v="3790.57"/>
        <n v="849"/>
        <n v="3088.48"/>
        <n v="2072.5500000000002"/>
        <n v="1130.58"/>
        <n v="397.89"/>
        <n v="1843.94"/>
        <n v="2067.9899999999998"/>
        <n v="4411.4799999999996"/>
        <n v="1690.93"/>
        <n v="880.23"/>
        <n v="4510.0200000000004"/>
        <n v="3359.13"/>
        <n v="1551"/>
        <n v="826.83"/>
        <n v="586.23"/>
        <n v="1478.66"/>
        <n v="202.2"/>
        <n v="2500.41"/>
        <n v="4390.75"/>
        <n v="879.62"/>
        <n v="390.57"/>
        <n v="4847.67"/>
        <n v="4718.6899999999996"/>
        <n v="1385.86"/>
        <n v="540.04999999999995"/>
        <n v="4050.32"/>
        <n v="808.98"/>
        <n v="406.94"/>
        <n v="2062.75"/>
        <n v="3367.68"/>
        <n v="751.31"/>
        <n v="4072.35"/>
        <n v="3278.11"/>
        <n v="943.4"/>
        <n v="1101.32"/>
        <n v="771.5"/>
        <n v="3971.95"/>
        <n v="1938.66"/>
        <n v="797.21"/>
        <n v="691.2"/>
        <n v="3772.5"/>
        <n v="2608.63"/>
        <n v="542.1"/>
        <n v="3337.57"/>
        <n v="3390.46"/>
        <n v="416.63"/>
        <n v="921.58"/>
        <n v="793.26"/>
        <n v="3069.26"/>
        <n v="2063.2600000000002"/>
        <n v="4173.47"/>
        <n v="2906.61"/>
        <n v="4935.59"/>
        <n v="3114.13"/>
        <n v="1711.28"/>
        <n v="2911.95"/>
        <n v="623.08000000000004"/>
        <n v="1753.68"/>
        <n v="619.1"/>
        <n v="1301.3499999999999"/>
        <n v="4030.99"/>
        <n v="1062.22"/>
        <n v="3867.16"/>
        <n v="4201.4399999999996"/>
        <n v="2114.66"/>
        <n v="4621.3500000000004"/>
        <n v="4305.1899999999996"/>
        <n v="2644.26"/>
        <n v="852.21"/>
        <n v="3211.92"/>
        <n v="4882.49"/>
        <n v="3679.47"/>
        <n v="4146.09"/>
        <n v="3459.92"/>
        <n v="4522.8599999999997"/>
        <n v="2581.6"/>
        <n v="332.8"/>
        <n v="786.03"/>
        <n v="4062.45"/>
        <n v="3211.32"/>
        <n v="4620.1499999999996"/>
        <n v="4793.32"/>
        <n v="2518.69"/>
        <n v="2928.73"/>
        <n v="3986.64"/>
        <n v="4614"/>
        <n v="4621.9799999999996"/>
        <n v="108.68"/>
        <n v="3295.81"/>
        <n v="1951.45"/>
        <n v="3428.44"/>
        <n v="3031.02"/>
        <n v="4447.41"/>
        <n v="4574.1499999999996"/>
        <n v="2380.11"/>
        <n v="1935.17"/>
        <n v="3041.25"/>
        <n v="4469.99"/>
        <n v="4139.75"/>
        <n v="2309.19"/>
        <n v="1899.34"/>
        <n v="4929.1499999999996"/>
        <n v="2750.97"/>
        <n v="158.53"/>
        <n v="4466.58"/>
        <n v="2671.97"/>
        <n v="2891"/>
        <n v="2815.77"/>
        <n v="3984.11"/>
        <n v="2701.29"/>
        <n v="1390.65"/>
        <n v="1617.19"/>
        <n v="3712.63"/>
        <n v="2552.1"/>
        <n v="1723.79"/>
        <n v="2060.34"/>
        <n v="3861.66"/>
        <n v="2298.0300000000002"/>
        <n v="3499.85"/>
        <n v="3549.65"/>
        <n v="2364.25"/>
        <n v="3868.14"/>
        <n v="2812.17"/>
        <n v="352.93"/>
        <n v="1093.42"/>
        <n v="3833.64"/>
        <n v="1976.31"/>
        <n v="4092.57"/>
        <n v="1327"/>
        <n v="1550.93"/>
        <n v="2103.86"/>
        <n v="2053.37"/>
        <n v="3519.63"/>
        <n v="1075.3399999999999"/>
        <n v="4119.91"/>
        <n v="1617.8"/>
        <n v="2575.2199999999998"/>
        <n v="4179.28"/>
        <n v="2532.29"/>
        <n v="2481.4299999999998"/>
        <n v="422.35"/>
        <n v="1065.77"/>
        <n v="1739.12"/>
        <n v="2697.58"/>
        <n v="237.23"/>
        <n v="121.33"/>
        <n v="3464.76"/>
        <n v="3503.99"/>
        <n v="2415.2399999999998"/>
        <n v="4648.09"/>
        <n v="436.98"/>
        <n v="2280.23"/>
        <n v="3669.16"/>
        <n v="3253"/>
        <n v="4412.42"/>
        <n v="1583.31"/>
        <n v="905.36"/>
        <n v="1580.23"/>
        <n v="3483.78"/>
        <n v="461.45"/>
        <n v="3220.35"/>
        <n v="1495.29"/>
        <n v="1946"/>
        <n v="2156.21"/>
        <n v="975.01"/>
        <n v="4878.63"/>
        <n v="4720.91"/>
        <n v="1903"/>
        <n v="2982.74"/>
        <n v="2804.32"/>
        <n v="4870.88"/>
        <n v="989.2"/>
        <n v="2329.9499999999998"/>
        <n v="117.19"/>
        <n v="1465.54"/>
        <n v="1727.86"/>
        <n v="4983.3500000000004"/>
        <n v="1637.1"/>
        <n v="1786.66"/>
        <n v="3084.8"/>
        <n v="4149.51"/>
        <n v="2899.43"/>
        <n v="1000.81"/>
        <n v="1850.78"/>
        <n v="1908.58"/>
        <n v="3316.4"/>
        <n v="1306.4100000000001"/>
        <n v="963.15"/>
        <n v="2910.76"/>
        <n v="3757.57"/>
        <n v="4086.36"/>
        <n v="3879.98"/>
        <n v="3055.99"/>
        <n v="795.45"/>
        <n v="274.33999999999997"/>
        <n v="3663.78"/>
        <n v="2642.3"/>
        <n v="4945.2299999999996"/>
        <n v="4237.2"/>
        <n v="3090.26"/>
        <n v="1986.78"/>
        <n v="650.85"/>
        <n v="3528.12"/>
        <n v="599.54"/>
        <n v="2731.89"/>
        <n v="1196.81"/>
        <n v="3656.81"/>
        <n v="3479.83"/>
        <n v="3062.28"/>
        <n v="4970.13"/>
        <n v="2705.12"/>
        <n v="3803.11"/>
        <n v="3476.26"/>
        <n v="2891.3"/>
        <n v="2801.11"/>
        <n v="4947.2"/>
        <n v="611.11"/>
        <n v="73.989999999999995"/>
        <n v="1677.08"/>
        <n v="2948.38"/>
        <n v="1883.36"/>
        <n v="635.32000000000005"/>
        <n v="137.6"/>
        <n v="4045.55"/>
        <n v="949.84"/>
        <n v="349.9"/>
        <n v="3533.16"/>
        <n v="999.12"/>
        <n v="1560.28"/>
        <n v="991.59"/>
        <n v="4152.8900000000003"/>
        <n v="3818.6"/>
        <n v="3085.62"/>
        <n v="2819.54"/>
        <n v="4514.0600000000004"/>
        <n v="1718.04"/>
        <n v="2774.56"/>
        <n v="4913.29"/>
        <n v="1694.8"/>
        <n v="3612.43"/>
        <n v="3954.43"/>
        <n v="2839.64"/>
        <n v="1676.44"/>
        <n v="2521.7199999999998"/>
        <n v="988.15"/>
        <n v="4876.68"/>
        <n v="1952.36"/>
        <n v="146.65"/>
        <n v="3347.93"/>
        <n v="2464.44"/>
        <n v="2158.13"/>
        <n v="2391.35"/>
        <n v="2914.2"/>
        <n v="1427.25"/>
        <n v="975.89"/>
        <n v="4406.5600000000004"/>
        <n v="1825.35"/>
        <n v="4381.45"/>
        <n v="2751.87"/>
        <n v="4125.9799999999996"/>
        <n v="1030.58"/>
        <n v="509.87"/>
        <n v="3134.86"/>
        <n v="1075.05"/>
        <n v="4501.5200000000004"/>
        <n v="998.4"/>
        <n v="3582.04"/>
        <n v="1007.54"/>
        <n v="1906.57"/>
        <n v="1671.63"/>
        <n v="1768.41"/>
        <n v="2972.1"/>
        <n v="1121.1099999999999"/>
        <n v="4338.03"/>
        <n v="1176.3699999999999"/>
        <n v="2027.46"/>
        <n v="1938.15"/>
        <n v="2090.92"/>
        <n v="992.84"/>
        <n v="2023.28"/>
        <n v="1926.92"/>
        <n v="3944.65"/>
        <n v="859.81"/>
        <n v="183.06"/>
        <n v="2100.08"/>
        <n v="4119.79"/>
        <n v="2284.65"/>
        <n v="1443.41"/>
        <n v="1971.97"/>
        <n v="2881.36"/>
        <n v="966.65"/>
        <n v="4592.4799999999996"/>
        <n v="3729.33"/>
        <n v="3645.76"/>
        <n v="1407.9"/>
        <n v="4039.12"/>
        <n v="3406.72"/>
        <n v="859.69"/>
        <n v="3031.82"/>
        <n v="3037.35"/>
        <n v="3131.87"/>
        <n v="311.18"/>
        <n v="2901.15"/>
        <n v="1148.96"/>
        <n v="2102.0500000000002"/>
        <n v="1817.07"/>
        <n v="564.37"/>
        <n v="1129.1300000000001"/>
        <n v="1130.76"/>
        <n v="3069.11"/>
        <n v="4793.29"/>
        <n v="3337.8"/>
        <n v="3708.92"/>
        <n v="669.11"/>
        <n v="920.12"/>
        <n v="2937.25"/>
        <n v="476.61"/>
        <n v="2349.23"/>
        <n v="3750.88"/>
        <n v="212.18"/>
        <n v="4307.2299999999996"/>
        <n v="2023.5"/>
        <n v="766.37"/>
        <n v="1080.8900000000001"/>
        <n v="2057.41"/>
        <n v="3494.79"/>
        <n v="2304.9"/>
        <n v="623.28"/>
        <n v="4912.3599999999997"/>
        <n v="2361.15"/>
        <n v="1841.69"/>
        <n v="1624.44"/>
        <n v="2348.63"/>
        <n v="2230.69"/>
        <n v="1664.15"/>
        <n v="3475.78"/>
        <n v="3623.29"/>
        <n v="431.21"/>
        <n v="80.47"/>
        <n v="4938.63"/>
        <n v="2051.7800000000002"/>
        <n v="175.7"/>
        <n v="4798.67"/>
        <n v="4553.41"/>
        <n v="4736.92"/>
        <n v="585.94000000000005"/>
        <n v="2596.06"/>
        <n v="1025.02"/>
        <n v="1548.83"/>
        <n v="1990.52"/>
        <n v="2422.85"/>
        <n v="3916.02"/>
        <n v="372.23"/>
        <n v="4289.6499999999996"/>
        <n v="336.6"/>
        <n v="3026.9"/>
        <n v="935.86"/>
        <n v="194.03"/>
        <n v="2370.9"/>
        <n v="3898.83"/>
        <n v="373.48"/>
        <n v="1439.2"/>
        <n v="4398.62"/>
        <n v="4601.7700000000004"/>
        <n v="4455.24"/>
        <n v="4987.5"/>
        <n v="4996.41"/>
        <n v="131.29"/>
        <n v="4012.06"/>
        <n v="3433.17"/>
        <n v="2793.96"/>
        <n v="3503.89"/>
        <n v="3241.85"/>
        <n v="3796.49"/>
        <n v="2098.58"/>
        <n v="2930.57"/>
        <n v="2557.2800000000002"/>
        <n v="1481.22"/>
        <n v="3421.01"/>
        <n v="2185.29"/>
        <n v="1661.37"/>
        <n v="745.78"/>
        <n v="3411.92"/>
        <n v="3206.22"/>
        <n v="4947.76"/>
        <n v="156.04"/>
        <n v="283.54000000000002"/>
        <n v="4251.58"/>
        <n v="601.79999999999995"/>
        <n v="2642.85"/>
        <n v="3299.25"/>
        <n v="1053.92"/>
        <n v="2499.44"/>
        <n v="2303.6999999999998"/>
        <n v="1737.99"/>
        <n v="4481.2700000000004"/>
        <n v="1129.42"/>
        <n v="4889.49"/>
        <n v="4914.41"/>
        <n v="1461.9"/>
        <n v="4420.88"/>
        <n v="2910.68"/>
        <n v="3441.03"/>
        <n v="1764.26"/>
        <n v="4151.6499999999996"/>
        <n v="2104.94"/>
        <n v="3464.68"/>
        <n v="1702.79"/>
        <n v="313.83"/>
        <n v="1187.52"/>
        <n v="477.01"/>
        <n v="2210.8200000000002"/>
        <n v="4942.01"/>
        <n v="2688.5"/>
        <n v="2427.8200000000002"/>
        <n v="3127.87"/>
        <n v="1727.88"/>
        <n v="3037.03"/>
        <n v="528.20000000000005"/>
        <n v="3856.01"/>
        <n v="167.89"/>
        <n v="4360.66"/>
        <n v="4227.76"/>
        <n v="4864.29"/>
        <n v="3037.31"/>
        <n v="2639.62"/>
        <n v="3853.22"/>
        <n v="1907.94"/>
        <n v="2838.34"/>
        <n v="3953.69"/>
        <n v="4643.3500000000004"/>
        <n v="109.72"/>
        <n v="4834.57"/>
        <n v="4870.43"/>
        <n v="4704.21"/>
        <n v="2616.7199999999998"/>
        <n v="3780.64"/>
        <n v="1821.65"/>
        <n v="3984.89"/>
        <n v="984.2"/>
        <n v="551.79"/>
        <n v="2302.3200000000002"/>
        <n v="2095.5500000000002"/>
        <n v="1647.4"/>
        <n v="4241.49"/>
        <n v="4413.0600000000004"/>
        <n v="622.29999999999995"/>
        <n v="3830.76"/>
        <n v="312.74"/>
        <n v="3571.75"/>
        <n v="4105.55"/>
        <n v="3099.15"/>
        <n v="1741.65"/>
        <n v="1630.57"/>
        <n v="2554.46"/>
        <n v="3237.64"/>
        <n v="763.42"/>
        <n v="1377.49"/>
        <n v="1856.69"/>
        <n v="581.61"/>
        <n v="3577.73"/>
        <n v="4267.91"/>
        <n v="3769.37"/>
        <n v="1890.62"/>
        <n v="4830.42"/>
        <n v="1642.55"/>
        <n v="4138.8999999999996"/>
        <n v="4746.08"/>
        <n v="2311.9899999999998"/>
        <n v="510.8"/>
        <n v="4167.83"/>
        <n v="4082.83"/>
        <n v="2466.98"/>
        <n v="4254.4399999999996"/>
        <n v="186.82"/>
        <n v="2048.3200000000002"/>
        <n v="4336.4799999999996"/>
        <n v="452.73"/>
        <n v="1742.62"/>
        <n v="113.15"/>
        <n v="4893.62"/>
        <n v="1730.23"/>
        <n v="2274.1999999999998"/>
        <n v="4886.74"/>
        <n v="4805.16"/>
        <n v="2370.75"/>
        <n v="4047.4"/>
        <n v="1372.52"/>
        <n v="3131.61"/>
        <n v="4668.43"/>
        <n v="782.53"/>
        <n v="1434.21"/>
        <n v="678.6"/>
        <n v="3102.5"/>
        <n v="1052.95"/>
        <n v="3514.04"/>
        <n v="2124.58"/>
        <n v="244.03"/>
        <n v="2715.21"/>
        <n v="3957.65"/>
        <n v="1507.33"/>
        <n v="3562.34"/>
        <n v="1036.51"/>
        <n v="408.33"/>
        <n v="2161.29"/>
        <n v="3138.39"/>
        <n v="4169.3"/>
        <n v="868.23"/>
        <n v="1529.87"/>
        <n v="1096.3499999999999"/>
        <n v="2029.03"/>
        <n v="4630.04"/>
        <n v="1379.48"/>
        <n v="4052.38"/>
        <n v="2660.39"/>
        <n v="4764.95"/>
        <n v="4560.28"/>
        <n v="3942.18"/>
        <n v="4410.3900000000003"/>
        <n v="2248.39"/>
        <n v="4623.46"/>
        <n v="2557.15"/>
        <n v="3310.18"/>
        <n v="2771.97"/>
        <n v="1431.47"/>
        <n v="3380.91"/>
        <n v="4743.93"/>
        <n v="4034.09"/>
        <n v="2437.73"/>
        <n v="1776.77"/>
        <n v="2334.29"/>
        <n v="1010.81"/>
        <n v="4461.88"/>
        <n v="2063.87"/>
        <n v="611.76"/>
        <n v="3019.36"/>
        <n v="3309.13"/>
        <n v="2984.16"/>
        <n v="3881.04"/>
        <n v="1305.79"/>
        <n v="123.53"/>
        <n v="4700.99"/>
        <n v="1855.6"/>
        <n v="338.5"/>
        <n v="333.46"/>
        <n v="4689.13"/>
        <n v="485.47"/>
        <n v="2017.54"/>
        <n v="1262.21"/>
        <n v="3517.16"/>
        <n v="520.27"/>
        <n v="2949.05"/>
        <n v="2522.81"/>
        <n v="3356.96"/>
        <n v="1485.94"/>
        <n v="2430.66"/>
        <n v="2257.79"/>
        <n v="3569.08"/>
        <n v="4651.1400000000003"/>
        <n v="4734.2299999999996"/>
        <n v="4174.5200000000004"/>
        <n v="3294.28"/>
        <n v="1026.75"/>
        <n v="4427.2700000000004"/>
        <n v="1509.71"/>
        <n v="2051.46"/>
        <n v="4807.4799999999996"/>
        <n v="1779.93"/>
        <n v="1130.21"/>
        <n v="3441.89"/>
        <n v="1562.05"/>
        <n v="2586.15"/>
        <n v="4264.6499999999996"/>
        <n v="907.88"/>
        <n v="676.17"/>
        <n v="4805.2"/>
        <n v="3239.64"/>
        <n v="3668.66"/>
        <n v="1124.23"/>
        <n v="554.16"/>
        <n v="3784.18"/>
        <n v="3963.24"/>
        <n v="4751.32"/>
        <n v="3849.76"/>
        <n v="3070.29"/>
        <n v="3235.66"/>
        <n v="1732.52"/>
        <n v="4202.53"/>
        <n v="3598.83"/>
        <n v="503.78"/>
        <n v="3692.33"/>
        <n v="4170.79"/>
        <n v="3481.6"/>
        <n v="1902.83"/>
        <n v="366.98"/>
        <n v="4291.3100000000004"/>
        <n v="4382.28"/>
        <n v="3033.36"/>
        <n v="169.29"/>
        <n v="2481.71"/>
        <n v="4473.2700000000004"/>
        <n v="4863.6499999999996"/>
        <n v="4871.8999999999996"/>
        <n v="4213.51"/>
        <n v="4322.72"/>
        <n v="2730.58"/>
        <n v="3532.83"/>
        <n v="711.2"/>
        <n v="2120.2399999999998"/>
        <n v="4495.75"/>
        <n v="4446.51"/>
        <n v="4456.7299999999996"/>
        <n v="4924.74"/>
        <n v="3966.13"/>
        <n v="902.5"/>
        <n v="1731.43"/>
        <n v="3994.75"/>
        <n v="149.61000000000001"/>
        <n v="3607.01"/>
        <n v="4484.24"/>
        <n v="237.13"/>
        <n v="1336.79"/>
        <n v="2853.24"/>
        <n v="2297.96"/>
        <n v="2981"/>
        <n v="4387.09"/>
        <n v="2816.78"/>
        <n v="615.70000000000005"/>
        <n v="1892.34"/>
        <n v="1501.07"/>
        <n v="3146.95"/>
        <n v="4052.89"/>
        <n v="3897.31"/>
        <n v="4720.1099999999997"/>
        <n v="2803.72"/>
        <n v="3875.56"/>
        <n v="3796.69"/>
        <n v="1737.74"/>
        <n v="2882.82"/>
        <n v="3871.64"/>
        <n v="2310.54"/>
        <n v="2591.56"/>
        <n v="4933.93"/>
        <n v="2439.9299999999998"/>
        <n v="684.27"/>
        <n v="3090.4"/>
        <n v="3501.77"/>
        <n v="2985.88"/>
        <n v="1779.81"/>
        <n v="2139.89"/>
        <n v="4419.8599999999997"/>
        <n v="1231.8699999999999"/>
        <n v="998.99"/>
        <n v="2718.02"/>
        <n v="4880.6000000000004"/>
        <n v="2648.59"/>
        <n v="3371.06"/>
        <n v="4831.76"/>
        <n v="65.53"/>
        <n v="1701.54"/>
        <n v="4642.29"/>
        <n v="2073.88"/>
        <n v="2989.8"/>
        <n v="2368"/>
        <n v="3257.13"/>
        <n v="3908.95"/>
        <n v="3433.05"/>
        <n v="4532.8999999999996"/>
        <n v="4266.01"/>
        <n v="1502.02"/>
        <n v="4679.42"/>
        <n v="2435.73"/>
        <n v="4860.5"/>
        <n v="2756.17"/>
        <n v="2356.71"/>
        <n v="2743.81"/>
        <n v="1245.8800000000001"/>
        <n v="3429.45"/>
        <n v="1458.51"/>
        <n v="1563.89"/>
        <n v="227.22"/>
        <n v="326.60000000000002"/>
        <n v="4540.8999999999996"/>
        <n v="3642.9"/>
        <n v="1941.46"/>
        <n v="4188.9799999999996"/>
        <n v="676.6"/>
        <n v="783.74"/>
        <n v="3144.31"/>
        <n v="3524.13"/>
        <n v="3539.11"/>
        <n v="4649.3900000000003"/>
        <n v="2090.59"/>
        <n v="1101.43"/>
        <n v="4544.6099999999997"/>
        <n v="3014.19"/>
        <n v="2707.41"/>
        <n v="3831"/>
        <n v="855.79"/>
        <n v="3323.41"/>
        <n v="4770.3500000000004"/>
        <n v="4279.1099999999997"/>
        <n v="2342.0700000000002"/>
        <n v="3913.87"/>
        <n v="4052.73"/>
        <n v="1161.8900000000001"/>
        <n v="1780.87"/>
        <n v="3797.54"/>
        <n v="393.2"/>
        <n v="2365.12"/>
        <n v="96.66"/>
        <n v="3804.46"/>
        <n v="2834"/>
        <n v="4812.7299999999996"/>
        <n v="1891.95"/>
        <n v="1445.59"/>
        <n v="1981.19"/>
        <n v="4231.82"/>
        <n v="889.47"/>
        <n v="4019.33"/>
        <n v="1643.26"/>
        <n v="2555.06"/>
        <n v="2700.72"/>
        <n v="3131.73"/>
        <n v="2875.73"/>
        <n v="4347.08"/>
        <n v="4503.2700000000004"/>
        <n v="1022.64"/>
        <n v="1183.22"/>
        <n v="3653.58"/>
        <n v="3156.9"/>
        <n v="4217.9399999999996"/>
        <n v="4941.1899999999996"/>
        <n v="4020.81"/>
        <n v="4450.84"/>
        <n v="4925.8599999999997"/>
        <n v="2448.12"/>
        <n v="707.44"/>
        <n v="1066.25"/>
        <n v="4180.13"/>
        <n v="2964.22"/>
        <n v="1600.71"/>
        <n v="3299.85"/>
        <n v="659.18"/>
        <n v="2923.28"/>
        <n v="3206.96"/>
        <n v="3638.53"/>
        <n v="3071.59"/>
        <n v="4794.3500000000004"/>
        <n v="537.89"/>
        <n v="4469.6499999999996"/>
        <n v="4060.98"/>
        <n v="3945.56"/>
        <n v="3189.26"/>
        <n v="1600.06"/>
        <n v="4611.1099999999997"/>
        <n v="889.89"/>
        <n v="2980.32"/>
        <n v="3183.97"/>
        <n v="2809.11"/>
        <n v="2428.87"/>
        <n v="3140.74"/>
        <n v="1410.99"/>
        <n v="1078.1199999999999"/>
        <n v="3064.26"/>
        <n v="4747.28"/>
        <n v="2467.5100000000002"/>
        <n v="4675.03"/>
        <n v="2462.86"/>
        <n v="3768.17"/>
        <n v="2093.63"/>
        <n v="4408.28"/>
        <n v="328.21"/>
        <n v="1797.91"/>
        <n v="4100.82"/>
        <n v="4589.1099999999997"/>
        <n v="4655.37"/>
        <n v="1739.85"/>
        <n v="582.08000000000004"/>
        <n v="2699.34"/>
        <n v="2573.94"/>
        <n v="1712.23"/>
        <n v="146.31"/>
        <n v="1672.93"/>
        <n v="1475.54"/>
        <n v="3469.63"/>
        <n v="3198.73"/>
        <n v="2764.3"/>
        <n v="421.17"/>
        <n v="3903.64"/>
        <n v="2878.83"/>
        <n v="3470.41"/>
        <n v="4019.74"/>
        <n v="3228.31"/>
        <n v="3503.73"/>
        <n v="4294.7700000000004"/>
        <n v="2671.69"/>
        <n v="3299.82"/>
        <n v="4038.5"/>
        <n v="1947.91"/>
        <n v="1316.69"/>
        <n v="1936.05"/>
        <n v="1119.47"/>
        <n v="1278.28"/>
        <n v="1814.21"/>
        <n v="79.83"/>
        <n v="3093.7"/>
        <n v="4593.71"/>
        <n v="1427.37"/>
        <n v="2050.88"/>
        <n v="3327.05"/>
        <n v="971.74"/>
        <n v="2802.73"/>
        <n v="2274.8000000000002"/>
        <n v="4220.12"/>
        <n v="2628.44"/>
        <n v="4519.01"/>
        <n v="3115.74"/>
        <n v="2110.23"/>
        <n v="4766.03"/>
        <n v="2943.31"/>
        <n v="518.73"/>
        <n v="594.9"/>
        <n v="359.26"/>
        <n v="1259.74"/>
        <n v="293.23"/>
        <n v="2489.85"/>
        <n v="4596.5200000000004"/>
        <n v="3035.86"/>
        <n v="1006.26"/>
        <n v="1405.9"/>
        <n v="4048.81"/>
        <n v="506.21"/>
        <n v="3513.19"/>
        <n v="795.49"/>
        <n v="2817.44"/>
        <n v="1884.47"/>
        <n v="557.22"/>
        <n v="2354.5100000000002"/>
        <n v="3156.57"/>
        <n v="4175.41"/>
        <n v="3801.53"/>
        <n v="2028.64"/>
        <n v="1683.28"/>
        <n v="1139.94"/>
        <n v="3129.77"/>
        <n v="2029.65"/>
        <n v="342.54"/>
        <n v="2915.52"/>
        <n v="1694.71"/>
        <n v="890.05"/>
        <n v="4680.13"/>
        <n v="1593.5"/>
        <n v="4203.2"/>
        <n v="975.86"/>
        <n v="2662.08"/>
        <n v="3694.76"/>
        <n v="2772.79"/>
        <n v="2786.62"/>
        <n v="523.36"/>
        <n v="3926.31"/>
        <n v="2196.1"/>
        <n v="2121.96"/>
        <n v="2540.15"/>
        <n v="4157.67"/>
        <n v="1398.25"/>
        <n v="3158.07"/>
        <n v="596.84"/>
        <n v="2628.97"/>
        <n v="3511.28"/>
        <n v="1771.8"/>
        <n v="3566.35"/>
        <n v="3678.21"/>
        <n v="4290.25"/>
        <n v="2254.09"/>
        <n v="3606.48"/>
        <n v="3247.43"/>
        <n v="3952.28"/>
        <n v="2024.81"/>
        <n v="314.83999999999997"/>
        <n v="2940.85"/>
        <n v="4213.17"/>
        <n v="1889.48"/>
        <n v="2647.84"/>
        <n v="2795.2"/>
        <n v="4422.2700000000004"/>
        <n v="4777.13"/>
        <n v="3562.4"/>
        <n v="154.06"/>
        <n v="1626.9"/>
        <n v="304.55"/>
        <n v="4165.26"/>
        <n v="1318.69"/>
        <n v="844.3"/>
        <n v="1535.98"/>
        <n v="4984.25"/>
        <n v="2757.26"/>
        <n v="3957.46"/>
        <n v="3930.55"/>
        <n v="2950.39"/>
        <n v="1164.29"/>
        <n v="2161.09"/>
        <n v="1188.77"/>
        <n v="532.24"/>
        <n v="4051.48"/>
        <n v="4557.45"/>
        <n v="3048.38"/>
        <n v="1744.91"/>
        <n v="4268.3599999999997"/>
        <n v="247.96"/>
        <n v="3641.35"/>
        <n v="2620.06"/>
        <n v="4778.53"/>
        <n v="4489.5"/>
        <n v="3344.17"/>
        <n v="109.25"/>
        <n v="1325.26"/>
        <n v="3576.2"/>
        <n v="2955.71"/>
        <n v="4214.6499999999996"/>
        <n v="2702.14"/>
        <n v="2784.87"/>
        <n v="745.65"/>
        <n v="3339.8"/>
        <n v="1855.42"/>
        <n v="3172.36"/>
        <n v="257.31"/>
        <n v="4972.79"/>
        <n v="4660.82"/>
        <n v="2668.48"/>
        <n v="765.73"/>
        <n v="890.32"/>
        <n v="522.13"/>
        <n v="2718.17"/>
        <n v="3224.94"/>
        <n v="2379.9699999999998"/>
        <n v="3146.83"/>
        <n v="287.77999999999997"/>
        <n v="4109.25"/>
        <n v="4388.8999999999996"/>
        <n v="2705.93"/>
      </sharedItems>
    </cacheField>
    <cacheField name="Profit" numFmtId="165">
      <sharedItems containsSemiMixedTypes="0" containsString="0" containsNumber="1" minValue="10.36" maxValue="999.06"/>
    </cacheField>
    <cacheField name="Quantity Sold" numFmtId="1">
      <sharedItems containsSemiMixedTypes="0" containsString="0" containsNumber="1" containsInteger="1" minValue="1" maxValue="20"/>
    </cacheField>
    <cacheField name="Customer Segment" numFmtId="0">
      <sharedItems count="3">
        <s v="Corporate"/>
        <s v="Small Business"/>
        <s v="Consumer"/>
      </sharedItems>
    </cacheField>
    <cacheField name="Product Name" numFmtId="0">
      <sharedItems/>
    </cacheField>
    <cacheField name="Product Category" numFmtId="0">
      <sharedItems count="3">
        <s v="Office Supplies"/>
        <s v="Electronics"/>
        <s v="Furniture"/>
      </sharedItems>
    </cacheField>
    <cacheField name="Supplier Name" numFmtId="0">
      <sharedItems/>
    </cacheField>
    <cacheField name="Unit Cost" numFmtId="0">
      <sharedItems containsSemiMixedTypes="0" containsString="0" containsNumber="1" minValue="13.46" maxValue="299.77"/>
    </cacheField>
    <cacheField name="Months (Order Date)" numFmtId="0" databaseField="0">
      <fieldGroup base="1">
        <rangePr groupBy="months" startDate="2020-01-01T00:00:00" endDate="2024-11-10T00:00:00"/>
        <groupItems count="14">
          <s v="&lt;1/1/2020"/>
          <s v="Jan"/>
          <s v="Feb"/>
          <s v="Mar"/>
          <s v="Apr"/>
          <s v="May"/>
          <s v="Jun"/>
          <s v="Jul"/>
          <s v="Aug"/>
          <s v="Sep"/>
          <s v="Oct"/>
          <s v="Nov"/>
          <s v="Dec"/>
          <s v="&gt;11/10/2024"/>
        </groupItems>
      </fieldGroup>
    </cacheField>
    <cacheField name="Quarters (Order Date)" numFmtId="0" databaseField="0">
      <fieldGroup base="1">
        <rangePr groupBy="quarters" startDate="2020-01-01T00:00:00" endDate="2024-11-10T00:00:00"/>
        <groupItems count="6">
          <s v="&lt;1/1/2020"/>
          <s v="Qtr1"/>
          <s v="Qtr2"/>
          <s v="Qtr3"/>
          <s v="Qtr4"/>
          <s v="&gt;11/10/2024"/>
        </groupItems>
      </fieldGroup>
    </cacheField>
    <cacheField name="Years (Order Date)" numFmtId="0" databaseField="0">
      <fieldGroup base="1">
        <rangePr groupBy="years" startDate="2020-01-01T00:00:00" endDate="2024-11-10T00:00:00"/>
        <groupItems count="7">
          <s v="&lt;1/1/2020"/>
          <s v="2020"/>
          <s v="2021"/>
          <s v="2022"/>
          <s v="2023"/>
          <s v="2024"/>
          <s v="&gt;11/10/2024"/>
        </groupItems>
      </fieldGroup>
    </cacheField>
  </cacheFields>
  <extLst>
    <ext xmlns:x14="http://schemas.microsoft.com/office/spreadsheetml/2009/9/main" uri="{725AE2AE-9491-48be-B2B4-4EB974FC3084}">
      <x14:pivotCacheDefinition pivotCacheId="30828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a Nomani" refreshedDate="45908.566069328706" createdVersion="8" refreshedVersion="8" minRefreshableVersion="3" recordCount="2000" xr:uid="{8D66AC10-86CB-4C89-BFB3-D642A6F8C66B}">
  <cacheSource type="worksheet">
    <worksheetSource ref="B3:N2003" sheet=".xlsx].xlsx]Master Sheet" r:id="rId2"/>
  </cacheSource>
  <cacheFields count="13">
    <cacheField name="Order ID" numFmtId="0">
      <sharedItems/>
    </cacheField>
    <cacheField name="Order Date" numFmtId="164">
      <sharedItems containsSemiMixedTypes="0" containsNonDate="0" containsDate="1" containsString="0" minDate="2020-01-01T00:00:00" maxDate="2024-11-10T00:00:00"/>
    </cacheField>
    <cacheField name="Region" numFmtId="0">
      <sharedItems count="4">
        <s v="East"/>
        <s v="West"/>
        <s v="North"/>
        <s v="South"/>
      </sharedItems>
    </cacheField>
    <cacheField name="Product ID" numFmtId="0">
      <sharedItems/>
    </cacheField>
    <cacheField name="Sales Amount" numFmtId="165">
      <sharedItems containsSemiMixedTypes="0" containsString="0" containsNumber="1" minValue="50.76" maxValue="4996.41"/>
    </cacheField>
    <cacheField name="Profit" numFmtId="165">
      <sharedItems containsSemiMixedTypes="0" containsString="0" containsNumber="1" minValue="10.36" maxValue="999.06"/>
    </cacheField>
    <cacheField name="Quantity Sold" numFmtId="1">
      <sharedItems containsSemiMixedTypes="0" containsString="0" containsNumber="1" containsInteger="1" minValue="1" maxValue="20"/>
    </cacheField>
    <cacheField name="Customer Segment" numFmtId="0">
      <sharedItems/>
    </cacheField>
    <cacheField name="Product Name" numFmtId="0">
      <sharedItems/>
    </cacheField>
    <cacheField name="Product Category" numFmtId="0">
      <sharedItems count="3">
        <s v="Office Supplies"/>
        <s v="Electronics"/>
        <s v="Furniture"/>
      </sharedItems>
    </cacheField>
    <cacheField name="Supplier Name" numFmtId="0">
      <sharedItems/>
    </cacheField>
    <cacheField name="Unit Cost" numFmtId="0">
      <sharedItems containsSemiMixedTypes="0" containsString="0" containsNumber="1" minValue="13.46" maxValue="299.77"/>
    </cacheField>
    <cacheField name="Profit Margin" numFmtId="10">
      <sharedItems containsSemiMixedTypes="0" containsString="0" containsNumber="1" minValue="2.9253774975334258E-3" maxValue="17.9519821328866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0"/>
    <x v="0"/>
    <x v="0"/>
    <s v="PROD133"/>
    <x v="0"/>
    <n v="397.75"/>
    <n v="13"/>
    <x v="0"/>
    <s v="Re-Intermediate Seamless Applications"/>
    <x v="0"/>
    <s v="Welch-Reed"/>
    <n v="45.82"/>
  </r>
  <r>
    <s v="ORD1001"/>
    <x v="1"/>
    <x v="1"/>
    <s v="PROD143"/>
    <x v="1"/>
    <n v="960.26"/>
    <n v="19"/>
    <x v="1"/>
    <s v="E-Enable Synergistic Vortals"/>
    <x v="1"/>
    <s v="Guzman Group"/>
    <n v="278.43"/>
  </r>
  <r>
    <s v="ORD1002"/>
    <x v="2"/>
    <x v="0"/>
    <s v="PROD158"/>
    <x v="2"/>
    <n v="922.51"/>
    <n v="18"/>
    <x v="0"/>
    <s v="Brand Web-Enabled Solutions"/>
    <x v="1"/>
    <s v="Russell Group"/>
    <n v="51.67"/>
  </r>
  <r>
    <s v="ORD1003"/>
    <x v="3"/>
    <x v="2"/>
    <s v="PROD117"/>
    <x v="3"/>
    <n v="304.19"/>
    <n v="6"/>
    <x v="1"/>
    <s v="Revolutionize Efficient Niches"/>
    <x v="1"/>
    <s v="Lopez-Torres"/>
    <n v="23.02"/>
  </r>
  <r>
    <s v="ORD1004"/>
    <x v="4"/>
    <x v="3"/>
    <s v="PROD142"/>
    <x v="4"/>
    <n v="623.91"/>
    <n v="2"/>
    <x v="0"/>
    <s v="Target Bricks-And-Clicks Channels"/>
    <x v="1"/>
    <s v="Dunn, Christensen and Meyer"/>
    <n v="126.86"/>
  </r>
  <r>
    <s v="ORD1005"/>
    <x v="5"/>
    <x v="1"/>
    <s v="PROD170"/>
    <x v="5"/>
    <n v="331.69"/>
    <n v="9"/>
    <x v="1"/>
    <s v="Deliver Sticky Networks"/>
    <x v="2"/>
    <s v="Massey LLC"/>
    <n v="272.33"/>
  </r>
  <r>
    <s v="ORD1006"/>
    <x v="6"/>
    <x v="3"/>
    <s v="PROD104"/>
    <x v="6"/>
    <n v="938.95"/>
    <n v="2"/>
    <x v="1"/>
    <s v="Implement Clicks-And-Mortar Partnerships"/>
    <x v="1"/>
    <s v="Smith Inc"/>
    <n v="195.53"/>
  </r>
  <r>
    <s v="ORD1007"/>
    <x v="7"/>
    <x v="3"/>
    <s v="PROD111"/>
    <x v="7"/>
    <n v="945.15"/>
    <n v="2"/>
    <x v="1"/>
    <s v="Harness Revolutionary Interfaces"/>
    <x v="2"/>
    <s v="Davis, Short and Nguyen"/>
    <n v="26.49"/>
  </r>
  <r>
    <s v="ORD1008"/>
    <x v="8"/>
    <x v="0"/>
    <s v="PROD187"/>
    <x v="8"/>
    <n v="311.77999999999997"/>
    <n v="12"/>
    <x v="1"/>
    <s v="Whiteboard Compelling Experiences"/>
    <x v="2"/>
    <s v="Carrillo, Carr and Ball"/>
    <n v="206.54"/>
  </r>
  <r>
    <s v="ORD1009"/>
    <x v="9"/>
    <x v="3"/>
    <s v="PROD103"/>
    <x v="9"/>
    <n v="726.44"/>
    <n v="14"/>
    <x v="2"/>
    <s v="Monetize Collaborative Metrics"/>
    <x v="1"/>
    <s v="Ramirez-Brown"/>
    <n v="286.04000000000002"/>
  </r>
  <r>
    <s v="ORD1010"/>
    <x v="10"/>
    <x v="3"/>
    <s v="PROD125"/>
    <x v="10"/>
    <n v="532.04"/>
    <n v="4"/>
    <x v="1"/>
    <s v="Leverage Cutting-Edge Vortals"/>
    <x v="1"/>
    <s v="Robinson, Garrett and Chavez"/>
    <n v="117.3"/>
  </r>
  <r>
    <s v="ORD1011"/>
    <x v="10"/>
    <x v="1"/>
    <s v="PROD179"/>
    <x v="11"/>
    <n v="135.59"/>
    <n v="16"/>
    <x v="1"/>
    <s v="Target Viral Methodologies"/>
    <x v="1"/>
    <s v="Alvarez, Myers and Walter"/>
    <n v="149.26"/>
  </r>
  <r>
    <s v="ORD1012"/>
    <x v="11"/>
    <x v="3"/>
    <s v="PROD126"/>
    <x v="12"/>
    <n v="702.4"/>
    <n v="3"/>
    <x v="0"/>
    <s v="Streamline Innovative Architectures"/>
    <x v="2"/>
    <s v="Price, Valentine and Lutz"/>
    <n v="291.14999999999998"/>
  </r>
  <r>
    <s v="ORD1013"/>
    <x v="12"/>
    <x v="2"/>
    <s v="PROD166"/>
    <x v="13"/>
    <n v="199.73"/>
    <n v="10"/>
    <x v="2"/>
    <s v="Monetize Wireless Functionalities"/>
    <x v="2"/>
    <s v="Robinson, Rodriguez and Hernandez"/>
    <n v="162.22"/>
  </r>
  <r>
    <s v="ORD1014"/>
    <x v="13"/>
    <x v="2"/>
    <s v="PROD178"/>
    <x v="14"/>
    <n v="869.14"/>
    <n v="5"/>
    <x v="1"/>
    <s v="Monetize Value-Added Niches"/>
    <x v="0"/>
    <s v="Foster, Velazquez and Lee"/>
    <n v="171.51"/>
  </r>
  <r>
    <s v="ORD1015"/>
    <x v="14"/>
    <x v="1"/>
    <s v="PROD108"/>
    <x v="15"/>
    <n v="317"/>
    <n v="15"/>
    <x v="0"/>
    <s v="Synergize World-Class Networks"/>
    <x v="1"/>
    <s v="Gomez-Lawrence"/>
    <n v="72.37"/>
  </r>
  <r>
    <s v="ORD1016"/>
    <x v="15"/>
    <x v="3"/>
    <s v="PROD189"/>
    <x v="16"/>
    <n v="229.89"/>
    <n v="1"/>
    <x v="1"/>
    <s v="E-Enable Next-Generation Experiences"/>
    <x v="2"/>
    <s v="Sanchez-Quinn"/>
    <n v="266.93"/>
  </r>
  <r>
    <s v="ORD1017"/>
    <x v="16"/>
    <x v="3"/>
    <s v="PROD146"/>
    <x v="17"/>
    <n v="591.41999999999996"/>
    <n v="16"/>
    <x v="0"/>
    <s v="Engage Rich Web-Readiness"/>
    <x v="0"/>
    <s v="Turner Inc"/>
    <n v="81.069999999999993"/>
  </r>
  <r>
    <s v="ORD1018"/>
    <x v="17"/>
    <x v="3"/>
    <s v="PROD108"/>
    <x v="18"/>
    <n v="948.19"/>
    <n v="3"/>
    <x v="2"/>
    <s v="Synergize World-Class Networks"/>
    <x v="1"/>
    <s v="Gomez-Lawrence"/>
    <n v="72.37"/>
  </r>
  <r>
    <s v="ORD1019"/>
    <x v="18"/>
    <x v="0"/>
    <s v="PROD184"/>
    <x v="19"/>
    <n v="477.79"/>
    <n v="13"/>
    <x v="0"/>
    <s v="Embrace 24/365 Functionalities"/>
    <x v="0"/>
    <s v="Smith LLC"/>
    <n v="204.04"/>
  </r>
  <r>
    <s v="ORD1020"/>
    <x v="19"/>
    <x v="2"/>
    <s v="PROD152"/>
    <x v="20"/>
    <n v="902.62"/>
    <n v="17"/>
    <x v="2"/>
    <s v="Reinvent Frictionless Roi"/>
    <x v="2"/>
    <s v="Bridges, Castillo and Rodriguez"/>
    <n v="253.89"/>
  </r>
  <r>
    <s v="ORD1021"/>
    <x v="20"/>
    <x v="2"/>
    <s v="PROD197"/>
    <x v="21"/>
    <n v="840.05"/>
    <n v="8"/>
    <x v="1"/>
    <s v="Leverage Rich Portals"/>
    <x v="0"/>
    <s v="Wilson PLC"/>
    <n v="46.35"/>
  </r>
  <r>
    <s v="ORD1022"/>
    <x v="21"/>
    <x v="0"/>
    <s v="PROD154"/>
    <x v="22"/>
    <n v="763.26"/>
    <n v="1"/>
    <x v="1"/>
    <s v="Utilize Virtual Partnerships"/>
    <x v="2"/>
    <s v="Smith, Diaz and Heath"/>
    <n v="193.02"/>
  </r>
  <r>
    <s v="ORD1023"/>
    <x v="22"/>
    <x v="0"/>
    <s v="PROD135"/>
    <x v="23"/>
    <n v="578.23"/>
    <n v="1"/>
    <x v="2"/>
    <s v="Optimize 24/365 E-Services"/>
    <x v="0"/>
    <s v="Chase Ltd"/>
    <n v="100.35"/>
  </r>
  <r>
    <s v="ORD1024"/>
    <x v="23"/>
    <x v="0"/>
    <s v="PROD108"/>
    <x v="24"/>
    <n v="479.89"/>
    <n v="2"/>
    <x v="2"/>
    <s v="Synergize World-Class Networks"/>
    <x v="1"/>
    <s v="Gomez-Lawrence"/>
    <n v="72.37"/>
  </r>
  <r>
    <s v="ORD1025"/>
    <x v="24"/>
    <x v="0"/>
    <s v="PROD145"/>
    <x v="25"/>
    <n v="387.7"/>
    <n v="15"/>
    <x v="2"/>
    <s v="Innovate Strategic Systems"/>
    <x v="0"/>
    <s v="Mcfarland, Parker and Armstrong"/>
    <n v="70.239999999999995"/>
  </r>
  <r>
    <s v="ORD1026"/>
    <x v="25"/>
    <x v="3"/>
    <s v="PROD107"/>
    <x v="26"/>
    <n v="499.99"/>
    <n v="4"/>
    <x v="0"/>
    <s v="Utilize Back-End Models"/>
    <x v="2"/>
    <s v="Lewis-Holden"/>
    <n v="241.53"/>
  </r>
  <r>
    <s v="ORD1027"/>
    <x v="26"/>
    <x v="1"/>
    <s v="PROD186"/>
    <x v="27"/>
    <n v="295.93"/>
    <n v="11"/>
    <x v="2"/>
    <s v="Reinvent Mission-Critical Markets"/>
    <x v="2"/>
    <s v="Gilbert-Sanders"/>
    <n v="154.21"/>
  </r>
  <r>
    <s v="ORD1028"/>
    <x v="27"/>
    <x v="0"/>
    <s v="PROD122"/>
    <x v="28"/>
    <n v="95.25"/>
    <n v="15"/>
    <x v="0"/>
    <s v="Empower Dot-Com Deliverables"/>
    <x v="1"/>
    <s v="Davis LLC"/>
    <n v="250.66"/>
  </r>
  <r>
    <s v="ORD1029"/>
    <x v="28"/>
    <x v="3"/>
    <s v="PROD106"/>
    <x v="29"/>
    <n v="574.78"/>
    <n v="18"/>
    <x v="1"/>
    <s v="Synergize End-To-End Supply-Chains"/>
    <x v="0"/>
    <s v="Higgins-Espinoza"/>
    <n v="279.8"/>
  </r>
  <r>
    <s v="ORD1030"/>
    <x v="29"/>
    <x v="2"/>
    <s v="PROD144"/>
    <x v="30"/>
    <n v="350.41"/>
    <n v="15"/>
    <x v="0"/>
    <s v="Expedite Synergistic Web-Readiness"/>
    <x v="1"/>
    <s v="Dunlap, Carpenter and Monroe"/>
    <n v="289.66000000000003"/>
  </r>
  <r>
    <s v="ORD1031"/>
    <x v="30"/>
    <x v="2"/>
    <s v="PROD117"/>
    <x v="31"/>
    <n v="238.18"/>
    <n v="18"/>
    <x v="1"/>
    <s v="Revolutionize Efficient Niches"/>
    <x v="1"/>
    <s v="Lopez-Torres"/>
    <n v="23.02"/>
  </r>
  <r>
    <s v="ORD1032"/>
    <x v="31"/>
    <x v="1"/>
    <s v="PROD109"/>
    <x v="32"/>
    <n v="416.17"/>
    <n v="3"/>
    <x v="1"/>
    <s v="Orchestrate E-Business Niches"/>
    <x v="2"/>
    <s v="Johnson LLC"/>
    <n v="198.99"/>
  </r>
  <r>
    <s v="ORD1033"/>
    <x v="32"/>
    <x v="2"/>
    <s v="PROD128"/>
    <x v="33"/>
    <n v="730"/>
    <n v="12"/>
    <x v="1"/>
    <s v="Brand Distributed Info-Mediaries"/>
    <x v="2"/>
    <s v="Garcia Ltd"/>
    <n v="114.48"/>
  </r>
  <r>
    <s v="ORD1034"/>
    <x v="33"/>
    <x v="1"/>
    <s v="PROD142"/>
    <x v="34"/>
    <n v="904.77"/>
    <n v="19"/>
    <x v="1"/>
    <s v="Target Bricks-And-Clicks Channels"/>
    <x v="1"/>
    <s v="Dunn, Christensen and Meyer"/>
    <n v="126.86"/>
  </r>
  <r>
    <s v="ORD1035"/>
    <x v="34"/>
    <x v="3"/>
    <s v="PROD163"/>
    <x v="35"/>
    <n v="964.81"/>
    <n v="19"/>
    <x v="2"/>
    <s v="Grow Back-End Supply-Chains"/>
    <x v="1"/>
    <s v="Green LLC"/>
    <n v="140.08000000000001"/>
  </r>
  <r>
    <s v="ORD1036"/>
    <x v="35"/>
    <x v="3"/>
    <s v="PROD194"/>
    <x v="36"/>
    <n v="541.97"/>
    <n v="2"/>
    <x v="1"/>
    <s v="Leverage Scalable Interfaces"/>
    <x v="0"/>
    <s v="Kaufman-Jones"/>
    <n v="73.33"/>
  </r>
  <r>
    <s v="ORD1037"/>
    <x v="36"/>
    <x v="0"/>
    <s v="PROD168"/>
    <x v="37"/>
    <n v="56.5"/>
    <n v="14"/>
    <x v="0"/>
    <s v="Facilitate End-To-End Experiences"/>
    <x v="0"/>
    <s v="Pierce-Goodwin"/>
    <n v="260.52999999999997"/>
  </r>
  <r>
    <s v="ORD1038"/>
    <x v="37"/>
    <x v="0"/>
    <s v="PROD105"/>
    <x v="38"/>
    <n v="415.28"/>
    <n v="13"/>
    <x v="2"/>
    <s v="Transform Holistic Functionalities"/>
    <x v="0"/>
    <s v="Ruiz Ltd"/>
    <n v="179.27"/>
  </r>
  <r>
    <s v="ORD1039"/>
    <x v="38"/>
    <x v="1"/>
    <s v="PROD103"/>
    <x v="39"/>
    <n v="261.82"/>
    <n v="2"/>
    <x v="2"/>
    <s v="Monetize Collaborative Metrics"/>
    <x v="1"/>
    <s v="Ramirez-Brown"/>
    <n v="286.04000000000002"/>
  </r>
  <r>
    <s v="ORD1040"/>
    <x v="39"/>
    <x v="3"/>
    <s v="PROD192"/>
    <x v="40"/>
    <n v="910.8"/>
    <n v="17"/>
    <x v="0"/>
    <s v="Drive Compelling E-Services"/>
    <x v="0"/>
    <s v="Morris-Villanueva"/>
    <n v="27.22"/>
  </r>
  <r>
    <s v="ORD1041"/>
    <x v="40"/>
    <x v="0"/>
    <s v="PROD171"/>
    <x v="41"/>
    <n v="470.47"/>
    <n v="6"/>
    <x v="2"/>
    <s v="Scale 24/365 Networks"/>
    <x v="2"/>
    <s v="Kim-Hamilton"/>
    <n v="157.55000000000001"/>
  </r>
  <r>
    <s v="ORD1042"/>
    <x v="41"/>
    <x v="3"/>
    <s v="PROD140"/>
    <x v="42"/>
    <n v="748.73"/>
    <n v="15"/>
    <x v="0"/>
    <s v="Extend Bricks-And-Clicks Architectures"/>
    <x v="2"/>
    <s v="Fuller PLC"/>
    <n v="202.99"/>
  </r>
  <r>
    <s v="ORD1043"/>
    <x v="42"/>
    <x v="3"/>
    <s v="PROD105"/>
    <x v="43"/>
    <n v="224.86"/>
    <n v="9"/>
    <x v="0"/>
    <s v="Transform Holistic Functionalities"/>
    <x v="0"/>
    <s v="Ruiz Ltd"/>
    <n v="179.27"/>
  </r>
  <r>
    <s v="ORD1044"/>
    <x v="43"/>
    <x v="2"/>
    <s v="PROD194"/>
    <x v="44"/>
    <n v="167.41"/>
    <n v="20"/>
    <x v="1"/>
    <s v="Leverage Scalable Interfaces"/>
    <x v="0"/>
    <s v="Kaufman-Jones"/>
    <n v="73.33"/>
  </r>
  <r>
    <s v="ORD1045"/>
    <x v="44"/>
    <x v="1"/>
    <s v="PROD154"/>
    <x v="45"/>
    <n v="777.6"/>
    <n v="2"/>
    <x v="2"/>
    <s v="Utilize Virtual Partnerships"/>
    <x v="2"/>
    <s v="Smith, Diaz and Heath"/>
    <n v="193.02"/>
  </r>
  <r>
    <s v="ORD1046"/>
    <x v="45"/>
    <x v="3"/>
    <s v="PROD163"/>
    <x v="46"/>
    <n v="880.78"/>
    <n v="10"/>
    <x v="1"/>
    <s v="Grow Back-End Supply-Chains"/>
    <x v="1"/>
    <s v="Green LLC"/>
    <n v="140.08000000000001"/>
  </r>
  <r>
    <s v="ORD1047"/>
    <x v="46"/>
    <x v="2"/>
    <s v="PROD140"/>
    <x v="47"/>
    <n v="952.42"/>
    <n v="17"/>
    <x v="2"/>
    <s v="Extend Bricks-And-Clicks Architectures"/>
    <x v="2"/>
    <s v="Fuller PLC"/>
    <n v="202.99"/>
  </r>
  <r>
    <s v="ORD1048"/>
    <x v="47"/>
    <x v="2"/>
    <s v="PROD119"/>
    <x v="48"/>
    <n v="451.59"/>
    <n v="12"/>
    <x v="0"/>
    <s v="Generate Front-End Functionalities"/>
    <x v="0"/>
    <s v="Morales-Brown"/>
    <n v="299.77"/>
  </r>
  <r>
    <s v="ORD1049"/>
    <x v="48"/>
    <x v="1"/>
    <s v="PROD193"/>
    <x v="49"/>
    <n v="109.89"/>
    <n v="14"/>
    <x v="2"/>
    <s v="Innovate Sticky Web Services"/>
    <x v="1"/>
    <s v="Friedman, Sanders and Adams"/>
    <n v="125.85"/>
  </r>
  <r>
    <s v="ORD1050"/>
    <x v="49"/>
    <x v="0"/>
    <s v="PROD188"/>
    <x v="50"/>
    <n v="836.58"/>
    <n v="9"/>
    <x v="2"/>
    <s v="Transition Mission-Critical Interfaces"/>
    <x v="0"/>
    <s v="Weaver Ltd"/>
    <n v="34.64"/>
  </r>
  <r>
    <s v="ORD1051"/>
    <x v="50"/>
    <x v="1"/>
    <s v="PROD156"/>
    <x v="51"/>
    <n v="139.36000000000001"/>
    <n v="13"/>
    <x v="2"/>
    <s v="Empower Killer Info-Mediaries"/>
    <x v="2"/>
    <s v="Jones Ltd"/>
    <n v="213.24"/>
  </r>
  <r>
    <s v="ORD1052"/>
    <x v="51"/>
    <x v="1"/>
    <s v="PROD156"/>
    <x v="52"/>
    <n v="423.47"/>
    <n v="7"/>
    <x v="2"/>
    <s v="Empower Killer Info-Mediaries"/>
    <x v="2"/>
    <s v="Jones Ltd"/>
    <n v="213.24"/>
  </r>
  <r>
    <s v="ORD1053"/>
    <x v="52"/>
    <x v="0"/>
    <s v="PROD118"/>
    <x v="53"/>
    <n v="281.61"/>
    <n v="15"/>
    <x v="0"/>
    <s v="Engineer Real-Time Architectures"/>
    <x v="2"/>
    <s v="James and Sons"/>
    <n v="127.23"/>
  </r>
  <r>
    <s v="ORD1054"/>
    <x v="53"/>
    <x v="0"/>
    <s v="PROD159"/>
    <x v="54"/>
    <n v="500.98"/>
    <n v="6"/>
    <x v="1"/>
    <s v="Mesh Intuitive Supply-Chains"/>
    <x v="1"/>
    <s v="Soto, Barnett and Heath"/>
    <n v="281"/>
  </r>
  <r>
    <s v="ORD1055"/>
    <x v="54"/>
    <x v="2"/>
    <s v="PROD195"/>
    <x v="55"/>
    <n v="815.92"/>
    <n v="15"/>
    <x v="0"/>
    <s v="Reinvent Out-Of-The-Box Models"/>
    <x v="0"/>
    <s v="Wagner-Curtis"/>
    <n v="172.34"/>
  </r>
  <r>
    <s v="ORD1056"/>
    <x v="55"/>
    <x v="3"/>
    <s v="PROD119"/>
    <x v="56"/>
    <n v="165.29"/>
    <n v="14"/>
    <x v="0"/>
    <s v="Generate Front-End Functionalities"/>
    <x v="0"/>
    <s v="Morales-Brown"/>
    <n v="299.77"/>
  </r>
  <r>
    <s v="ORD1057"/>
    <x v="56"/>
    <x v="2"/>
    <s v="PROD117"/>
    <x v="57"/>
    <n v="945.46"/>
    <n v="5"/>
    <x v="0"/>
    <s v="Revolutionize Efficient Niches"/>
    <x v="1"/>
    <s v="Lopez-Torres"/>
    <n v="23.02"/>
  </r>
  <r>
    <s v="ORD1058"/>
    <x v="57"/>
    <x v="1"/>
    <s v="PROD192"/>
    <x v="58"/>
    <n v="98.29"/>
    <n v="1"/>
    <x v="2"/>
    <s v="Drive Compelling E-Services"/>
    <x v="0"/>
    <s v="Morris-Villanueva"/>
    <n v="27.22"/>
  </r>
  <r>
    <s v="ORD1059"/>
    <x v="58"/>
    <x v="3"/>
    <s v="PROD149"/>
    <x v="59"/>
    <n v="558.34"/>
    <n v="10"/>
    <x v="1"/>
    <s v="Envisioneer B2C Web-Readiness"/>
    <x v="1"/>
    <s v="Kemp Group"/>
    <n v="97.23"/>
  </r>
  <r>
    <s v="ORD1060"/>
    <x v="59"/>
    <x v="2"/>
    <s v="PROD123"/>
    <x v="60"/>
    <n v="385.67"/>
    <n v="12"/>
    <x v="1"/>
    <s v="Redefine Real-Time Convergence"/>
    <x v="1"/>
    <s v="Hayes, Peters and Douglas"/>
    <n v="78.260000000000005"/>
  </r>
  <r>
    <s v="ORD1061"/>
    <x v="60"/>
    <x v="3"/>
    <s v="PROD132"/>
    <x v="61"/>
    <n v="691.64"/>
    <n v="2"/>
    <x v="1"/>
    <s v="Synergize End-To-End Roi"/>
    <x v="1"/>
    <s v="Evans-Smith"/>
    <n v="159.85"/>
  </r>
  <r>
    <s v="ORD1062"/>
    <x v="61"/>
    <x v="1"/>
    <s v="PROD137"/>
    <x v="62"/>
    <n v="737.24"/>
    <n v="14"/>
    <x v="0"/>
    <s v="Optimize Collaborative Initiatives"/>
    <x v="1"/>
    <s v="Adkins Ltd"/>
    <n v="34.46"/>
  </r>
  <r>
    <s v="ORD1063"/>
    <x v="62"/>
    <x v="1"/>
    <s v="PROD124"/>
    <x v="63"/>
    <n v="662.12"/>
    <n v="3"/>
    <x v="0"/>
    <s v="Incubate Real-Time E-Tailers"/>
    <x v="1"/>
    <s v="Johnson-Riley"/>
    <n v="86.67"/>
  </r>
  <r>
    <s v="ORD1064"/>
    <x v="63"/>
    <x v="2"/>
    <s v="PROD169"/>
    <x v="64"/>
    <n v="391.49"/>
    <n v="18"/>
    <x v="0"/>
    <s v="Unleash End-To-End Web Services"/>
    <x v="0"/>
    <s v="Jones Ltd"/>
    <n v="188.02"/>
  </r>
  <r>
    <s v="ORD1065"/>
    <x v="64"/>
    <x v="0"/>
    <s v="PROD133"/>
    <x v="65"/>
    <n v="514.78"/>
    <n v="7"/>
    <x v="2"/>
    <s v="Re-Intermediate Seamless Applications"/>
    <x v="0"/>
    <s v="Welch-Reed"/>
    <n v="45.82"/>
  </r>
  <r>
    <s v="ORD1066"/>
    <x v="59"/>
    <x v="2"/>
    <s v="PROD161"/>
    <x v="66"/>
    <n v="537.45000000000005"/>
    <n v="14"/>
    <x v="0"/>
    <s v="Synergize E-Business Deliverables"/>
    <x v="1"/>
    <s v="Crawford, Warren and Williams"/>
    <n v="125.93"/>
  </r>
  <r>
    <s v="ORD1067"/>
    <x v="65"/>
    <x v="0"/>
    <s v="PROD141"/>
    <x v="67"/>
    <n v="525.21"/>
    <n v="13"/>
    <x v="2"/>
    <s v="Re-Contextualize Integrated Info-Mediaries"/>
    <x v="1"/>
    <s v="Jones-Schroeder"/>
    <n v="26.02"/>
  </r>
  <r>
    <s v="ORD1068"/>
    <x v="66"/>
    <x v="2"/>
    <s v="PROD111"/>
    <x v="68"/>
    <n v="992.3"/>
    <n v="3"/>
    <x v="1"/>
    <s v="Harness Revolutionary Interfaces"/>
    <x v="2"/>
    <s v="Davis, Short and Nguyen"/>
    <n v="26.49"/>
  </r>
  <r>
    <s v="ORD1069"/>
    <x v="67"/>
    <x v="1"/>
    <s v="PROD122"/>
    <x v="69"/>
    <n v="122.11"/>
    <n v="8"/>
    <x v="0"/>
    <s v="Empower Dot-Com Deliverables"/>
    <x v="1"/>
    <s v="Davis LLC"/>
    <n v="250.66"/>
  </r>
  <r>
    <s v="ORD1070"/>
    <x v="68"/>
    <x v="3"/>
    <s v="PROD176"/>
    <x v="70"/>
    <n v="456.81"/>
    <n v="2"/>
    <x v="1"/>
    <s v="Facilitate Integrated E-Business"/>
    <x v="0"/>
    <s v="Chang-Vargas"/>
    <n v="130.33000000000001"/>
  </r>
  <r>
    <s v="ORD1071"/>
    <x v="69"/>
    <x v="1"/>
    <s v="PROD146"/>
    <x v="71"/>
    <n v="116.35"/>
    <n v="1"/>
    <x v="0"/>
    <s v="Engage Rich Web-Readiness"/>
    <x v="0"/>
    <s v="Turner Inc"/>
    <n v="81.069999999999993"/>
  </r>
  <r>
    <s v="ORD1072"/>
    <x v="70"/>
    <x v="1"/>
    <s v="PROD164"/>
    <x v="72"/>
    <n v="810.28"/>
    <n v="1"/>
    <x v="1"/>
    <s v="Transition Compelling Web-Readiness"/>
    <x v="2"/>
    <s v="Wood-Beck"/>
    <n v="88.34"/>
  </r>
  <r>
    <s v="ORD1073"/>
    <x v="71"/>
    <x v="0"/>
    <s v="PROD172"/>
    <x v="73"/>
    <n v="342.82"/>
    <n v="15"/>
    <x v="1"/>
    <s v="E-Enable Virtual Methodologies"/>
    <x v="0"/>
    <s v="Floyd-Love"/>
    <n v="283.64999999999998"/>
  </r>
  <r>
    <s v="ORD1074"/>
    <x v="72"/>
    <x v="0"/>
    <s v="PROD102"/>
    <x v="74"/>
    <n v="180.14"/>
    <n v="5"/>
    <x v="1"/>
    <s v="Optimize Transparent E-Markets"/>
    <x v="0"/>
    <s v="Lee, Tyler and Blevins"/>
    <n v="111.22"/>
  </r>
  <r>
    <s v="ORD1075"/>
    <x v="73"/>
    <x v="3"/>
    <s v="PROD108"/>
    <x v="75"/>
    <n v="756.15"/>
    <n v="19"/>
    <x v="1"/>
    <s v="Synergize World-Class Networks"/>
    <x v="1"/>
    <s v="Gomez-Lawrence"/>
    <n v="72.37"/>
  </r>
  <r>
    <s v="ORD1076"/>
    <x v="74"/>
    <x v="3"/>
    <s v="PROD117"/>
    <x v="76"/>
    <n v="486.41"/>
    <n v="4"/>
    <x v="1"/>
    <s v="Revolutionize Efficient Niches"/>
    <x v="1"/>
    <s v="Lopez-Torres"/>
    <n v="23.02"/>
  </r>
  <r>
    <s v="ORD1077"/>
    <x v="75"/>
    <x v="0"/>
    <s v="PROD122"/>
    <x v="77"/>
    <n v="304.49"/>
    <n v="17"/>
    <x v="0"/>
    <s v="Empower Dot-Com Deliverables"/>
    <x v="1"/>
    <s v="Davis LLC"/>
    <n v="250.66"/>
  </r>
  <r>
    <s v="ORD1078"/>
    <x v="76"/>
    <x v="2"/>
    <s v="PROD172"/>
    <x v="78"/>
    <n v="100.98"/>
    <n v="14"/>
    <x v="1"/>
    <s v="E-Enable Virtual Methodologies"/>
    <x v="0"/>
    <s v="Floyd-Love"/>
    <n v="283.64999999999998"/>
  </r>
  <r>
    <s v="ORD1079"/>
    <x v="77"/>
    <x v="1"/>
    <s v="PROD153"/>
    <x v="79"/>
    <n v="286.08999999999997"/>
    <n v="18"/>
    <x v="2"/>
    <s v="Seize Plug-And-Play Web-Readiness"/>
    <x v="1"/>
    <s v="Joseph, Mayer and Carr"/>
    <n v="102.73"/>
  </r>
  <r>
    <s v="ORD1080"/>
    <x v="78"/>
    <x v="0"/>
    <s v="PROD122"/>
    <x v="80"/>
    <n v="741.36"/>
    <n v="14"/>
    <x v="2"/>
    <s v="Empower Dot-Com Deliverables"/>
    <x v="1"/>
    <s v="Davis LLC"/>
    <n v="250.66"/>
  </r>
  <r>
    <s v="ORD1081"/>
    <x v="79"/>
    <x v="2"/>
    <s v="PROD183"/>
    <x v="81"/>
    <n v="204.65"/>
    <n v="16"/>
    <x v="0"/>
    <s v="Incentivize Front-End Mindshare"/>
    <x v="1"/>
    <s v="Phillips-Tran"/>
    <n v="196.86"/>
  </r>
  <r>
    <s v="ORD1082"/>
    <x v="80"/>
    <x v="0"/>
    <s v="PROD164"/>
    <x v="82"/>
    <n v="385.68"/>
    <n v="16"/>
    <x v="0"/>
    <s v="Transition Compelling Web-Readiness"/>
    <x v="2"/>
    <s v="Wood-Beck"/>
    <n v="88.34"/>
  </r>
  <r>
    <s v="ORD1083"/>
    <x v="81"/>
    <x v="2"/>
    <s v="PROD144"/>
    <x v="83"/>
    <n v="172.78"/>
    <n v="16"/>
    <x v="2"/>
    <s v="Expedite Synergistic Web-Readiness"/>
    <x v="1"/>
    <s v="Dunlap, Carpenter and Monroe"/>
    <n v="289.66000000000003"/>
  </r>
  <r>
    <s v="ORD1084"/>
    <x v="82"/>
    <x v="1"/>
    <s v="PROD192"/>
    <x v="84"/>
    <n v="505.07"/>
    <n v="19"/>
    <x v="2"/>
    <s v="Drive Compelling E-Services"/>
    <x v="0"/>
    <s v="Morris-Villanueva"/>
    <n v="27.22"/>
  </r>
  <r>
    <s v="ORD1085"/>
    <x v="83"/>
    <x v="1"/>
    <s v="PROD168"/>
    <x v="85"/>
    <n v="136.19"/>
    <n v="12"/>
    <x v="0"/>
    <s v="Facilitate End-To-End Experiences"/>
    <x v="0"/>
    <s v="Pierce-Goodwin"/>
    <n v="260.52999999999997"/>
  </r>
  <r>
    <s v="ORD1086"/>
    <x v="84"/>
    <x v="0"/>
    <s v="PROD158"/>
    <x v="86"/>
    <n v="638.54999999999995"/>
    <n v="7"/>
    <x v="2"/>
    <s v="Brand Web-Enabled Solutions"/>
    <x v="1"/>
    <s v="Russell Group"/>
    <n v="51.67"/>
  </r>
  <r>
    <s v="ORD1087"/>
    <x v="85"/>
    <x v="1"/>
    <s v="PROD136"/>
    <x v="87"/>
    <n v="728.43"/>
    <n v="6"/>
    <x v="1"/>
    <s v="Evolve Innovative Web Services"/>
    <x v="2"/>
    <s v="Bush Inc"/>
    <n v="87.75"/>
  </r>
  <r>
    <s v="ORD1088"/>
    <x v="86"/>
    <x v="1"/>
    <s v="PROD198"/>
    <x v="88"/>
    <n v="661.3"/>
    <n v="2"/>
    <x v="1"/>
    <s v="Visualize Dynamic E-Commerce"/>
    <x v="2"/>
    <s v="Jones LLC"/>
    <n v="92.61"/>
  </r>
  <r>
    <s v="ORD1089"/>
    <x v="87"/>
    <x v="0"/>
    <s v="PROD134"/>
    <x v="89"/>
    <n v="371.71"/>
    <n v="9"/>
    <x v="2"/>
    <s v="Utilize Ubiquitous Synergies"/>
    <x v="1"/>
    <s v="Kramer, Huang and Shaw"/>
    <n v="295.89999999999998"/>
  </r>
  <r>
    <s v="ORD1090"/>
    <x v="55"/>
    <x v="2"/>
    <s v="PROD162"/>
    <x v="90"/>
    <n v="361.4"/>
    <n v="18"/>
    <x v="2"/>
    <s v="Reinvent Visionary Niches"/>
    <x v="2"/>
    <s v="Huber-Richmond"/>
    <n v="219.81"/>
  </r>
  <r>
    <s v="ORD1091"/>
    <x v="88"/>
    <x v="3"/>
    <s v="PROD135"/>
    <x v="91"/>
    <n v="206.74"/>
    <n v="6"/>
    <x v="0"/>
    <s v="Optimize 24/365 E-Services"/>
    <x v="0"/>
    <s v="Chase Ltd"/>
    <n v="100.35"/>
  </r>
  <r>
    <s v="ORD1092"/>
    <x v="89"/>
    <x v="2"/>
    <s v="PROD160"/>
    <x v="92"/>
    <n v="202.32"/>
    <n v="4"/>
    <x v="0"/>
    <s v="Deliver Extensible Partnerships"/>
    <x v="2"/>
    <s v="Martin, Paul and Salazar"/>
    <n v="43.76"/>
  </r>
  <r>
    <s v="ORD1093"/>
    <x v="90"/>
    <x v="1"/>
    <s v="PROD124"/>
    <x v="93"/>
    <n v="695.93"/>
    <n v="10"/>
    <x v="2"/>
    <s v="Incubate Real-Time E-Tailers"/>
    <x v="1"/>
    <s v="Johnson-Riley"/>
    <n v="86.67"/>
  </r>
  <r>
    <s v="ORD1094"/>
    <x v="91"/>
    <x v="2"/>
    <s v="PROD184"/>
    <x v="94"/>
    <n v="79.150000000000006"/>
    <n v="8"/>
    <x v="2"/>
    <s v="Embrace 24/365 Functionalities"/>
    <x v="0"/>
    <s v="Smith LLC"/>
    <n v="204.04"/>
  </r>
  <r>
    <s v="ORD1095"/>
    <x v="92"/>
    <x v="3"/>
    <s v="PROD122"/>
    <x v="95"/>
    <n v="476.54"/>
    <n v="17"/>
    <x v="1"/>
    <s v="Empower Dot-Com Deliverables"/>
    <x v="1"/>
    <s v="Davis LLC"/>
    <n v="250.66"/>
  </r>
  <r>
    <s v="ORD1096"/>
    <x v="93"/>
    <x v="1"/>
    <s v="PROD111"/>
    <x v="96"/>
    <n v="378.42"/>
    <n v="15"/>
    <x v="0"/>
    <s v="Harness Revolutionary Interfaces"/>
    <x v="2"/>
    <s v="Davis, Short and Nguyen"/>
    <n v="26.49"/>
  </r>
  <r>
    <s v="ORD1097"/>
    <x v="94"/>
    <x v="2"/>
    <s v="PROD146"/>
    <x v="97"/>
    <n v="273.31"/>
    <n v="12"/>
    <x v="1"/>
    <s v="Engage Rich Web-Readiness"/>
    <x v="0"/>
    <s v="Turner Inc"/>
    <n v="81.069999999999993"/>
  </r>
  <r>
    <s v="ORD1098"/>
    <x v="95"/>
    <x v="1"/>
    <s v="PROD130"/>
    <x v="98"/>
    <n v="453.84"/>
    <n v="2"/>
    <x v="2"/>
    <s v="Synthesize Wireless Initiatives"/>
    <x v="1"/>
    <s v="Mosley Ltd"/>
    <n v="162.69999999999999"/>
  </r>
  <r>
    <s v="ORD1099"/>
    <x v="96"/>
    <x v="3"/>
    <s v="PROD196"/>
    <x v="99"/>
    <n v="333"/>
    <n v="14"/>
    <x v="2"/>
    <s v="Strategize E-Business Content"/>
    <x v="1"/>
    <s v="Patterson LLC"/>
    <n v="294.02"/>
  </r>
  <r>
    <s v="ORD1100"/>
    <x v="97"/>
    <x v="3"/>
    <s v="PROD105"/>
    <x v="100"/>
    <n v="616.64"/>
    <n v="16"/>
    <x v="1"/>
    <s v="Transform Holistic Functionalities"/>
    <x v="0"/>
    <s v="Ruiz Ltd"/>
    <n v="179.27"/>
  </r>
  <r>
    <s v="ORD1101"/>
    <x v="98"/>
    <x v="0"/>
    <s v="PROD180"/>
    <x v="101"/>
    <n v="554.38"/>
    <n v="5"/>
    <x v="1"/>
    <s v="Iterate Extensible Roi"/>
    <x v="0"/>
    <s v="Hill-Kelly"/>
    <n v="180"/>
  </r>
  <r>
    <s v="ORD1102"/>
    <x v="99"/>
    <x v="3"/>
    <s v="PROD133"/>
    <x v="102"/>
    <n v="930.89"/>
    <n v="18"/>
    <x v="1"/>
    <s v="Re-Intermediate Seamless Applications"/>
    <x v="0"/>
    <s v="Welch-Reed"/>
    <n v="45.82"/>
  </r>
  <r>
    <s v="ORD1103"/>
    <x v="100"/>
    <x v="2"/>
    <s v="PROD129"/>
    <x v="103"/>
    <n v="719.48"/>
    <n v="20"/>
    <x v="0"/>
    <s v="Scale Vertical Networks"/>
    <x v="2"/>
    <s v="Lam, Wood and Jacobs"/>
    <n v="133.24"/>
  </r>
  <r>
    <s v="ORD1104"/>
    <x v="101"/>
    <x v="3"/>
    <s v="PROD114"/>
    <x v="104"/>
    <n v="652.88"/>
    <n v="3"/>
    <x v="0"/>
    <s v="Orchestrate User-Centric Platforms"/>
    <x v="2"/>
    <s v="Wells Ltd"/>
    <n v="201.87"/>
  </r>
  <r>
    <s v="ORD1105"/>
    <x v="102"/>
    <x v="3"/>
    <s v="PROD192"/>
    <x v="105"/>
    <n v="802.33"/>
    <n v="1"/>
    <x v="2"/>
    <s v="Drive Compelling E-Services"/>
    <x v="0"/>
    <s v="Morris-Villanueva"/>
    <n v="27.22"/>
  </r>
  <r>
    <s v="ORD1106"/>
    <x v="67"/>
    <x v="0"/>
    <s v="PROD196"/>
    <x v="106"/>
    <n v="481.76"/>
    <n v="8"/>
    <x v="2"/>
    <s v="Strategize E-Business Content"/>
    <x v="1"/>
    <s v="Patterson LLC"/>
    <n v="294.02"/>
  </r>
  <r>
    <s v="ORD1107"/>
    <x v="103"/>
    <x v="3"/>
    <s v="PROD151"/>
    <x v="107"/>
    <n v="672.7"/>
    <n v="7"/>
    <x v="1"/>
    <s v="Re-Contextualize Viral Markets"/>
    <x v="1"/>
    <s v="Meadows-Barber"/>
    <n v="177.52"/>
  </r>
  <r>
    <s v="ORD1108"/>
    <x v="104"/>
    <x v="2"/>
    <s v="PROD179"/>
    <x v="108"/>
    <n v="119.79"/>
    <n v="5"/>
    <x v="0"/>
    <s v="Target Viral Methodologies"/>
    <x v="1"/>
    <s v="Alvarez, Myers and Walter"/>
    <n v="149.26"/>
  </r>
  <r>
    <s v="ORD1109"/>
    <x v="105"/>
    <x v="2"/>
    <s v="PROD134"/>
    <x v="109"/>
    <n v="843.64"/>
    <n v="8"/>
    <x v="0"/>
    <s v="Utilize Ubiquitous Synergies"/>
    <x v="1"/>
    <s v="Kramer, Huang and Shaw"/>
    <n v="295.89999999999998"/>
  </r>
  <r>
    <s v="ORD1110"/>
    <x v="106"/>
    <x v="3"/>
    <s v="PROD173"/>
    <x v="110"/>
    <n v="134.44"/>
    <n v="3"/>
    <x v="0"/>
    <s v="Whiteboard Sticky Content"/>
    <x v="2"/>
    <s v="Wolfe Group"/>
    <n v="82.16"/>
  </r>
  <r>
    <s v="ORD1111"/>
    <x v="107"/>
    <x v="1"/>
    <s v="PROD133"/>
    <x v="111"/>
    <n v="168.42"/>
    <n v="1"/>
    <x v="1"/>
    <s v="Re-Intermediate Seamless Applications"/>
    <x v="0"/>
    <s v="Welch-Reed"/>
    <n v="45.82"/>
  </r>
  <r>
    <s v="ORD1112"/>
    <x v="108"/>
    <x v="0"/>
    <s v="PROD145"/>
    <x v="112"/>
    <n v="384.31"/>
    <n v="19"/>
    <x v="2"/>
    <s v="Innovate Strategic Systems"/>
    <x v="0"/>
    <s v="Mcfarland, Parker and Armstrong"/>
    <n v="70.239999999999995"/>
  </r>
  <r>
    <s v="ORD1113"/>
    <x v="109"/>
    <x v="3"/>
    <s v="PROD186"/>
    <x v="113"/>
    <n v="139.49"/>
    <n v="2"/>
    <x v="2"/>
    <s v="Reinvent Mission-Critical Markets"/>
    <x v="2"/>
    <s v="Gilbert-Sanders"/>
    <n v="154.21"/>
  </r>
  <r>
    <s v="ORD1114"/>
    <x v="110"/>
    <x v="3"/>
    <s v="PROD137"/>
    <x v="114"/>
    <n v="763.75"/>
    <n v="1"/>
    <x v="1"/>
    <s v="Optimize Collaborative Initiatives"/>
    <x v="1"/>
    <s v="Adkins Ltd"/>
    <n v="34.46"/>
  </r>
  <r>
    <s v="ORD1115"/>
    <x v="111"/>
    <x v="1"/>
    <s v="PROD163"/>
    <x v="115"/>
    <n v="939.28"/>
    <n v="20"/>
    <x v="1"/>
    <s v="Grow Back-End Supply-Chains"/>
    <x v="1"/>
    <s v="Green LLC"/>
    <n v="140.08000000000001"/>
  </r>
  <r>
    <s v="ORD1116"/>
    <x v="112"/>
    <x v="3"/>
    <s v="PROD122"/>
    <x v="116"/>
    <n v="876.32"/>
    <n v="7"/>
    <x v="0"/>
    <s v="Empower Dot-Com Deliverables"/>
    <x v="1"/>
    <s v="Davis LLC"/>
    <n v="250.66"/>
  </r>
  <r>
    <s v="ORD1117"/>
    <x v="113"/>
    <x v="1"/>
    <s v="PROD198"/>
    <x v="117"/>
    <n v="839.85"/>
    <n v="4"/>
    <x v="2"/>
    <s v="Visualize Dynamic E-Commerce"/>
    <x v="2"/>
    <s v="Jones LLC"/>
    <n v="92.61"/>
  </r>
  <r>
    <s v="ORD1118"/>
    <x v="114"/>
    <x v="3"/>
    <s v="PROD189"/>
    <x v="118"/>
    <n v="170.24"/>
    <n v="9"/>
    <x v="1"/>
    <s v="E-Enable Next-Generation Experiences"/>
    <x v="2"/>
    <s v="Sanchez-Quinn"/>
    <n v="266.93"/>
  </r>
  <r>
    <s v="ORD1119"/>
    <x v="115"/>
    <x v="2"/>
    <s v="PROD118"/>
    <x v="119"/>
    <n v="358.77"/>
    <n v="9"/>
    <x v="0"/>
    <s v="Engineer Real-Time Architectures"/>
    <x v="2"/>
    <s v="James and Sons"/>
    <n v="127.23"/>
  </r>
  <r>
    <s v="ORD1120"/>
    <x v="116"/>
    <x v="1"/>
    <s v="PROD133"/>
    <x v="120"/>
    <n v="199.98"/>
    <n v="2"/>
    <x v="1"/>
    <s v="Re-Intermediate Seamless Applications"/>
    <x v="0"/>
    <s v="Welch-Reed"/>
    <n v="45.82"/>
  </r>
  <r>
    <s v="ORD1121"/>
    <x v="117"/>
    <x v="0"/>
    <s v="PROD167"/>
    <x v="121"/>
    <n v="632.48"/>
    <n v="4"/>
    <x v="2"/>
    <s v="Grow Synergistic Infrastructures"/>
    <x v="2"/>
    <s v="Adams-Carter"/>
    <n v="113.17"/>
  </r>
  <r>
    <s v="ORD1122"/>
    <x v="118"/>
    <x v="3"/>
    <s v="PROD155"/>
    <x v="122"/>
    <n v="75.39"/>
    <n v="2"/>
    <x v="1"/>
    <s v="Incentivize User-Centric Mindshare"/>
    <x v="1"/>
    <s v="Becker, Wright and Wong"/>
    <n v="38.51"/>
  </r>
  <r>
    <s v="ORD1123"/>
    <x v="119"/>
    <x v="3"/>
    <s v="PROD102"/>
    <x v="123"/>
    <n v="906.62"/>
    <n v="8"/>
    <x v="1"/>
    <s v="Optimize Transparent E-Markets"/>
    <x v="0"/>
    <s v="Lee, Tyler and Blevins"/>
    <n v="111.22"/>
  </r>
  <r>
    <s v="ORD1124"/>
    <x v="120"/>
    <x v="0"/>
    <s v="PROD171"/>
    <x v="124"/>
    <n v="80.39"/>
    <n v="4"/>
    <x v="2"/>
    <s v="Scale 24/365 Networks"/>
    <x v="2"/>
    <s v="Kim-Hamilton"/>
    <n v="157.55000000000001"/>
  </r>
  <r>
    <s v="ORD1125"/>
    <x v="121"/>
    <x v="2"/>
    <s v="PROD159"/>
    <x v="125"/>
    <n v="207.95"/>
    <n v="8"/>
    <x v="0"/>
    <s v="Mesh Intuitive Supply-Chains"/>
    <x v="1"/>
    <s v="Soto, Barnett and Heath"/>
    <n v="281"/>
  </r>
  <r>
    <s v="ORD1126"/>
    <x v="122"/>
    <x v="3"/>
    <s v="PROD101"/>
    <x v="126"/>
    <n v="458.06"/>
    <n v="5"/>
    <x v="2"/>
    <s v="Harness Proactive Eyeballs"/>
    <x v="1"/>
    <s v="Moran and Sons"/>
    <n v="58.01"/>
  </r>
  <r>
    <s v="ORD1127"/>
    <x v="123"/>
    <x v="0"/>
    <s v="PROD128"/>
    <x v="127"/>
    <n v="865.72"/>
    <n v="14"/>
    <x v="2"/>
    <s v="Brand Distributed Info-Mediaries"/>
    <x v="2"/>
    <s v="Garcia Ltd"/>
    <n v="114.48"/>
  </r>
  <r>
    <s v="ORD1128"/>
    <x v="124"/>
    <x v="3"/>
    <s v="PROD161"/>
    <x v="128"/>
    <n v="284.85000000000002"/>
    <n v="7"/>
    <x v="0"/>
    <s v="Synergize E-Business Deliverables"/>
    <x v="1"/>
    <s v="Crawford, Warren and Williams"/>
    <n v="125.93"/>
  </r>
  <r>
    <s v="ORD1129"/>
    <x v="125"/>
    <x v="2"/>
    <s v="PROD148"/>
    <x v="129"/>
    <n v="733.18"/>
    <n v="10"/>
    <x v="1"/>
    <s v="Empower Seamless Roi"/>
    <x v="0"/>
    <s v="Proctor Group"/>
    <n v="266.64999999999998"/>
  </r>
  <r>
    <s v="ORD1130"/>
    <x v="126"/>
    <x v="0"/>
    <s v="PROD173"/>
    <x v="130"/>
    <n v="137.77000000000001"/>
    <n v="10"/>
    <x v="1"/>
    <s v="Whiteboard Sticky Content"/>
    <x v="2"/>
    <s v="Wolfe Group"/>
    <n v="82.16"/>
  </r>
  <r>
    <s v="ORD1131"/>
    <x v="127"/>
    <x v="3"/>
    <s v="PROD148"/>
    <x v="131"/>
    <n v="365.08"/>
    <n v="18"/>
    <x v="1"/>
    <s v="Empower Seamless Roi"/>
    <x v="0"/>
    <s v="Proctor Group"/>
    <n v="266.64999999999998"/>
  </r>
  <r>
    <s v="ORD1132"/>
    <x v="128"/>
    <x v="3"/>
    <s v="PROD136"/>
    <x v="132"/>
    <n v="840.06"/>
    <n v="1"/>
    <x v="1"/>
    <s v="Evolve Innovative Web Services"/>
    <x v="2"/>
    <s v="Bush Inc"/>
    <n v="87.75"/>
  </r>
  <r>
    <s v="ORD1133"/>
    <x v="129"/>
    <x v="2"/>
    <s v="PROD186"/>
    <x v="133"/>
    <n v="427.74"/>
    <n v="1"/>
    <x v="0"/>
    <s v="Reinvent Mission-Critical Markets"/>
    <x v="2"/>
    <s v="Gilbert-Sanders"/>
    <n v="154.21"/>
  </r>
  <r>
    <s v="ORD1134"/>
    <x v="130"/>
    <x v="3"/>
    <s v="PROD171"/>
    <x v="134"/>
    <n v="948.71"/>
    <n v="4"/>
    <x v="0"/>
    <s v="Scale 24/365 Networks"/>
    <x v="2"/>
    <s v="Kim-Hamilton"/>
    <n v="157.55000000000001"/>
  </r>
  <r>
    <s v="ORD1135"/>
    <x v="131"/>
    <x v="0"/>
    <s v="PROD125"/>
    <x v="135"/>
    <n v="331.59"/>
    <n v="15"/>
    <x v="0"/>
    <s v="Leverage Cutting-Edge Vortals"/>
    <x v="1"/>
    <s v="Robinson, Garrett and Chavez"/>
    <n v="117.3"/>
  </r>
  <r>
    <s v="ORD1136"/>
    <x v="132"/>
    <x v="0"/>
    <s v="PROD187"/>
    <x v="136"/>
    <n v="76.42"/>
    <n v="17"/>
    <x v="2"/>
    <s v="Whiteboard Compelling Experiences"/>
    <x v="2"/>
    <s v="Carrillo, Carr and Ball"/>
    <n v="206.54"/>
  </r>
  <r>
    <s v="ORD1137"/>
    <x v="133"/>
    <x v="3"/>
    <s v="PROD142"/>
    <x v="137"/>
    <n v="203.76"/>
    <n v="6"/>
    <x v="0"/>
    <s v="Target Bricks-And-Clicks Channels"/>
    <x v="1"/>
    <s v="Dunn, Christensen and Meyer"/>
    <n v="126.86"/>
  </r>
  <r>
    <s v="ORD1138"/>
    <x v="88"/>
    <x v="1"/>
    <s v="PROD192"/>
    <x v="138"/>
    <n v="659.07"/>
    <n v="4"/>
    <x v="1"/>
    <s v="Drive Compelling E-Services"/>
    <x v="0"/>
    <s v="Morris-Villanueva"/>
    <n v="27.22"/>
  </r>
  <r>
    <s v="ORD1139"/>
    <x v="134"/>
    <x v="1"/>
    <s v="PROD180"/>
    <x v="139"/>
    <n v="209.64"/>
    <n v="13"/>
    <x v="1"/>
    <s v="Iterate Extensible Roi"/>
    <x v="0"/>
    <s v="Hill-Kelly"/>
    <n v="180"/>
  </r>
  <r>
    <s v="ORD1140"/>
    <x v="135"/>
    <x v="2"/>
    <s v="PROD110"/>
    <x v="140"/>
    <n v="844.3"/>
    <n v="3"/>
    <x v="0"/>
    <s v="E-Enable Holistic Supply-Chains"/>
    <x v="2"/>
    <s v="Lin-Mcdaniel"/>
    <n v="160.33000000000001"/>
  </r>
  <r>
    <s v="ORD1141"/>
    <x v="136"/>
    <x v="2"/>
    <s v="PROD115"/>
    <x v="141"/>
    <n v="608.61"/>
    <n v="10"/>
    <x v="1"/>
    <s v="Morph World-Class Synergies"/>
    <x v="1"/>
    <s v="Bryant Ltd"/>
    <n v="20.69"/>
  </r>
  <r>
    <s v="ORD1142"/>
    <x v="96"/>
    <x v="2"/>
    <s v="PROD175"/>
    <x v="142"/>
    <n v="380.99"/>
    <n v="3"/>
    <x v="0"/>
    <s v="Empower Bleeding-Edge Action-Items"/>
    <x v="2"/>
    <s v="Gray, Hayes and Banks"/>
    <n v="204.26"/>
  </r>
  <r>
    <s v="ORD1143"/>
    <x v="137"/>
    <x v="1"/>
    <s v="PROD100"/>
    <x v="143"/>
    <n v="542.99"/>
    <n v="12"/>
    <x v="2"/>
    <s v="Synthesize Scalable Portals"/>
    <x v="2"/>
    <s v="Singh, Villa and Flynn"/>
    <n v="298.57"/>
  </r>
  <r>
    <s v="ORD1144"/>
    <x v="71"/>
    <x v="0"/>
    <s v="PROD161"/>
    <x v="144"/>
    <n v="928.2"/>
    <n v="16"/>
    <x v="1"/>
    <s v="Synergize E-Business Deliverables"/>
    <x v="1"/>
    <s v="Crawford, Warren and Williams"/>
    <n v="125.93"/>
  </r>
  <r>
    <s v="ORD1145"/>
    <x v="138"/>
    <x v="1"/>
    <s v="PROD112"/>
    <x v="145"/>
    <n v="420.7"/>
    <n v="12"/>
    <x v="0"/>
    <s v="Seize Clicks-And-Mortar Platforms"/>
    <x v="0"/>
    <s v="Owens, Campos and Wood"/>
    <n v="271.16000000000003"/>
  </r>
  <r>
    <s v="ORD1146"/>
    <x v="139"/>
    <x v="1"/>
    <s v="PROD191"/>
    <x v="146"/>
    <n v="494.93"/>
    <n v="19"/>
    <x v="0"/>
    <s v="Synergize Frictionless Synergies"/>
    <x v="2"/>
    <s v="Hester and Sons"/>
    <n v="289.06"/>
  </r>
  <r>
    <s v="ORD1147"/>
    <x v="140"/>
    <x v="0"/>
    <s v="PROD134"/>
    <x v="147"/>
    <n v="991.68"/>
    <n v="9"/>
    <x v="1"/>
    <s v="Utilize Ubiquitous Synergies"/>
    <x v="1"/>
    <s v="Kramer, Huang and Shaw"/>
    <n v="295.89999999999998"/>
  </r>
  <r>
    <s v="ORD1148"/>
    <x v="141"/>
    <x v="1"/>
    <s v="PROD148"/>
    <x v="148"/>
    <n v="177.94"/>
    <n v="5"/>
    <x v="0"/>
    <s v="Empower Seamless Roi"/>
    <x v="0"/>
    <s v="Proctor Group"/>
    <n v="266.64999999999998"/>
  </r>
  <r>
    <s v="ORD1149"/>
    <x v="142"/>
    <x v="2"/>
    <s v="PROD157"/>
    <x v="149"/>
    <n v="125.16"/>
    <n v="19"/>
    <x v="0"/>
    <s v="Implement Rich Platforms"/>
    <x v="1"/>
    <s v="Parker, Anderson and Salazar"/>
    <n v="53.59"/>
  </r>
  <r>
    <s v="ORD1150"/>
    <x v="143"/>
    <x v="1"/>
    <s v="PROD113"/>
    <x v="150"/>
    <n v="883.93"/>
    <n v="2"/>
    <x v="1"/>
    <s v="Envisioneer B2B Users"/>
    <x v="0"/>
    <s v="Rogers Group"/>
    <n v="239.16"/>
  </r>
  <r>
    <s v="ORD1151"/>
    <x v="144"/>
    <x v="2"/>
    <s v="PROD174"/>
    <x v="151"/>
    <n v="518.97"/>
    <n v="17"/>
    <x v="1"/>
    <s v="Disintermediate Scalable Bandwidth"/>
    <x v="1"/>
    <s v="Levy PLC"/>
    <n v="19.86"/>
  </r>
  <r>
    <s v="ORD1152"/>
    <x v="145"/>
    <x v="3"/>
    <s v="PROD102"/>
    <x v="152"/>
    <n v="915.91"/>
    <n v="5"/>
    <x v="2"/>
    <s v="Optimize Transparent E-Markets"/>
    <x v="0"/>
    <s v="Lee, Tyler and Blevins"/>
    <n v="111.22"/>
  </r>
  <r>
    <s v="ORD1153"/>
    <x v="146"/>
    <x v="1"/>
    <s v="PROD185"/>
    <x v="153"/>
    <n v="456.45"/>
    <n v="14"/>
    <x v="1"/>
    <s v="Generate End-To-End Functionalities"/>
    <x v="1"/>
    <s v="Sanchez-Stewart"/>
    <n v="196.15"/>
  </r>
  <r>
    <s v="ORD1154"/>
    <x v="147"/>
    <x v="2"/>
    <s v="PROD127"/>
    <x v="154"/>
    <n v="624.41999999999996"/>
    <n v="1"/>
    <x v="2"/>
    <s v="Deliver Viral Channels"/>
    <x v="2"/>
    <s v="Parker LLC"/>
    <n v="45.41"/>
  </r>
  <r>
    <s v="ORD1155"/>
    <x v="148"/>
    <x v="0"/>
    <s v="PROD116"/>
    <x v="155"/>
    <n v="628.16"/>
    <n v="9"/>
    <x v="1"/>
    <s v="Synergize Cross-Platform Vortals"/>
    <x v="2"/>
    <s v="Edwards Group"/>
    <n v="87.18"/>
  </r>
  <r>
    <s v="ORD1156"/>
    <x v="118"/>
    <x v="1"/>
    <s v="PROD179"/>
    <x v="156"/>
    <n v="615.78"/>
    <n v="20"/>
    <x v="2"/>
    <s v="Target Viral Methodologies"/>
    <x v="1"/>
    <s v="Alvarez, Myers and Walter"/>
    <n v="149.26"/>
  </r>
  <r>
    <s v="ORD1157"/>
    <x v="149"/>
    <x v="2"/>
    <s v="PROD180"/>
    <x v="157"/>
    <n v="956.16"/>
    <n v="8"/>
    <x v="1"/>
    <s v="Iterate Extensible Roi"/>
    <x v="0"/>
    <s v="Hill-Kelly"/>
    <n v="180"/>
  </r>
  <r>
    <s v="ORD1158"/>
    <x v="56"/>
    <x v="2"/>
    <s v="PROD182"/>
    <x v="158"/>
    <n v="764.92"/>
    <n v="17"/>
    <x v="2"/>
    <s v="Strategize Best-Of-Breed Web-Readiness"/>
    <x v="0"/>
    <s v="Morris, King and Ayers"/>
    <n v="220.16"/>
  </r>
  <r>
    <s v="ORD1159"/>
    <x v="150"/>
    <x v="3"/>
    <s v="PROD177"/>
    <x v="159"/>
    <n v="731.25"/>
    <n v="11"/>
    <x v="1"/>
    <s v="Deploy Granular Channels"/>
    <x v="2"/>
    <s v="Barnes Ltd"/>
    <n v="288.99"/>
  </r>
  <r>
    <s v="ORD1160"/>
    <x v="151"/>
    <x v="1"/>
    <s v="PROD112"/>
    <x v="160"/>
    <n v="615.79"/>
    <n v="12"/>
    <x v="1"/>
    <s v="Seize Clicks-And-Mortar Platforms"/>
    <x v="0"/>
    <s v="Owens, Campos and Wood"/>
    <n v="271.16000000000003"/>
  </r>
  <r>
    <s v="ORD1161"/>
    <x v="152"/>
    <x v="3"/>
    <s v="PROD110"/>
    <x v="161"/>
    <n v="706.17"/>
    <n v="15"/>
    <x v="2"/>
    <s v="E-Enable Holistic Supply-Chains"/>
    <x v="2"/>
    <s v="Lin-Mcdaniel"/>
    <n v="160.33000000000001"/>
  </r>
  <r>
    <s v="ORD1162"/>
    <x v="153"/>
    <x v="1"/>
    <s v="PROD103"/>
    <x v="162"/>
    <n v="972.35"/>
    <n v="16"/>
    <x v="1"/>
    <s v="Monetize Collaborative Metrics"/>
    <x v="1"/>
    <s v="Ramirez-Brown"/>
    <n v="286.04000000000002"/>
  </r>
  <r>
    <s v="ORD1163"/>
    <x v="154"/>
    <x v="3"/>
    <s v="PROD146"/>
    <x v="163"/>
    <n v="942.02"/>
    <n v="6"/>
    <x v="0"/>
    <s v="Engage Rich Web-Readiness"/>
    <x v="0"/>
    <s v="Turner Inc"/>
    <n v="81.069999999999993"/>
  </r>
  <r>
    <s v="ORD1164"/>
    <x v="155"/>
    <x v="3"/>
    <s v="PROD129"/>
    <x v="164"/>
    <n v="343"/>
    <n v="20"/>
    <x v="0"/>
    <s v="Scale Vertical Networks"/>
    <x v="2"/>
    <s v="Lam, Wood and Jacobs"/>
    <n v="133.24"/>
  </r>
  <r>
    <s v="ORD1165"/>
    <x v="156"/>
    <x v="2"/>
    <s v="PROD166"/>
    <x v="165"/>
    <n v="848.72"/>
    <n v="5"/>
    <x v="0"/>
    <s v="Monetize Wireless Functionalities"/>
    <x v="2"/>
    <s v="Robinson, Rodriguez and Hernandez"/>
    <n v="162.22"/>
  </r>
  <r>
    <s v="ORD1166"/>
    <x v="157"/>
    <x v="2"/>
    <s v="PROD178"/>
    <x v="166"/>
    <n v="165.78"/>
    <n v="18"/>
    <x v="1"/>
    <s v="Monetize Value-Added Niches"/>
    <x v="0"/>
    <s v="Foster, Velazquez and Lee"/>
    <n v="171.51"/>
  </r>
  <r>
    <s v="ORD1167"/>
    <x v="158"/>
    <x v="1"/>
    <s v="PROD191"/>
    <x v="167"/>
    <n v="254.78"/>
    <n v="2"/>
    <x v="1"/>
    <s v="Synergize Frictionless Synergies"/>
    <x v="2"/>
    <s v="Hester and Sons"/>
    <n v="289.06"/>
  </r>
  <r>
    <s v="ORD1168"/>
    <x v="159"/>
    <x v="3"/>
    <s v="PROD180"/>
    <x v="168"/>
    <n v="587.5"/>
    <n v="6"/>
    <x v="1"/>
    <s v="Iterate Extensible Roi"/>
    <x v="0"/>
    <s v="Hill-Kelly"/>
    <n v="180"/>
  </r>
  <r>
    <s v="ORD1169"/>
    <x v="112"/>
    <x v="3"/>
    <s v="PROD157"/>
    <x v="169"/>
    <n v="853.06"/>
    <n v="8"/>
    <x v="2"/>
    <s v="Implement Rich Platforms"/>
    <x v="1"/>
    <s v="Parker, Anderson and Salazar"/>
    <n v="53.59"/>
  </r>
  <r>
    <s v="ORD1170"/>
    <x v="160"/>
    <x v="3"/>
    <s v="PROD172"/>
    <x v="170"/>
    <n v="655.83"/>
    <n v="12"/>
    <x v="1"/>
    <s v="E-Enable Virtual Methodologies"/>
    <x v="0"/>
    <s v="Floyd-Love"/>
    <n v="283.64999999999998"/>
  </r>
  <r>
    <s v="ORD1171"/>
    <x v="161"/>
    <x v="0"/>
    <s v="PROD112"/>
    <x v="171"/>
    <n v="921.65"/>
    <n v="14"/>
    <x v="1"/>
    <s v="Seize Clicks-And-Mortar Platforms"/>
    <x v="0"/>
    <s v="Owens, Campos and Wood"/>
    <n v="271.16000000000003"/>
  </r>
  <r>
    <s v="ORD1172"/>
    <x v="162"/>
    <x v="1"/>
    <s v="PROD111"/>
    <x v="172"/>
    <n v="456.81"/>
    <n v="11"/>
    <x v="1"/>
    <s v="Harness Revolutionary Interfaces"/>
    <x v="2"/>
    <s v="Davis, Short and Nguyen"/>
    <n v="26.49"/>
  </r>
  <r>
    <s v="ORD1173"/>
    <x v="163"/>
    <x v="0"/>
    <s v="PROD107"/>
    <x v="173"/>
    <n v="639.09"/>
    <n v="13"/>
    <x v="2"/>
    <s v="Utilize Back-End Models"/>
    <x v="2"/>
    <s v="Lewis-Holden"/>
    <n v="241.53"/>
  </r>
  <r>
    <s v="ORD1174"/>
    <x v="164"/>
    <x v="0"/>
    <s v="PROD195"/>
    <x v="174"/>
    <n v="114.47"/>
    <n v="9"/>
    <x v="1"/>
    <s v="Reinvent Out-Of-The-Box Models"/>
    <x v="0"/>
    <s v="Wagner-Curtis"/>
    <n v="172.34"/>
  </r>
  <r>
    <s v="ORD1175"/>
    <x v="165"/>
    <x v="0"/>
    <s v="PROD158"/>
    <x v="175"/>
    <n v="626.78"/>
    <n v="20"/>
    <x v="1"/>
    <s v="Brand Web-Enabled Solutions"/>
    <x v="1"/>
    <s v="Russell Group"/>
    <n v="51.67"/>
  </r>
  <r>
    <s v="ORD1176"/>
    <x v="166"/>
    <x v="3"/>
    <s v="PROD145"/>
    <x v="176"/>
    <n v="823.11"/>
    <n v="17"/>
    <x v="2"/>
    <s v="Innovate Strategic Systems"/>
    <x v="0"/>
    <s v="Mcfarland, Parker and Armstrong"/>
    <n v="70.239999999999995"/>
  </r>
  <r>
    <s v="ORD1177"/>
    <x v="19"/>
    <x v="2"/>
    <s v="PROD139"/>
    <x v="177"/>
    <n v="628.84"/>
    <n v="5"/>
    <x v="0"/>
    <s v="Re-Contextualize Viral Mindshare"/>
    <x v="1"/>
    <s v="Carter-Lane"/>
    <n v="142.25"/>
  </r>
  <r>
    <s v="ORD1178"/>
    <x v="167"/>
    <x v="2"/>
    <s v="PROD153"/>
    <x v="178"/>
    <n v="610.32000000000005"/>
    <n v="2"/>
    <x v="2"/>
    <s v="Seize Plug-And-Play Web-Readiness"/>
    <x v="1"/>
    <s v="Joseph, Mayer and Carr"/>
    <n v="102.73"/>
  </r>
  <r>
    <s v="ORD1179"/>
    <x v="168"/>
    <x v="2"/>
    <s v="PROD165"/>
    <x v="179"/>
    <n v="340.69"/>
    <n v="6"/>
    <x v="0"/>
    <s v="Benchmark Cross-Platform Markets"/>
    <x v="2"/>
    <s v="Murphy, Mathews and Wilson"/>
    <n v="78.88"/>
  </r>
  <r>
    <s v="ORD1180"/>
    <x v="169"/>
    <x v="0"/>
    <s v="PROD113"/>
    <x v="180"/>
    <n v="563.96"/>
    <n v="5"/>
    <x v="0"/>
    <s v="Envisioneer B2B Users"/>
    <x v="0"/>
    <s v="Rogers Group"/>
    <n v="239.16"/>
  </r>
  <r>
    <s v="ORD1181"/>
    <x v="170"/>
    <x v="3"/>
    <s v="PROD167"/>
    <x v="181"/>
    <n v="758.59"/>
    <n v="19"/>
    <x v="1"/>
    <s v="Grow Synergistic Infrastructures"/>
    <x v="2"/>
    <s v="Adams-Carter"/>
    <n v="113.17"/>
  </r>
  <r>
    <s v="ORD1182"/>
    <x v="171"/>
    <x v="2"/>
    <s v="PROD179"/>
    <x v="182"/>
    <n v="171.48"/>
    <n v="17"/>
    <x v="1"/>
    <s v="Target Viral Methodologies"/>
    <x v="1"/>
    <s v="Alvarez, Myers and Walter"/>
    <n v="149.26"/>
  </r>
  <r>
    <s v="ORD1183"/>
    <x v="172"/>
    <x v="2"/>
    <s v="PROD160"/>
    <x v="183"/>
    <n v="565.17999999999995"/>
    <n v="2"/>
    <x v="0"/>
    <s v="Deliver Extensible Partnerships"/>
    <x v="2"/>
    <s v="Martin, Paul and Salazar"/>
    <n v="43.76"/>
  </r>
  <r>
    <s v="ORD1184"/>
    <x v="173"/>
    <x v="3"/>
    <s v="PROD149"/>
    <x v="184"/>
    <n v="392.31"/>
    <n v="14"/>
    <x v="0"/>
    <s v="Envisioneer B2C Web-Readiness"/>
    <x v="1"/>
    <s v="Kemp Group"/>
    <n v="97.23"/>
  </r>
  <r>
    <s v="ORD1185"/>
    <x v="174"/>
    <x v="3"/>
    <s v="PROD152"/>
    <x v="185"/>
    <n v="691.61"/>
    <n v="14"/>
    <x v="1"/>
    <s v="Reinvent Frictionless Roi"/>
    <x v="2"/>
    <s v="Bridges, Castillo and Rodriguez"/>
    <n v="253.89"/>
  </r>
  <r>
    <s v="ORD1186"/>
    <x v="175"/>
    <x v="0"/>
    <s v="PROD133"/>
    <x v="186"/>
    <n v="829.06"/>
    <n v="15"/>
    <x v="0"/>
    <s v="Re-Intermediate Seamless Applications"/>
    <x v="0"/>
    <s v="Welch-Reed"/>
    <n v="45.82"/>
  </r>
  <r>
    <s v="ORD1187"/>
    <x v="176"/>
    <x v="0"/>
    <s v="PROD103"/>
    <x v="187"/>
    <n v="126.24"/>
    <n v="6"/>
    <x v="1"/>
    <s v="Monetize Collaborative Metrics"/>
    <x v="1"/>
    <s v="Ramirez-Brown"/>
    <n v="286.04000000000002"/>
  </r>
  <r>
    <s v="ORD1188"/>
    <x v="177"/>
    <x v="1"/>
    <s v="PROD106"/>
    <x v="188"/>
    <n v="868.72"/>
    <n v="16"/>
    <x v="2"/>
    <s v="Synergize End-To-End Supply-Chains"/>
    <x v="0"/>
    <s v="Higgins-Espinoza"/>
    <n v="279.8"/>
  </r>
  <r>
    <s v="ORD1189"/>
    <x v="178"/>
    <x v="2"/>
    <s v="PROD129"/>
    <x v="189"/>
    <n v="265.14"/>
    <n v="8"/>
    <x v="1"/>
    <s v="Scale Vertical Networks"/>
    <x v="2"/>
    <s v="Lam, Wood and Jacobs"/>
    <n v="133.24"/>
  </r>
  <r>
    <s v="ORD1190"/>
    <x v="179"/>
    <x v="0"/>
    <s v="PROD146"/>
    <x v="190"/>
    <n v="538.6"/>
    <n v="19"/>
    <x v="1"/>
    <s v="Engage Rich Web-Readiness"/>
    <x v="0"/>
    <s v="Turner Inc"/>
    <n v="81.069999999999993"/>
  </r>
  <r>
    <s v="ORD1191"/>
    <x v="180"/>
    <x v="2"/>
    <s v="PROD107"/>
    <x v="191"/>
    <n v="788.51"/>
    <n v="1"/>
    <x v="1"/>
    <s v="Utilize Back-End Models"/>
    <x v="2"/>
    <s v="Lewis-Holden"/>
    <n v="241.53"/>
  </r>
  <r>
    <s v="ORD1192"/>
    <x v="181"/>
    <x v="1"/>
    <s v="PROD127"/>
    <x v="192"/>
    <n v="96.29"/>
    <n v="1"/>
    <x v="2"/>
    <s v="Deliver Viral Channels"/>
    <x v="2"/>
    <s v="Parker LLC"/>
    <n v="45.41"/>
  </r>
  <r>
    <s v="ORD1193"/>
    <x v="182"/>
    <x v="1"/>
    <s v="PROD135"/>
    <x v="193"/>
    <n v="298.20999999999998"/>
    <n v="2"/>
    <x v="0"/>
    <s v="Optimize 24/365 E-Services"/>
    <x v="0"/>
    <s v="Chase Ltd"/>
    <n v="100.35"/>
  </r>
  <r>
    <s v="ORD1194"/>
    <x v="183"/>
    <x v="2"/>
    <s v="PROD140"/>
    <x v="194"/>
    <n v="611.03"/>
    <n v="6"/>
    <x v="2"/>
    <s v="Extend Bricks-And-Clicks Architectures"/>
    <x v="2"/>
    <s v="Fuller PLC"/>
    <n v="202.99"/>
  </r>
  <r>
    <s v="ORD1195"/>
    <x v="184"/>
    <x v="2"/>
    <s v="PROD107"/>
    <x v="195"/>
    <n v="561.07000000000005"/>
    <n v="10"/>
    <x v="1"/>
    <s v="Utilize Back-End Models"/>
    <x v="2"/>
    <s v="Lewis-Holden"/>
    <n v="241.53"/>
  </r>
  <r>
    <s v="ORD1196"/>
    <x v="185"/>
    <x v="3"/>
    <s v="PROD117"/>
    <x v="196"/>
    <n v="64.040000000000006"/>
    <n v="7"/>
    <x v="1"/>
    <s v="Revolutionize Efficient Niches"/>
    <x v="1"/>
    <s v="Lopez-Torres"/>
    <n v="23.02"/>
  </r>
  <r>
    <s v="ORD1197"/>
    <x v="186"/>
    <x v="3"/>
    <s v="PROD199"/>
    <x v="197"/>
    <n v="920.77"/>
    <n v="19"/>
    <x v="2"/>
    <s v="Scale Cross-Platform Web Services"/>
    <x v="2"/>
    <s v="Morrow, Brock and Lewis"/>
    <n v="115.21"/>
  </r>
  <r>
    <s v="ORD1198"/>
    <x v="187"/>
    <x v="3"/>
    <s v="PROD148"/>
    <x v="198"/>
    <n v="267.49"/>
    <n v="3"/>
    <x v="0"/>
    <s v="Empower Seamless Roi"/>
    <x v="0"/>
    <s v="Proctor Group"/>
    <n v="266.64999999999998"/>
  </r>
  <r>
    <s v="ORD1199"/>
    <x v="188"/>
    <x v="3"/>
    <s v="PROD130"/>
    <x v="199"/>
    <n v="696.78"/>
    <n v="5"/>
    <x v="0"/>
    <s v="Synthesize Wireless Initiatives"/>
    <x v="1"/>
    <s v="Mosley Ltd"/>
    <n v="162.69999999999999"/>
  </r>
  <r>
    <s v="ORD1200"/>
    <x v="189"/>
    <x v="1"/>
    <s v="PROD107"/>
    <x v="200"/>
    <n v="418.66"/>
    <n v="11"/>
    <x v="1"/>
    <s v="Utilize Back-End Models"/>
    <x v="2"/>
    <s v="Lewis-Holden"/>
    <n v="241.53"/>
  </r>
  <r>
    <s v="ORD1201"/>
    <x v="190"/>
    <x v="3"/>
    <s v="PROD195"/>
    <x v="201"/>
    <n v="686.12"/>
    <n v="15"/>
    <x v="0"/>
    <s v="Reinvent Out-Of-The-Box Models"/>
    <x v="0"/>
    <s v="Wagner-Curtis"/>
    <n v="172.34"/>
  </r>
  <r>
    <s v="ORD1202"/>
    <x v="191"/>
    <x v="0"/>
    <s v="PROD140"/>
    <x v="202"/>
    <n v="277.41000000000003"/>
    <n v="1"/>
    <x v="0"/>
    <s v="Extend Bricks-And-Clicks Architectures"/>
    <x v="2"/>
    <s v="Fuller PLC"/>
    <n v="202.99"/>
  </r>
  <r>
    <s v="ORD1203"/>
    <x v="192"/>
    <x v="2"/>
    <s v="PROD173"/>
    <x v="203"/>
    <n v="355.32"/>
    <n v="9"/>
    <x v="2"/>
    <s v="Whiteboard Sticky Content"/>
    <x v="2"/>
    <s v="Wolfe Group"/>
    <n v="82.16"/>
  </r>
  <r>
    <s v="ORD1204"/>
    <x v="193"/>
    <x v="1"/>
    <s v="PROD107"/>
    <x v="204"/>
    <n v="642.71"/>
    <n v="20"/>
    <x v="1"/>
    <s v="Utilize Back-End Models"/>
    <x v="2"/>
    <s v="Lewis-Holden"/>
    <n v="241.53"/>
  </r>
  <r>
    <s v="ORD1205"/>
    <x v="194"/>
    <x v="2"/>
    <s v="PROD117"/>
    <x v="205"/>
    <n v="731.63"/>
    <n v="16"/>
    <x v="1"/>
    <s v="Revolutionize Efficient Niches"/>
    <x v="1"/>
    <s v="Lopez-Torres"/>
    <n v="23.02"/>
  </r>
  <r>
    <s v="ORD1206"/>
    <x v="195"/>
    <x v="0"/>
    <s v="PROD124"/>
    <x v="206"/>
    <n v="882.99"/>
    <n v="3"/>
    <x v="0"/>
    <s v="Incubate Real-Time E-Tailers"/>
    <x v="1"/>
    <s v="Johnson-Riley"/>
    <n v="86.67"/>
  </r>
  <r>
    <s v="ORD1207"/>
    <x v="196"/>
    <x v="1"/>
    <s v="PROD122"/>
    <x v="207"/>
    <n v="608.09"/>
    <n v="13"/>
    <x v="0"/>
    <s v="Empower Dot-Com Deliverables"/>
    <x v="1"/>
    <s v="Davis LLC"/>
    <n v="250.66"/>
  </r>
  <r>
    <s v="ORD1208"/>
    <x v="197"/>
    <x v="2"/>
    <s v="PROD153"/>
    <x v="208"/>
    <n v="768.53"/>
    <n v="12"/>
    <x v="1"/>
    <s v="Seize Plug-And-Play Web-Readiness"/>
    <x v="1"/>
    <s v="Joseph, Mayer and Carr"/>
    <n v="102.73"/>
  </r>
  <r>
    <s v="ORD1209"/>
    <x v="198"/>
    <x v="1"/>
    <s v="PROD184"/>
    <x v="209"/>
    <n v="189.35"/>
    <n v="2"/>
    <x v="1"/>
    <s v="Embrace 24/365 Functionalities"/>
    <x v="0"/>
    <s v="Smith LLC"/>
    <n v="204.04"/>
  </r>
  <r>
    <s v="ORD1210"/>
    <x v="199"/>
    <x v="3"/>
    <s v="PROD145"/>
    <x v="210"/>
    <n v="532.91"/>
    <n v="6"/>
    <x v="2"/>
    <s v="Innovate Strategic Systems"/>
    <x v="0"/>
    <s v="Mcfarland, Parker and Armstrong"/>
    <n v="70.239999999999995"/>
  </r>
  <r>
    <s v="ORD1211"/>
    <x v="200"/>
    <x v="2"/>
    <s v="PROD169"/>
    <x v="211"/>
    <n v="258.38"/>
    <n v="9"/>
    <x v="1"/>
    <s v="Unleash End-To-End Web Services"/>
    <x v="0"/>
    <s v="Jones Ltd"/>
    <n v="188.02"/>
  </r>
  <r>
    <s v="ORD1212"/>
    <x v="201"/>
    <x v="2"/>
    <s v="PROD192"/>
    <x v="212"/>
    <n v="451.79"/>
    <n v="15"/>
    <x v="1"/>
    <s v="Drive Compelling E-Services"/>
    <x v="0"/>
    <s v="Morris-Villanueva"/>
    <n v="27.22"/>
  </r>
  <r>
    <s v="ORD1213"/>
    <x v="202"/>
    <x v="0"/>
    <s v="PROD106"/>
    <x v="213"/>
    <n v="297.14"/>
    <n v="3"/>
    <x v="0"/>
    <s v="Synergize End-To-End Supply-Chains"/>
    <x v="0"/>
    <s v="Higgins-Espinoza"/>
    <n v="279.8"/>
  </r>
  <r>
    <s v="ORD1214"/>
    <x v="203"/>
    <x v="0"/>
    <s v="PROD130"/>
    <x v="214"/>
    <n v="744.96"/>
    <n v="10"/>
    <x v="2"/>
    <s v="Synthesize Wireless Initiatives"/>
    <x v="1"/>
    <s v="Mosley Ltd"/>
    <n v="162.69999999999999"/>
  </r>
  <r>
    <s v="ORD1215"/>
    <x v="112"/>
    <x v="1"/>
    <s v="PROD191"/>
    <x v="215"/>
    <n v="549.54"/>
    <n v="16"/>
    <x v="1"/>
    <s v="Synergize Frictionless Synergies"/>
    <x v="2"/>
    <s v="Hester and Sons"/>
    <n v="289.06"/>
  </r>
  <r>
    <s v="ORD1216"/>
    <x v="204"/>
    <x v="3"/>
    <s v="PROD185"/>
    <x v="216"/>
    <n v="762.28"/>
    <n v="18"/>
    <x v="1"/>
    <s v="Generate End-To-End Functionalities"/>
    <x v="1"/>
    <s v="Sanchez-Stewart"/>
    <n v="196.15"/>
  </r>
  <r>
    <s v="ORD1217"/>
    <x v="205"/>
    <x v="2"/>
    <s v="PROD144"/>
    <x v="217"/>
    <n v="381.28"/>
    <n v="10"/>
    <x v="2"/>
    <s v="Expedite Synergistic Web-Readiness"/>
    <x v="1"/>
    <s v="Dunlap, Carpenter and Monroe"/>
    <n v="289.66000000000003"/>
  </r>
  <r>
    <s v="ORD1218"/>
    <x v="206"/>
    <x v="1"/>
    <s v="PROD175"/>
    <x v="218"/>
    <n v="172.68"/>
    <n v="11"/>
    <x v="0"/>
    <s v="Empower Bleeding-Edge Action-Items"/>
    <x v="2"/>
    <s v="Gray, Hayes and Banks"/>
    <n v="204.26"/>
  </r>
  <r>
    <s v="ORD1219"/>
    <x v="207"/>
    <x v="3"/>
    <s v="PROD125"/>
    <x v="219"/>
    <n v="158.57"/>
    <n v="18"/>
    <x v="0"/>
    <s v="Leverage Cutting-Edge Vortals"/>
    <x v="1"/>
    <s v="Robinson, Garrett and Chavez"/>
    <n v="117.3"/>
  </r>
  <r>
    <s v="ORD1220"/>
    <x v="208"/>
    <x v="0"/>
    <s v="PROD147"/>
    <x v="220"/>
    <n v="434.58"/>
    <n v="19"/>
    <x v="2"/>
    <s v="Brand B2C Info-Mediaries"/>
    <x v="0"/>
    <s v="Preston Ltd"/>
    <n v="13.46"/>
  </r>
  <r>
    <s v="ORD1221"/>
    <x v="209"/>
    <x v="2"/>
    <s v="PROD196"/>
    <x v="221"/>
    <n v="389.64"/>
    <n v="15"/>
    <x v="0"/>
    <s v="Strategize E-Business Content"/>
    <x v="1"/>
    <s v="Patterson LLC"/>
    <n v="294.02"/>
  </r>
  <r>
    <s v="ORD1222"/>
    <x v="210"/>
    <x v="3"/>
    <s v="PROD180"/>
    <x v="222"/>
    <n v="32.94"/>
    <n v="12"/>
    <x v="2"/>
    <s v="Iterate Extensible Roi"/>
    <x v="0"/>
    <s v="Hill-Kelly"/>
    <n v="180"/>
  </r>
  <r>
    <s v="ORD1223"/>
    <x v="175"/>
    <x v="3"/>
    <s v="PROD128"/>
    <x v="223"/>
    <n v="907.67"/>
    <n v="12"/>
    <x v="1"/>
    <s v="Brand Distributed Info-Mediaries"/>
    <x v="2"/>
    <s v="Garcia Ltd"/>
    <n v="114.48"/>
  </r>
  <r>
    <s v="ORD1224"/>
    <x v="211"/>
    <x v="0"/>
    <s v="PROD106"/>
    <x v="224"/>
    <n v="677.42"/>
    <n v="12"/>
    <x v="2"/>
    <s v="Synergize End-To-End Supply-Chains"/>
    <x v="0"/>
    <s v="Higgins-Espinoza"/>
    <n v="279.8"/>
  </r>
  <r>
    <s v="ORD1225"/>
    <x v="212"/>
    <x v="1"/>
    <s v="PROD104"/>
    <x v="225"/>
    <n v="795.83"/>
    <n v="1"/>
    <x v="2"/>
    <s v="Implement Clicks-And-Mortar Partnerships"/>
    <x v="1"/>
    <s v="Smith Inc"/>
    <n v="195.53"/>
  </r>
  <r>
    <s v="ORD1226"/>
    <x v="120"/>
    <x v="2"/>
    <s v="PROD172"/>
    <x v="226"/>
    <n v="621.91999999999996"/>
    <n v="4"/>
    <x v="1"/>
    <s v="E-Enable Virtual Methodologies"/>
    <x v="0"/>
    <s v="Floyd-Love"/>
    <n v="283.64999999999998"/>
  </r>
  <r>
    <s v="ORD1227"/>
    <x v="213"/>
    <x v="2"/>
    <s v="PROD130"/>
    <x v="227"/>
    <n v="32.57"/>
    <n v="2"/>
    <x v="0"/>
    <s v="Synthesize Wireless Initiatives"/>
    <x v="1"/>
    <s v="Mosley Ltd"/>
    <n v="162.69999999999999"/>
  </r>
  <r>
    <s v="ORD1228"/>
    <x v="214"/>
    <x v="2"/>
    <s v="PROD122"/>
    <x v="228"/>
    <n v="996.64"/>
    <n v="14"/>
    <x v="2"/>
    <s v="Empower Dot-Com Deliverables"/>
    <x v="1"/>
    <s v="Davis LLC"/>
    <n v="250.66"/>
  </r>
  <r>
    <s v="ORD1229"/>
    <x v="215"/>
    <x v="2"/>
    <s v="PROD135"/>
    <x v="229"/>
    <n v="871"/>
    <n v="15"/>
    <x v="0"/>
    <s v="Optimize 24/365 E-Services"/>
    <x v="0"/>
    <s v="Chase Ltd"/>
    <n v="100.35"/>
  </r>
  <r>
    <s v="ORD1230"/>
    <x v="216"/>
    <x v="2"/>
    <s v="PROD148"/>
    <x v="230"/>
    <n v="136.46"/>
    <n v="19"/>
    <x v="2"/>
    <s v="Empower Seamless Roi"/>
    <x v="0"/>
    <s v="Proctor Group"/>
    <n v="266.64999999999998"/>
  </r>
  <r>
    <s v="ORD1231"/>
    <x v="217"/>
    <x v="3"/>
    <s v="PROD171"/>
    <x v="231"/>
    <n v="667.51"/>
    <n v="18"/>
    <x v="1"/>
    <s v="Scale 24/365 Networks"/>
    <x v="2"/>
    <s v="Kim-Hamilton"/>
    <n v="157.55000000000001"/>
  </r>
  <r>
    <s v="ORD1232"/>
    <x v="218"/>
    <x v="3"/>
    <s v="PROD197"/>
    <x v="232"/>
    <n v="502.4"/>
    <n v="17"/>
    <x v="1"/>
    <s v="Leverage Rich Portals"/>
    <x v="0"/>
    <s v="Wilson PLC"/>
    <n v="46.35"/>
  </r>
  <r>
    <s v="ORD1233"/>
    <x v="219"/>
    <x v="1"/>
    <s v="PROD167"/>
    <x v="233"/>
    <n v="804.44"/>
    <n v="6"/>
    <x v="0"/>
    <s v="Grow Synergistic Infrastructures"/>
    <x v="2"/>
    <s v="Adams-Carter"/>
    <n v="113.17"/>
  </r>
  <r>
    <s v="ORD1234"/>
    <x v="220"/>
    <x v="1"/>
    <s v="PROD131"/>
    <x v="234"/>
    <n v="740.28"/>
    <n v="13"/>
    <x v="1"/>
    <s v="Scale Bleeding-Edge Schemas"/>
    <x v="1"/>
    <s v="Frazier-Schneider"/>
    <n v="54.8"/>
  </r>
  <r>
    <s v="ORD1235"/>
    <x v="221"/>
    <x v="2"/>
    <s v="PROD129"/>
    <x v="235"/>
    <n v="893.74"/>
    <n v="12"/>
    <x v="2"/>
    <s v="Scale Vertical Networks"/>
    <x v="2"/>
    <s v="Lam, Wood and Jacobs"/>
    <n v="133.24"/>
  </r>
  <r>
    <s v="ORD1236"/>
    <x v="222"/>
    <x v="3"/>
    <s v="PROD149"/>
    <x v="236"/>
    <n v="75.16"/>
    <n v="18"/>
    <x v="0"/>
    <s v="Envisioneer B2C Web-Readiness"/>
    <x v="1"/>
    <s v="Kemp Group"/>
    <n v="97.23"/>
  </r>
  <r>
    <s v="ORD1237"/>
    <x v="223"/>
    <x v="3"/>
    <s v="PROD186"/>
    <x v="237"/>
    <n v="707.21"/>
    <n v="10"/>
    <x v="0"/>
    <s v="Reinvent Mission-Critical Markets"/>
    <x v="2"/>
    <s v="Gilbert-Sanders"/>
    <n v="154.21"/>
  </r>
  <r>
    <s v="ORD1238"/>
    <x v="224"/>
    <x v="0"/>
    <s v="PROD195"/>
    <x v="238"/>
    <n v="946.89"/>
    <n v="5"/>
    <x v="2"/>
    <s v="Reinvent Out-Of-The-Box Models"/>
    <x v="0"/>
    <s v="Wagner-Curtis"/>
    <n v="172.34"/>
  </r>
  <r>
    <s v="ORD1239"/>
    <x v="225"/>
    <x v="0"/>
    <s v="PROD195"/>
    <x v="239"/>
    <n v="742.35"/>
    <n v="14"/>
    <x v="2"/>
    <s v="Reinvent Out-Of-The-Box Models"/>
    <x v="0"/>
    <s v="Wagner-Curtis"/>
    <n v="172.34"/>
  </r>
  <r>
    <s v="ORD1240"/>
    <x v="226"/>
    <x v="3"/>
    <s v="PROD106"/>
    <x v="240"/>
    <n v="36.99"/>
    <n v="18"/>
    <x v="2"/>
    <s v="Synergize End-To-End Supply-Chains"/>
    <x v="0"/>
    <s v="Higgins-Espinoza"/>
    <n v="279.8"/>
  </r>
  <r>
    <s v="ORD1241"/>
    <x v="227"/>
    <x v="0"/>
    <s v="PROD169"/>
    <x v="241"/>
    <n v="40.159999999999997"/>
    <n v="11"/>
    <x v="1"/>
    <s v="Unleash End-To-End Web Services"/>
    <x v="0"/>
    <s v="Jones Ltd"/>
    <n v="188.02"/>
  </r>
  <r>
    <s v="ORD1242"/>
    <x v="228"/>
    <x v="2"/>
    <s v="PROD184"/>
    <x v="242"/>
    <n v="75.239999999999995"/>
    <n v="3"/>
    <x v="2"/>
    <s v="Embrace 24/365 Functionalities"/>
    <x v="0"/>
    <s v="Smith LLC"/>
    <n v="204.04"/>
  </r>
  <r>
    <s v="ORD1243"/>
    <x v="229"/>
    <x v="1"/>
    <s v="PROD123"/>
    <x v="243"/>
    <n v="587.98"/>
    <n v="19"/>
    <x v="0"/>
    <s v="Redefine Real-Time Convergence"/>
    <x v="1"/>
    <s v="Hayes, Peters and Douglas"/>
    <n v="78.260000000000005"/>
  </r>
  <r>
    <s v="ORD1244"/>
    <x v="230"/>
    <x v="0"/>
    <s v="PROD123"/>
    <x v="244"/>
    <n v="403.72"/>
    <n v="13"/>
    <x v="2"/>
    <s v="Redefine Real-Time Convergence"/>
    <x v="1"/>
    <s v="Hayes, Peters and Douglas"/>
    <n v="78.260000000000005"/>
  </r>
  <r>
    <s v="ORD1245"/>
    <x v="231"/>
    <x v="1"/>
    <s v="PROD113"/>
    <x v="245"/>
    <n v="384.71"/>
    <n v="10"/>
    <x v="1"/>
    <s v="Envisioneer B2B Users"/>
    <x v="0"/>
    <s v="Rogers Group"/>
    <n v="239.16"/>
  </r>
  <r>
    <s v="ORD1246"/>
    <x v="232"/>
    <x v="2"/>
    <s v="PROD173"/>
    <x v="246"/>
    <n v="215.08"/>
    <n v="10"/>
    <x v="0"/>
    <s v="Whiteboard Sticky Content"/>
    <x v="2"/>
    <s v="Wolfe Group"/>
    <n v="82.16"/>
  </r>
  <r>
    <s v="ORD1247"/>
    <x v="233"/>
    <x v="2"/>
    <s v="PROD181"/>
    <x v="247"/>
    <n v="780.77"/>
    <n v="12"/>
    <x v="0"/>
    <s v="Extend Bricks-And-Clicks Niches"/>
    <x v="0"/>
    <s v="Hernandez-Rios"/>
    <n v="65.989999999999995"/>
  </r>
  <r>
    <s v="ORD1248"/>
    <x v="234"/>
    <x v="1"/>
    <s v="PROD118"/>
    <x v="248"/>
    <n v="795.61"/>
    <n v="4"/>
    <x v="2"/>
    <s v="Engineer Real-Time Architectures"/>
    <x v="2"/>
    <s v="James and Sons"/>
    <n v="127.23"/>
  </r>
  <r>
    <s v="ORD1249"/>
    <x v="235"/>
    <x v="2"/>
    <s v="PROD114"/>
    <x v="249"/>
    <n v="330.68"/>
    <n v="3"/>
    <x v="0"/>
    <s v="Orchestrate User-Centric Platforms"/>
    <x v="2"/>
    <s v="Wells Ltd"/>
    <n v="201.87"/>
  </r>
  <r>
    <s v="ORD1250"/>
    <x v="236"/>
    <x v="3"/>
    <s v="PROD177"/>
    <x v="250"/>
    <n v="182.24"/>
    <n v="12"/>
    <x v="0"/>
    <s v="Deploy Granular Channels"/>
    <x v="2"/>
    <s v="Barnes Ltd"/>
    <n v="288.99"/>
  </r>
  <r>
    <s v="ORD1251"/>
    <x v="237"/>
    <x v="2"/>
    <s v="PROD149"/>
    <x v="251"/>
    <n v="351.24"/>
    <n v="15"/>
    <x v="2"/>
    <s v="Envisioneer B2C Web-Readiness"/>
    <x v="1"/>
    <s v="Kemp Group"/>
    <n v="97.23"/>
  </r>
  <r>
    <s v="ORD1252"/>
    <x v="238"/>
    <x v="1"/>
    <s v="PROD158"/>
    <x v="252"/>
    <n v="306.61"/>
    <n v="6"/>
    <x v="2"/>
    <s v="Brand Web-Enabled Solutions"/>
    <x v="1"/>
    <s v="Russell Group"/>
    <n v="51.67"/>
  </r>
  <r>
    <s v="ORD1253"/>
    <x v="66"/>
    <x v="2"/>
    <s v="PROD174"/>
    <x v="253"/>
    <n v="719.79"/>
    <n v="13"/>
    <x v="0"/>
    <s v="Disintermediate Scalable Bandwidth"/>
    <x v="1"/>
    <s v="Levy PLC"/>
    <n v="19.86"/>
  </r>
  <r>
    <s v="ORD1254"/>
    <x v="239"/>
    <x v="0"/>
    <s v="PROD102"/>
    <x v="254"/>
    <n v="57.07"/>
    <n v="14"/>
    <x v="1"/>
    <s v="Optimize Transparent E-Markets"/>
    <x v="0"/>
    <s v="Lee, Tyler and Blevins"/>
    <n v="111.22"/>
  </r>
  <r>
    <s v="ORD1255"/>
    <x v="240"/>
    <x v="1"/>
    <s v="PROD125"/>
    <x v="255"/>
    <n v="113.5"/>
    <n v="15"/>
    <x v="2"/>
    <s v="Leverage Cutting-Edge Vortals"/>
    <x v="1"/>
    <s v="Robinson, Garrett and Chavez"/>
    <n v="117.3"/>
  </r>
  <r>
    <s v="ORD1256"/>
    <x v="56"/>
    <x v="2"/>
    <s v="PROD121"/>
    <x v="256"/>
    <n v="730.91"/>
    <n v="5"/>
    <x v="1"/>
    <s v="Whiteboard B2B Content"/>
    <x v="0"/>
    <s v="Romero PLC"/>
    <n v="93.81"/>
  </r>
  <r>
    <s v="ORD1257"/>
    <x v="241"/>
    <x v="1"/>
    <s v="PROD189"/>
    <x v="257"/>
    <n v="118.2"/>
    <n v="13"/>
    <x v="0"/>
    <s v="E-Enable Next-Generation Experiences"/>
    <x v="2"/>
    <s v="Sanchez-Quinn"/>
    <n v="266.93"/>
  </r>
  <r>
    <s v="ORD1258"/>
    <x v="242"/>
    <x v="1"/>
    <s v="PROD169"/>
    <x v="258"/>
    <n v="269.72000000000003"/>
    <n v="13"/>
    <x v="1"/>
    <s v="Unleash End-To-End Web Services"/>
    <x v="0"/>
    <s v="Jones Ltd"/>
    <n v="188.02"/>
  </r>
  <r>
    <s v="ORD1259"/>
    <x v="55"/>
    <x v="0"/>
    <s v="PROD111"/>
    <x v="259"/>
    <n v="707.18"/>
    <n v="16"/>
    <x v="1"/>
    <s v="Harness Revolutionary Interfaces"/>
    <x v="2"/>
    <s v="Davis, Short and Nguyen"/>
    <n v="26.49"/>
  </r>
  <r>
    <s v="ORD1260"/>
    <x v="243"/>
    <x v="2"/>
    <s v="PROD121"/>
    <x v="260"/>
    <n v="293.64"/>
    <n v="9"/>
    <x v="2"/>
    <s v="Whiteboard B2B Content"/>
    <x v="0"/>
    <s v="Romero PLC"/>
    <n v="93.81"/>
  </r>
  <r>
    <s v="ORD1261"/>
    <x v="244"/>
    <x v="0"/>
    <s v="PROD138"/>
    <x v="261"/>
    <n v="132.79"/>
    <n v="1"/>
    <x v="0"/>
    <s v="Deliver Viral Eyeballs"/>
    <x v="0"/>
    <s v="Estes, Chan and Thomas"/>
    <n v="16.89"/>
  </r>
  <r>
    <s v="ORD1262"/>
    <x v="245"/>
    <x v="3"/>
    <s v="PROD198"/>
    <x v="262"/>
    <n v="726.65"/>
    <n v="11"/>
    <x v="2"/>
    <s v="Visualize Dynamic E-Commerce"/>
    <x v="2"/>
    <s v="Jones LLC"/>
    <n v="92.61"/>
  </r>
  <r>
    <s v="ORD1263"/>
    <x v="246"/>
    <x v="1"/>
    <s v="PROD196"/>
    <x v="263"/>
    <n v="709.24"/>
    <n v="11"/>
    <x v="2"/>
    <s v="Strategize E-Business Content"/>
    <x v="1"/>
    <s v="Patterson LLC"/>
    <n v="294.02"/>
  </r>
  <r>
    <s v="ORD1264"/>
    <x v="247"/>
    <x v="0"/>
    <s v="PROD160"/>
    <x v="264"/>
    <n v="449.9"/>
    <n v="12"/>
    <x v="1"/>
    <s v="Deliver Extensible Partnerships"/>
    <x v="2"/>
    <s v="Martin, Paul and Salazar"/>
    <n v="43.76"/>
  </r>
  <r>
    <s v="ORD1265"/>
    <x v="133"/>
    <x v="2"/>
    <s v="PROD197"/>
    <x v="265"/>
    <n v="97.3"/>
    <n v="18"/>
    <x v="1"/>
    <s v="Leverage Rich Portals"/>
    <x v="0"/>
    <s v="Wilson PLC"/>
    <n v="46.35"/>
  </r>
  <r>
    <s v="ORD1266"/>
    <x v="248"/>
    <x v="1"/>
    <s v="PROD104"/>
    <x v="266"/>
    <n v="819.67"/>
    <n v="5"/>
    <x v="1"/>
    <s v="Implement Clicks-And-Mortar Partnerships"/>
    <x v="1"/>
    <s v="Smith Inc"/>
    <n v="195.53"/>
  </r>
  <r>
    <s v="ORD1267"/>
    <x v="249"/>
    <x v="2"/>
    <s v="PROD108"/>
    <x v="267"/>
    <n v="104.55"/>
    <n v="13"/>
    <x v="0"/>
    <s v="Synergize World-Class Networks"/>
    <x v="1"/>
    <s v="Gomez-Lawrence"/>
    <n v="72.37"/>
  </r>
  <r>
    <s v="ORD1268"/>
    <x v="250"/>
    <x v="1"/>
    <s v="PROD121"/>
    <x v="268"/>
    <n v="58.55"/>
    <n v="13"/>
    <x v="0"/>
    <s v="Whiteboard B2B Content"/>
    <x v="0"/>
    <s v="Romero PLC"/>
    <n v="93.81"/>
  </r>
  <r>
    <s v="ORD1269"/>
    <x v="251"/>
    <x v="3"/>
    <s v="PROD146"/>
    <x v="269"/>
    <n v="323.13"/>
    <n v="12"/>
    <x v="0"/>
    <s v="Engage Rich Web-Readiness"/>
    <x v="0"/>
    <s v="Turner Inc"/>
    <n v="81.069999999999993"/>
  </r>
  <r>
    <s v="ORD1270"/>
    <x v="252"/>
    <x v="2"/>
    <s v="PROD116"/>
    <x v="270"/>
    <n v="344.28"/>
    <n v="17"/>
    <x v="1"/>
    <s v="Synergize Cross-Platform Vortals"/>
    <x v="2"/>
    <s v="Edwards Group"/>
    <n v="87.18"/>
  </r>
  <r>
    <s v="ORD1271"/>
    <x v="253"/>
    <x v="2"/>
    <s v="PROD160"/>
    <x v="271"/>
    <n v="579.08000000000004"/>
    <n v="9"/>
    <x v="0"/>
    <s v="Deliver Extensible Partnerships"/>
    <x v="2"/>
    <s v="Martin, Paul and Salazar"/>
    <n v="43.76"/>
  </r>
  <r>
    <s v="ORD1272"/>
    <x v="254"/>
    <x v="0"/>
    <s v="PROD192"/>
    <x v="272"/>
    <n v="108.9"/>
    <n v="3"/>
    <x v="2"/>
    <s v="Drive Compelling E-Services"/>
    <x v="0"/>
    <s v="Morris-Villanueva"/>
    <n v="27.22"/>
  </r>
  <r>
    <s v="ORD1273"/>
    <x v="255"/>
    <x v="0"/>
    <s v="PROD132"/>
    <x v="273"/>
    <n v="929.37"/>
    <n v="5"/>
    <x v="0"/>
    <s v="Synergize End-To-End Roi"/>
    <x v="1"/>
    <s v="Evans-Smith"/>
    <n v="159.85"/>
  </r>
  <r>
    <s v="ORD1274"/>
    <x v="256"/>
    <x v="0"/>
    <s v="PROD123"/>
    <x v="274"/>
    <n v="611.33000000000004"/>
    <n v="20"/>
    <x v="2"/>
    <s v="Redefine Real-Time Convergence"/>
    <x v="1"/>
    <s v="Hayes, Peters and Douglas"/>
    <n v="78.260000000000005"/>
  </r>
  <r>
    <s v="ORD1275"/>
    <x v="18"/>
    <x v="1"/>
    <s v="PROD111"/>
    <x v="275"/>
    <n v="848.36"/>
    <n v="1"/>
    <x v="0"/>
    <s v="Harness Revolutionary Interfaces"/>
    <x v="2"/>
    <s v="Davis, Short and Nguyen"/>
    <n v="26.49"/>
  </r>
  <r>
    <s v="ORD1276"/>
    <x v="257"/>
    <x v="0"/>
    <s v="PROD174"/>
    <x v="276"/>
    <n v="348.13"/>
    <n v="19"/>
    <x v="0"/>
    <s v="Disintermediate Scalable Bandwidth"/>
    <x v="1"/>
    <s v="Levy PLC"/>
    <n v="19.86"/>
  </r>
  <r>
    <s v="ORD1277"/>
    <x v="258"/>
    <x v="0"/>
    <s v="PROD149"/>
    <x v="277"/>
    <n v="310.31"/>
    <n v="11"/>
    <x v="0"/>
    <s v="Envisioneer B2C Web-Readiness"/>
    <x v="1"/>
    <s v="Kemp Group"/>
    <n v="97.23"/>
  </r>
  <r>
    <s v="ORD1278"/>
    <x v="259"/>
    <x v="1"/>
    <s v="PROD160"/>
    <x v="278"/>
    <n v="886.05"/>
    <n v="16"/>
    <x v="0"/>
    <s v="Deliver Extensible Partnerships"/>
    <x v="2"/>
    <s v="Martin, Paul and Salazar"/>
    <n v="43.76"/>
  </r>
  <r>
    <s v="ORD1279"/>
    <x v="260"/>
    <x v="1"/>
    <s v="PROD144"/>
    <x v="279"/>
    <n v="647.09"/>
    <n v="10"/>
    <x v="2"/>
    <s v="Expedite Synergistic Web-Readiness"/>
    <x v="1"/>
    <s v="Dunlap, Carpenter and Monroe"/>
    <n v="289.66000000000003"/>
  </r>
  <r>
    <s v="ORD1280"/>
    <x v="261"/>
    <x v="2"/>
    <s v="PROD192"/>
    <x v="280"/>
    <n v="759.52"/>
    <n v="11"/>
    <x v="1"/>
    <s v="Drive Compelling E-Services"/>
    <x v="0"/>
    <s v="Morris-Villanueva"/>
    <n v="27.22"/>
  </r>
  <r>
    <s v="ORD1281"/>
    <x v="166"/>
    <x v="2"/>
    <s v="PROD180"/>
    <x v="281"/>
    <n v="590.41"/>
    <n v="15"/>
    <x v="1"/>
    <s v="Iterate Extensible Roi"/>
    <x v="0"/>
    <s v="Hill-Kelly"/>
    <n v="180"/>
  </r>
  <r>
    <s v="ORD1282"/>
    <x v="262"/>
    <x v="1"/>
    <s v="PROD165"/>
    <x v="282"/>
    <n v="132.04"/>
    <n v="6"/>
    <x v="2"/>
    <s v="Benchmark Cross-Platform Markets"/>
    <x v="2"/>
    <s v="Murphy, Mathews and Wilson"/>
    <n v="78.88"/>
  </r>
  <r>
    <s v="ORD1283"/>
    <x v="263"/>
    <x v="1"/>
    <s v="PROD152"/>
    <x v="283"/>
    <n v="288.82"/>
    <n v="19"/>
    <x v="1"/>
    <s v="Reinvent Frictionless Roi"/>
    <x v="2"/>
    <s v="Bridges, Castillo and Rodriguez"/>
    <n v="253.89"/>
  </r>
  <r>
    <s v="ORD1284"/>
    <x v="49"/>
    <x v="3"/>
    <s v="PROD135"/>
    <x v="284"/>
    <n v="51.16"/>
    <n v="20"/>
    <x v="1"/>
    <s v="Optimize 24/365 E-Services"/>
    <x v="0"/>
    <s v="Chase Ltd"/>
    <n v="100.35"/>
  </r>
  <r>
    <s v="ORD1285"/>
    <x v="264"/>
    <x v="3"/>
    <s v="PROD140"/>
    <x v="285"/>
    <n v="501.14"/>
    <n v="16"/>
    <x v="2"/>
    <s v="Extend Bricks-And-Clicks Architectures"/>
    <x v="2"/>
    <s v="Fuller PLC"/>
    <n v="202.99"/>
  </r>
  <r>
    <s v="ORD1286"/>
    <x v="265"/>
    <x v="0"/>
    <s v="PROD152"/>
    <x v="286"/>
    <n v="364.91"/>
    <n v="2"/>
    <x v="2"/>
    <s v="Reinvent Frictionless Roi"/>
    <x v="2"/>
    <s v="Bridges, Castillo and Rodriguez"/>
    <n v="253.89"/>
  </r>
  <r>
    <s v="ORD1287"/>
    <x v="266"/>
    <x v="2"/>
    <s v="PROD134"/>
    <x v="287"/>
    <n v="988.67"/>
    <n v="4"/>
    <x v="1"/>
    <s v="Utilize Ubiquitous Synergies"/>
    <x v="1"/>
    <s v="Kramer, Huang and Shaw"/>
    <n v="295.89999999999998"/>
  </r>
  <r>
    <s v="ORD1288"/>
    <x v="267"/>
    <x v="2"/>
    <s v="PROD134"/>
    <x v="288"/>
    <n v="849.8"/>
    <n v="19"/>
    <x v="2"/>
    <s v="Utilize Ubiquitous Synergies"/>
    <x v="1"/>
    <s v="Kramer, Huang and Shaw"/>
    <n v="295.89999999999998"/>
  </r>
  <r>
    <s v="ORD1289"/>
    <x v="268"/>
    <x v="0"/>
    <s v="PROD168"/>
    <x v="289"/>
    <n v="44.63"/>
    <n v="8"/>
    <x v="0"/>
    <s v="Facilitate End-To-End Experiences"/>
    <x v="0"/>
    <s v="Pierce-Goodwin"/>
    <n v="260.52999999999997"/>
  </r>
  <r>
    <s v="ORD1290"/>
    <x v="269"/>
    <x v="2"/>
    <s v="PROD105"/>
    <x v="290"/>
    <n v="897.58"/>
    <n v="1"/>
    <x v="2"/>
    <s v="Transform Holistic Functionalities"/>
    <x v="0"/>
    <s v="Ruiz Ltd"/>
    <n v="179.27"/>
  </r>
  <r>
    <s v="ORD1291"/>
    <x v="270"/>
    <x v="0"/>
    <s v="PROD141"/>
    <x v="291"/>
    <n v="539.82000000000005"/>
    <n v="4"/>
    <x v="2"/>
    <s v="Re-Contextualize Integrated Info-Mediaries"/>
    <x v="1"/>
    <s v="Jones-Schroeder"/>
    <n v="26.02"/>
  </r>
  <r>
    <s v="ORD1292"/>
    <x v="271"/>
    <x v="1"/>
    <s v="PROD190"/>
    <x v="292"/>
    <n v="561.09"/>
    <n v="3"/>
    <x v="1"/>
    <s v="Repurpose End-To-End Networks"/>
    <x v="0"/>
    <s v="Torres-Rush"/>
    <n v="97.02"/>
  </r>
  <r>
    <s v="ORD1293"/>
    <x v="67"/>
    <x v="3"/>
    <s v="PROD189"/>
    <x v="293"/>
    <n v="674.62"/>
    <n v="6"/>
    <x v="0"/>
    <s v="E-Enable Next-Generation Experiences"/>
    <x v="2"/>
    <s v="Sanchez-Quinn"/>
    <n v="266.93"/>
  </r>
  <r>
    <s v="ORD1294"/>
    <x v="272"/>
    <x v="3"/>
    <s v="PROD152"/>
    <x v="294"/>
    <n v="153.33000000000001"/>
    <n v="12"/>
    <x v="1"/>
    <s v="Reinvent Frictionless Roi"/>
    <x v="2"/>
    <s v="Bridges, Castillo and Rodriguez"/>
    <n v="253.89"/>
  </r>
  <r>
    <s v="ORD1295"/>
    <x v="273"/>
    <x v="2"/>
    <s v="PROD140"/>
    <x v="295"/>
    <n v="484.7"/>
    <n v="16"/>
    <x v="2"/>
    <s v="Extend Bricks-And-Clicks Architectures"/>
    <x v="2"/>
    <s v="Fuller PLC"/>
    <n v="202.99"/>
  </r>
  <r>
    <s v="ORD1296"/>
    <x v="51"/>
    <x v="3"/>
    <s v="PROD100"/>
    <x v="296"/>
    <n v="865.32"/>
    <n v="20"/>
    <x v="1"/>
    <s v="Synthesize Scalable Portals"/>
    <x v="2"/>
    <s v="Singh, Villa and Flynn"/>
    <n v="298.57"/>
  </r>
  <r>
    <s v="ORD1297"/>
    <x v="274"/>
    <x v="2"/>
    <s v="PROD197"/>
    <x v="297"/>
    <n v="488.48"/>
    <n v="1"/>
    <x v="0"/>
    <s v="Leverage Rich Portals"/>
    <x v="0"/>
    <s v="Wilson PLC"/>
    <n v="46.35"/>
  </r>
  <r>
    <s v="ORD1298"/>
    <x v="275"/>
    <x v="0"/>
    <s v="PROD107"/>
    <x v="298"/>
    <n v="911.24"/>
    <n v="18"/>
    <x v="2"/>
    <s v="Utilize Back-End Models"/>
    <x v="2"/>
    <s v="Lewis-Holden"/>
    <n v="241.53"/>
  </r>
  <r>
    <s v="ORD1299"/>
    <x v="276"/>
    <x v="1"/>
    <s v="PROD163"/>
    <x v="299"/>
    <n v="107.62"/>
    <n v="16"/>
    <x v="0"/>
    <s v="Grow Back-End Supply-Chains"/>
    <x v="1"/>
    <s v="Green LLC"/>
    <n v="140.08000000000001"/>
  </r>
  <r>
    <s v="ORD1300"/>
    <x v="277"/>
    <x v="0"/>
    <s v="PROD118"/>
    <x v="300"/>
    <n v="921.26"/>
    <n v="14"/>
    <x v="0"/>
    <s v="Engineer Real-Time Architectures"/>
    <x v="2"/>
    <s v="James and Sons"/>
    <n v="127.23"/>
  </r>
  <r>
    <s v="ORD1301"/>
    <x v="278"/>
    <x v="1"/>
    <s v="PROD199"/>
    <x v="301"/>
    <n v="632.41"/>
    <n v="8"/>
    <x v="2"/>
    <s v="Scale Cross-Platform Web Services"/>
    <x v="2"/>
    <s v="Morrow, Brock and Lewis"/>
    <n v="115.21"/>
  </r>
  <r>
    <s v="ORD1302"/>
    <x v="279"/>
    <x v="0"/>
    <s v="PROD155"/>
    <x v="302"/>
    <n v="149.13999999999999"/>
    <n v="15"/>
    <x v="1"/>
    <s v="Incentivize User-Centric Mindshare"/>
    <x v="1"/>
    <s v="Becker, Wright and Wong"/>
    <n v="38.51"/>
  </r>
  <r>
    <s v="ORD1303"/>
    <x v="280"/>
    <x v="3"/>
    <s v="PROD128"/>
    <x v="303"/>
    <n v="942.18"/>
    <n v="13"/>
    <x v="2"/>
    <s v="Brand Distributed Info-Mediaries"/>
    <x v="2"/>
    <s v="Garcia Ltd"/>
    <n v="114.48"/>
  </r>
  <r>
    <s v="ORD1304"/>
    <x v="281"/>
    <x v="1"/>
    <s v="PROD117"/>
    <x v="304"/>
    <n v="382.61"/>
    <n v="1"/>
    <x v="1"/>
    <s v="Revolutionize Efficient Niches"/>
    <x v="1"/>
    <s v="Lopez-Torres"/>
    <n v="23.02"/>
  </r>
  <r>
    <s v="ORD1305"/>
    <x v="282"/>
    <x v="2"/>
    <s v="PROD100"/>
    <x v="305"/>
    <n v="719.06"/>
    <n v="4"/>
    <x v="2"/>
    <s v="Synthesize Scalable Portals"/>
    <x v="2"/>
    <s v="Singh, Villa and Flynn"/>
    <n v="298.57"/>
  </r>
  <r>
    <s v="ORD1306"/>
    <x v="283"/>
    <x v="0"/>
    <s v="PROD144"/>
    <x v="306"/>
    <n v="605.89"/>
    <n v="6"/>
    <x v="1"/>
    <s v="Expedite Synergistic Web-Readiness"/>
    <x v="1"/>
    <s v="Dunlap, Carpenter and Monroe"/>
    <n v="289.66000000000003"/>
  </r>
  <r>
    <s v="ORD1307"/>
    <x v="284"/>
    <x v="1"/>
    <s v="PROD136"/>
    <x v="307"/>
    <n v="728.02"/>
    <n v="5"/>
    <x v="2"/>
    <s v="Evolve Innovative Web Services"/>
    <x v="2"/>
    <s v="Bush Inc"/>
    <n v="87.75"/>
  </r>
  <r>
    <s v="ORD1308"/>
    <x v="285"/>
    <x v="0"/>
    <s v="PROD169"/>
    <x v="308"/>
    <n v="201.2"/>
    <n v="6"/>
    <x v="2"/>
    <s v="Unleash End-To-End Web Services"/>
    <x v="0"/>
    <s v="Jones Ltd"/>
    <n v="188.02"/>
  </r>
  <r>
    <s v="ORD1309"/>
    <x v="286"/>
    <x v="0"/>
    <s v="PROD130"/>
    <x v="309"/>
    <n v="958.63"/>
    <n v="9"/>
    <x v="2"/>
    <s v="Synthesize Wireless Initiatives"/>
    <x v="1"/>
    <s v="Mosley Ltd"/>
    <n v="162.69999999999999"/>
  </r>
  <r>
    <s v="ORD1310"/>
    <x v="287"/>
    <x v="3"/>
    <s v="PROD186"/>
    <x v="310"/>
    <n v="893.71"/>
    <n v="8"/>
    <x v="0"/>
    <s v="Reinvent Mission-Critical Markets"/>
    <x v="2"/>
    <s v="Gilbert-Sanders"/>
    <n v="154.21"/>
  </r>
  <r>
    <s v="ORD1311"/>
    <x v="107"/>
    <x v="0"/>
    <s v="PROD105"/>
    <x v="311"/>
    <n v="32.93"/>
    <n v="16"/>
    <x v="1"/>
    <s v="Transform Holistic Functionalities"/>
    <x v="0"/>
    <s v="Ruiz Ltd"/>
    <n v="179.27"/>
  </r>
  <r>
    <s v="ORD1312"/>
    <x v="288"/>
    <x v="1"/>
    <s v="PROD119"/>
    <x v="312"/>
    <n v="296.86"/>
    <n v="12"/>
    <x v="1"/>
    <s v="Generate Front-End Functionalities"/>
    <x v="0"/>
    <s v="Morales-Brown"/>
    <n v="299.77"/>
  </r>
  <r>
    <s v="ORD1313"/>
    <x v="289"/>
    <x v="3"/>
    <s v="PROD177"/>
    <x v="313"/>
    <n v="870.81"/>
    <n v="14"/>
    <x v="0"/>
    <s v="Deploy Granular Channels"/>
    <x v="2"/>
    <s v="Barnes Ltd"/>
    <n v="288.99"/>
  </r>
  <r>
    <s v="ORD1314"/>
    <x v="290"/>
    <x v="1"/>
    <s v="PROD135"/>
    <x v="314"/>
    <n v="444.52"/>
    <n v="5"/>
    <x v="2"/>
    <s v="Optimize 24/365 E-Services"/>
    <x v="0"/>
    <s v="Chase Ltd"/>
    <n v="100.35"/>
  </r>
  <r>
    <s v="ORD1315"/>
    <x v="291"/>
    <x v="0"/>
    <s v="PROD158"/>
    <x v="315"/>
    <n v="552.70000000000005"/>
    <n v="12"/>
    <x v="0"/>
    <s v="Brand Web-Enabled Solutions"/>
    <x v="1"/>
    <s v="Russell Group"/>
    <n v="51.67"/>
  </r>
  <r>
    <s v="ORD1316"/>
    <x v="292"/>
    <x v="1"/>
    <s v="PROD134"/>
    <x v="316"/>
    <n v="443.58"/>
    <n v="18"/>
    <x v="1"/>
    <s v="Utilize Ubiquitous Synergies"/>
    <x v="1"/>
    <s v="Kramer, Huang and Shaw"/>
    <n v="295.89999999999998"/>
  </r>
  <r>
    <s v="ORD1317"/>
    <x v="293"/>
    <x v="1"/>
    <s v="PROD100"/>
    <x v="317"/>
    <n v="817.31"/>
    <n v="15"/>
    <x v="0"/>
    <s v="Synthesize Scalable Portals"/>
    <x v="2"/>
    <s v="Singh, Villa and Flynn"/>
    <n v="298.57"/>
  </r>
  <r>
    <s v="ORD1318"/>
    <x v="294"/>
    <x v="0"/>
    <s v="PROD171"/>
    <x v="318"/>
    <n v="556.37"/>
    <n v="5"/>
    <x v="0"/>
    <s v="Scale 24/365 Networks"/>
    <x v="2"/>
    <s v="Kim-Hamilton"/>
    <n v="157.55000000000001"/>
  </r>
  <r>
    <s v="ORD1319"/>
    <x v="295"/>
    <x v="1"/>
    <s v="PROD183"/>
    <x v="319"/>
    <n v="594.34"/>
    <n v="15"/>
    <x v="2"/>
    <s v="Incentivize Front-End Mindshare"/>
    <x v="1"/>
    <s v="Phillips-Tran"/>
    <n v="196.86"/>
  </r>
  <r>
    <s v="ORD1320"/>
    <x v="296"/>
    <x v="1"/>
    <s v="PROD163"/>
    <x v="320"/>
    <n v="387.48"/>
    <n v="13"/>
    <x v="0"/>
    <s v="Grow Back-End Supply-Chains"/>
    <x v="1"/>
    <s v="Green LLC"/>
    <n v="140.08000000000001"/>
  </r>
  <r>
    <s v="ORD1321"/>
    <x v="297"/>
    <x v="2"/>
    <s v="PROD145"/>
    <x v="321"/>
    <n v="487.42"/>
    <n v="16"/>
    <x v="0"/>
    <s v="Innovate Strategic Systems"/>
    <x v="0"/>
    <s v="Mcfarland, Parker and Armstrong"/>
    <n v="70.239999999999995"/>
  </r>
  <r>
    <s v="ORD1322"/>
    <x v="298"/>
    <x v="1"/>
    <s v="PROD174"/>
    <x v="322"/>
    <n v="574.79999999999995"/>
    <n v="8"/>
    <x v="0"/>
    <s v="Disintermediate Scalable Bandwidth"/>
    <x v="1"/>
    <s v="Levy PLC"/>
    <n v="19.86"/>
  </r>
  <r>
    <s v="ORD1323"/>
    <x v="299"/>
    <x v="1"/>
    <s v="PROD165"/>
    <x v="323"/>
    <n v="329.36"/>
    <n v="18"/>
    <x v="0"/>
    <s v="Benchmark Cross-Platform Markets"/>
    <x v="2"/>
    <s v="Murphy, Mathews and Wilson"/>
    <n v="78.88"/>
  </r>
  <r>
    <s v="ORD1324"/>
    <x v="300"/>
    <x v="2"/>
    <s v="PROD122"/>
    <x v="324"/>
    <n v="16.78"/>
    <n v="14"/>
    <x v="0"/>
    <s v="Empower Dot-Com Deliverables"/>
    <x v="1"/>
    <s v="Davis LLC"/>
    <n v="250.66"/>
  </r>
  <r>
    <s v="ORD1325"/>
    <x v="301"/>
    <x v="0"/>
    <s v="PROD112"/>
    <x v="325"/>
    <n v="294.41000000000003"/>
    <n v="17"/>
    <x v="0"/>
    <s v="Seize Clicks-And-Mortar Platforms"/>
    <x v="0"/>
    <s v="Owens, Campos and Wood"/>
    <n v="271.16000000000003"/>
  </r>
  <r>
    <s v="ORD1326"/>
    <x v="302"/>
    <x v="0"/>
    <s v="PROD194"/>
    <x v="326"/>
    <n v="705.05"/>
    <n v="13"/>
    <x v="0"/>
    <s v="Leverage Scalable Interfaces"/>
    <x v="0"/>
    <s v="Kaufman-Jones"/>
    <n v="73.33"/>
  </r>
  <r>
    <s v="ORD1327"/>
    <x v="303"/>
    <x v="0"/>
    <s v="PROD112"/>
    <x v="327"/>
    <n v="680.84"/>
    <n v="3"/>
    <x v="2"/>
    <s v="Seize Clicks-And-Mortar Platforms"/>
    <x v="0"/>
    <s v="Owens, Campos and Wood"/>
    <n v="271.16000000000003"/>
  </r>
  <r>
    <s v="ORD1328"/>
    <x v="256"/>
    <x v="0"/>
    <s v="PROD139"/>
    <x v="328"/>
    <n v="538.29999999999995"/>
    <n v="9"/>
    <x v="1"/>
    <s v="Re-Contextualize Viral Mindshare"/>
    <x v="1"/>
    <s v="Carter-Lane"/>
    <n v="142.25"/>
  </r>
  <r>
    <s v="ORD1329"/>
    <x v="224"/>
    <x v="1"/>
    <s v="PROD184"/>
    <x v="329"/>
    <n v="56.45"/>
    <n v="10"/>
    <x v="0"/>
    <s v="Embrace 24/365 Functionalities"/>
    <x v="0"/>
    <s v="Smith LLC"/>
    <n v="204.04"/>
  </r>
  <r>
    <s v="ORD1330"/>
    <x v="304"/>
    <x v="1"/>
    <s v="PROD133"/>
    <x v="330"/>
    <n v="439.01"/>
    <n v="17"/>
    <x v="1"/>
    <s v="Re-Intermediate Seamless Applications"/>
    <x v="0"/>
    <s v="Welch-Reed"/>
    <n v="45.82"/>
  </r>
  <r>
    <s v="ORD1331"/>
    <x v="305"/>
    <x v="3"/>
    <s v="PROD117"/>
    <x v="331"/>
    <n v="904.5"/>
    <n v="20"/>
    <x v="0"/>
    <s v="Revolutionize Efficient Niches"/>
    <x v="1"/>
    <s v="Lopez-Torres"/>
    <n v="23.02"/>
  </r>
  <r>
    <s v="ORD1332"/>
    <x v="42"/>
    <x v="2"/>
    <s v="PROD100"/>
    <x v="332"/>
    <n v="60.12"/>
    <n v="1"/>
    <x v="1"/>
    <s v="Synthesize Scalable Portals"/>
    <x v="2"/>
    <s v="Singh, Villa and Flynn"/>
    <n v="298.57"/>
  </r>
  <r>
    <s v="ORD1333"/>
    <x v="306"/>
    <x v="1"/>
    <s v="PROD173"/>
    <x v="333"/>
    <n v="513.13"/>
    <n v="5"/>
    <x v="2"/>
    <s v="Whiteboard Sticky Content"/>
    <x v="2"/>
    <s v="Wolfe Group"/>
    <n v="82.16"/>
  </r>
  <r>
    <s v="ORD1334"/>
    <x v="297"/>
    <x v="0"/>
    <s v="PROD138"/>
    <x v="334"/>
    <n v="382.69"/>
    <n v="1"/>
    <x v="1"/>
    <s v="Deliver Viral Eyeballs"/>
    <x v="0"/>
    <s v="Estes, Chan and Thomas"/>
    <n v="16.89"/>
  </r>
  <r>
    <s v="ORD1335"/>
    <x v="307"/>
    <x v="3"/>
    <s v="PROD163"/>
    <x v="335"/>
    <n v="439.41"/>
    <n v="4"/>
    <x v="0"/>
    <s v="Grow Back-End Supply-Chains"/>
    <x v="1"/>
    <s v="Green LLC"/>
    <n v="140.08000000000001"/>
  </r>
  <r>
    <s v="ORD1336"/>
    <x v="308"/>
    <x v="3"/>
    <s v="PROD123"/>
    <x v="336"/>
    <n v="268.14"/>
    <n v="15"/>
    <x v="0"/>
    <s v="Redefine Real-Time Convergence"/>
    <x v="1"/>
    <s v="Hayes, Peters and Douglas"/>
    <n v="78.260000000000005"/>
  </r>
  <r>
    <s v="ORD1337"/>
    <x v="279"/>
    <x v="3"/>
    <s v="PROD190"/>
    <x v="337"/>
    <n v="642.91"/>
    <n v="9"/>
    <x v="1"/>
    <s v="Repurpose End-To-End Networks"/>
    <x v="0"/>
    <s v="Torres-Rush"/>
    <n v="97.02"/>
  </r>
  <r>
    <s v="ORD1338"/>
    <x v="309"/>
    <x v="0"/>
    <s v="PROD101"/>
    <x v="338"/>
    <n v="824.99"/>
    <n v="1"/>
    <x v="1"/>
    <s v="Harness Proactive Eyeballs"/>
    <x v="1"/>
    <s v="Moran and Sons"/>
    <n v="58.01"/>
  </r>
  <r>
    <s v="ORD1339"/>
    <x v="73"/>
    <x v="2"/>
    <s v="PROD101"/>
    <x v="339"/>
    <n v="697.79"/>
    <n v="18"/>
    <x v="0"/>
    <s v="Harness Proactive Eyeballs"/>
    <x v="1"/>
    <s v="Moran and Sons"/>
    <n v="58.01"/>
  </r>
  <r>
    <s v="ORD1340"/>
    <x v="310"/>
    <x v="0"/>
    <s v="PROD175"/>
    <x v="340"/>
    <n v="882.47"/>
    <n v="12"/>
    <x v="2"/>
    <s v="Empower Bleeding-Edge Action-Items"/>
    <x v="2"/>
    <s v="Gray, Hayes and Banks"/>
    <n v="204.26"/>
  </r>
  <r>
    <s v="ORD1341"/>
    <x v="311"/>
    <x v="1"/>
    <s v="PROD196"/>
    <x v="341"/>
    <n v="917.17"/>
    <n v="11"/>
    <x v="1"/>
    <s v="Strategize E-Business Content"/>
    <x v="1"/>
    <s v="Patterson LLC"/>
    <n v="294.02"/>
  </r>
  <r>
    <s v="ORD1342"/>
    <x v="7"/>
    <x v="0"/>
    <s v="PROD197"/>
    <x v="342"/>
    <n v="238.24"/>
    <n v="16"/>
    <x v="2"/>
    <s v="Leverage Rich Portals"/>
    <x v="0"/>
    <s v="Wilson PLC"/>
    <n v="46.35"/>
  </r>
  <r>
    <s v="ORD1343"/>
    <x v="312"/>
    <x v="2"/>
    <s v="PROD179"/>
    <x v="343"/>
    <n v="983.29"/>
    <n v="6"/>
    <x v="2"/>
    <s v="Target Viral Methodologies"/>
    <x v="1"/>
    <s v="Alvarez, Myers and Walter"/>
    <n v="149.26"/>
  </r>
  <r>
    <s v="ORD1344"/>
    <x v="313"/>
    <x v="3"/>
    <s v="PROD132"/>
    <x v="344"/>
    <n v="986.58"/>
    <n v="14"/>
    <x v="1"/>
    <s v="Synergize End-To-End Roi"/>
    <x v="1"/>
    <s v="Evans-Smith"/>
    <n v="159.85"/>
  </r>
  <r>
    <s v="ORD1345"/>
    <x v="93"/>
    <x v="3"/>
    <s v="PROD131"/>
    <x v="345"/>
    <n v="614.02"/>
    <n v="10"/>
    <x v="0"/>
    <s v="Scale Bleeding-Edge Schemas"/>
    <x v="1"/>
    <s v="Frazier-Schneider"/>
    <n v="54.8"/>
  </r>
  <r>
    <s v="ORD1346"/>
    <x v="314"/>
    <x v="0"/>
    <s v="PROD122"/>
    <x v="346"/>
    <n v="432.95"/>
    <n v="20"/>
    <x v="2"/>
    <s v="Empower Dot-Com Deliverables"/>
    <x v="1"/>
    <s v="Davis LLC"/>
    <n v="250.66"/>
  </r>
  <r>
    <s v="ORD1347"/>
    <x v="315"/>
    <x v="0"/>
    <s v="PROD148"/>
    <x v="347"/>
    <n v="230.33"/>
    <n v="10"/>
    <x v="2"/>
    <s v="Empower Seamless Roi"/>
    <x v="0"/>
    <s v="Proctor Group"/>
    <n v="266.64999999999998"/>
  </r>
  <r>
    <s v="ORD1348"/>
    <x v="129"/>
    <x v="1"/>
    <s v="PROD104"/>
    <x v="348"/>
    <n v="656.87"/>
    <n v="14"/>
    <x v="0"/>
    <s v="Implement Clicks-And-Mortar Partnerships"/>
    <x v="1"/>
    <s v="Smith Inc"/>
    <n v="195.53"/>
  </r>
  <r>
    <s v="ORD1349"/>
    <x v="316"/>
    <x v="1"/>
    <s v="PROD119"/>
    <x v="349"/>
    <n v="665.15"/>
    <n v="10"/>
    <x v="0"/>
    <s v="Generate Front-End Functionalities"/>
    <x v="0"/>
    <s v="Morales-Brown"/>
    <n v="299.77"/>
  </r>
  <r>
    <s v="ORD1350"/>
    <x v="317"/>
    <x v="3"/>
    <s v="PROD183"/>
    <x v="350"/>
    <n v="261.68"/>
    <n v="17"/>
    <x v="0"/>
    <s v="Incentivize Front-End Mindshare"/>
    <x v="1"/>
    <s v="Phillips-Tran"/>
    <n v="196.86"/>
  </r>
  <r>
    <s v="ORD1351"/>
    <x v="318"/>
    <x v="3"/>
    <s v="PROD198"/>
    <x v="351"/>
    <n v="408.24"/>
    <n v="5"/>
    <x v="0"/>
    <s v="Visualize Dynamic E-Commerce"/>
    <x v="2"/>
    <s v="Jones LLC"/>
    <n v="92.61"/>
  </r>
  <r>
    <s v="ORD1352"/>
    <x v="319"/>
    <x v="1"/>
    <s v="PROD168"/>
    <x v="352"/>
    <n v="819.63"/>
    <n v="4"/>
    <x v="1"/>
    <s v="Facilitate End-To-End Experiences"/>
    <x v="0"/>
    <s v="Pierce-Goodwin"/>
    <n v="260.52999999999997"/>
  </r>
  <r>
    <s v="ORD1353"/>
    <x v="320"/>
    <x v="1"/>
    <s v="PROD176"/>
    <x v="353"/>
    <n v="829.93"/>
    <n v="13"/>
    <x v="1"/>
    <s v="Facilitate Integrated E-Business"/>
    <x v="0"/>
    <s v="Chang-Vargas"/>
    <n v="130.33000000000001"/>
  </r>
  <r>
    <s v="ORD1354"/>
    <x v="321"/>
    <x v="1"/>
    <s v="PROD141"/>
    <x v="354"/>
    <n v="411.81"/>
    <n v="13"/>
    <x v="1"/>
    <s v="Re-Contextualize Integrated Info-Mediaries"/>
    <x v="1"/>
    <s v="Jones-Schroeder"/>
    <n v="26.02"/>
  </r>
  <r>
    <s v="ORD1355"/>
    <x v="322"/>
    <x v="1"/>
    <s v="PROD187"/>
    <x v="355"/>
    <n v="118.37"/>
    <n v="3"/>
    <x v="2"/>
    <s v="Whiteboard Compelling Experiences"/>
    <x v="2"/>
    <s v="Carrillo, Carr and Ball"/>
    <n v="206.54"/>
  </r>
  <r>
    <s v="ORD1356"/>
    <x v="323"/>
    <x v="0"/>
    <s v="PROD187"/>
    <x v="356"/>
    <n v="149.24"/>
    <n v="4"/>
    <x v="1"/>
    <s v="Whiteboard Compelling Experiences"/>
    <x v="2"/>
    <s v="Carrillo, Carr and Ball"/>
    <n v="206.54"/>
  </r>
  <r>
    <s v="ORD1357"/>
    <x v="324"/>
    <x v="1"/>
    <s v="PROD183"/>
    <x v="357"/>
    <n v="989.65"/>
    <n v="16"/>
    <x v="2"/>
    <s v="Incentivize Front-End Mindshare"/>
    <x v="1"/>
    <s v="Phillips-Tran"/>
    <n v="196.86"/>
  </r>
  <r>
    <s v="ORD1358"/>
    <x v="310"/>
    <x v="3"/>
    <s v="PROD195"/>
    <x v="358"/>
    <n v="548.99"/>
    <n v="19"/>
    <x v="1"/>
    <s v="Reinvent Out-Of-The-Box Models"/>
    <x v="0"/>
    <s v="Wagner-Curtis"/>
    <n v="172.34"/>
  </r>
  <r>
    <s v="ORD1359"/>
    <x v="325"/>
    <x v="1"/>
    <s v="PROD136"/>
    <x v="359"/>
    <n v="589.04"/>
    <n v="14"/>
    <x v="0"/>
    <s v="Evolve Innovative Web Services"/>
    <x v="2"/>
    <s v="Bush Inc"/>
    <n v="87.75"/>
  </r>
  <r>
    <s v="ORD1360"/>
    <x v="326"/>
    <x v="2"/>
    <s v="PROD117"/>
    <x v="360"/>
    <n v="452.65"/>
    <n v="10"/>
    <x v="0"/>
    <s v="Revolutionize Efficient Niches"/>
    <x v="1"/>
    <s v="Lopez-Torres"/>
    <n v="23.02"/>
  </r>
  <r>
    <s v="ORD1361"/>
    <x v="230"/>
    <x v="1"/>
    <s v="PROD106"/>
    <x v="361"/>
    <n v="294.95999999999998"/>
    <n v="9"/>
    <x v="0"/>
    <s v="Synergize End-To-End Supply-Chains"/>
    <x v="0"/>
    <s v="Higgins-Espinoza"/>
    <n v="279.8"/>
  </r>
  <r>
    <s v="ORD1362"/>
    <x v="327"/>
    <x v="2"/>
    <s v="PROD130"/>
    <x v="362"/>
    <n v="401.19"/>
    <n v="2"/>
    <x v="1"/>
    <s v="Synthesize Wireless Initiatives"/>
    <x v="1"/>
    <s v="Mosley Ltd"/>
    <n v="162.69999999999999"/>
  </r>
  <r>
    <s v="ORD1363"/>
    <x v="328"/>
    <x v="0"/>
    <s v="PROD142"/>
    <x v="363"/>
    <n v="390.11"/>
    <n v="8"/>
    <x v="2"/>
    <s v="Target Bricks-And-Clicks Channels"/>
    <x v="1"/>
    <s v="Dunn, Christensen and Meyer"/>
    <n v="126.86"/>
  </r>
  <r>
    <s v="ORD1364"/>
    <x v="329"/>
    <x v="3"/>
    <s v="PROD170"/>
    <x v="364"/>
    <n v="751.93"/>
    <n v="16"/>
    <x v="2"/>
    <s v="Deliver Sticky Networks"/>
    <x v="2"/>
    <s v="Massey LLC"/>
    <n v="272.33"/>
  </r>
  <r>
    <s v="ORD1365"/>
    <x v="228"/>
    <x v="3"/>
    <s v="PROD106"/>
    <x v="365"/>
    <n v="712.04"/>
    <n v="19"/>
    <x v="2"/>
    <s v="Synergize End-To-End Supply-Chains"/>
    <x v="0"/>
    <s v="Higgins-Espinoza"/>
    <n v="279.8"/>
  </r>
  <r>
    <s v="ORD1366"/>
    <x v="330"/>
    <x v="0"/>
    <s v="PROD182"/>
    <x v="366"/>
    <n v="432.11"/>
    <n v="14"/>
    <x v="2"/>
    <s v="Strategize Best-Of-Breed Web-Readiness"/>
    <x v="0"/>
    <s v="Morris, King and Ayers"/>
    <n v="220.16"/>
  </r>
  <r>
    <s v="ORD1367"/>
    <x v="331"/>
    <x v="1"/>
    <s v="PROD188"/>
    <x v="367"/>
    <n v="898.35"/>
    <n v="6"/>
    <x v="0"/>
    <s v="Transition Mission-Critical Interfaces"/>
    <x v="0"/>
    <s v="Weaver Ltd"/>
    <n v="34.64"/>
  </r>
  <r>
    <s v="ORD1368"/>
    <x v="332"/>
    <x v="2"/>
    <s v="PROD116"/>
    <x v="368"/>
    <n v="17.420000000000002"/>
    <n v="7"/>
    <x v="0"/>
    <s v="Synergize Cross-Platform Vortals"/>
    <x v="2"/>
    <s v="Edwards Group"/>
    <n v="87.18"/>
  </r>
  <r>
    <s v="ORD1369"/>
    <x v="333"/>
    <x v="0"/>
    <s v="PROD126"/>
    <x v="369"/>
    <n v="712.02"/>
    <n v="11"/>
    <x v="2"/>
    <s v="Streamline Innovative Architectures"/>
    <x v="2"/>
    <s v="Price, Valentine and Lutz"/>
    <n v="291.14999999999998"/>
  </r>
  <r>
    <s v="ORD1370"/>
    <x v="167"/>
    <x v="2"/>
    <s v="PROD149"/>
    <x v="370"/>
    <n v="28.26"/>
    <n v="18"/>
    <x v="0"/>
    <s v="Envisioneer B2C Web-Readiness"/>
    <x v="1"/>
    <s v="Kemp Group"/>
    <n v="97.23"/>
  </r>
  <r>
    <s v="ORD1371"/>
    <x v="334"/>
    <x v="1"/>
    <s v="PROD189"/>
    <x v="371"/>
    <n v="801.13"/>
    <n v="15"/>
    <x v="2"/>
    <s v="E-Enable Next-Generation Experiences"/>
    <x v="2"/>
    <s v="Sanchez-Quinn"/>
    <n v="266.93"/>
  </r>
  <r>
    <s v="ORD1372"/>
    <x v="335"/>
    <x v="0"/>
    <s v="PROD112"/>
    <x v="372"/>
    <n v="966"/>
    <n v="8"/>
    <x v="0"/>
    <s v="Seize Clicks-And-Mortar Platforms"/>
    <x v="0"/>
    <s v="Owens, Campos and Wood"/>
    <n v="271.16000000000003"/>
  </r>
  <r>
    <s v="ORD1373"/>
    <x v="44"/>
    <x v="1"/>
    <s v="PROD134"/>
    <x v="373"/>
    <n v="142.07"/>
    <n v="18"/>
    <x v="1"/>
    <s v="Utilize Ubiquitous Synergies"/>
    <x v="1"/>
    <s v="Kramer, Huang and Shaw"/>
    <n v="295.89999999999998"/>
  </r>
  <r>
    <s v="ORD1374"/>
    <x v="336"/>
    <x v="1"/>
    <s v="PROD136"/>
    <x v="374"/>
    <n v="763.97"/>
    <n v="9"/>
    <x v="1"/>
    <s v="Evolve Innovative Web Services"/>
    <x v="2"/>
    <s v="Bush Inc"/>
    <n v="87.75"/>
  </r>
  <r>
    <s v="ORD1375"/>
    <x v="337"/>
    <x v="1"/>
    <s v="PROD102"/>
    <x v="375"/>
    <n v="914.29"/>
    <n v="9"/>
    <x v="1"/>
    <s v="Optimize Transparent E-Markets"/>
    <x v="0"/>
    <s v="Lee, Tyler and Blevins"/>
    <n v="111.22"/>
  </r>
  <r>
    <s v="ORD1376"/>
    <x v="127"/>
    <x v="1"/>
    <s v="PROD129"/>
    <x v="376"/>
    <n v="980.97"/>
    <n v="19"/>
    <x v="1"/>
    <s v="Scale Vertical Networks"/>
    <x v="2"/>
    <s v="Lam, Wood and Jacobs"/>
    <n v="133.24"/>
  </r>
  <r>
    <s v="ORD1377"/>
    <x v="338"/>
    <x v="2"/>
    <s v="PROD143"/>
    <x v="377"/>
    <n v="641.14"/>
    <n v="17"/>
    <x v="1"/>
    <s v="E-Enable Synergistic Vortals"/>
    <x v="1"/>
    <s v="Guzman Group"/>
    <n v="278.43"/>
  </r>
  <r>
    <s v="ORD1378"/>
    <x v="339"/>
    <x v="0"/>
    <s v="PROD129"/>
    <x v="378"/>
    <n v="73.650000000000006"/>
    <n v="3"/>
    <x v="0"/>
    <s v="Scale Vertical Networks"/>
    <x v="2"/>
    <s v="Lam, Wood and Jacobs"/>
    <n v="133.24"/>
  </r>
  <r>
    <s v="ORD1379"/>
    <x v="340"/>
    <x v="1"/>
    <s v="PROD113"/>
    <x v="379"/>
    <n v="101.25"/>
    <n v="17"/>
    <x v="2"/>
    <s v="Envisioneer B2B Users"/>
    <x v="0"/>
    <s v="Rogers Group"/>
    <n v="239.16"/>
  </r>
  <r>
    <s v="ORD1380"/>
    <x v="186"/>
    <x v="2"/>
    <s v="PROD183"/>
    <x v="380"/>
    <n v="843.98"/>
    <n v="11"/>
    <x v="2"/>
    <s v="Incentivize Front-End Mindshare"/>
    <x v="1"/>
    <s v="Phillips-Tran"/>
    <n v="196.86"/>
  </r>
  <r>
    <s v="ORD1381"/>
    <x v="341"/>
    <x v="3"/>
    <s v="PROD163"/>
    <x v="381"/>
    <n v="923.9"/>
    <n v="10"/>
    <x v="0"/>
    <s v="Grow Back-End Supply-Chains"/>
    <x v="1"/>
    <s v="Green LLC"/>
    <n v="140.08000000000001"/>
  </r>
  <r>
    <s v="ORD1382"/>
    <x v="342"/>
    <x v="2"/>
    <s v="PROD196"/>
    <x v="382"/>
    <n v="257.07"/>
    <n v="18"/>
    <x v="1"/>
    <s v="Strategize E-Business Content"/>
    <x v="1"/>
    <s v="Patterson LLC"/>
    <n v="294.02"/>
  </r>
  <r>
    <s v="ORD1383"/>
    <x v="343"/>
    <x v="0"/>
    <s v="PROD155"/>
    <x v="383"/>
    <n v="589.87"/>
    <n v="10"/>
    <x v="1"/>
    <s v="Incentivize User-Centric Mindshare"/>
    <x v="1"/>
    <s v="Becker, Wright and Wong"/>
    <n v="38.51"/>
  </r>
  <r>
    <s v="ORD1384"/>
    <x v="344"/>
    <x v="3"/>
    <s v="PROD132"/>
    <x v="384"/>
    <n v="72.7"/>
    <n v="6"/>
    <x v="2"/>
    <s v="Synergize End-To-End Roi"/>
    <x v="1"/>
    <s v="Evans-Smith"/>
    <n v="159.85"/>
  </r>
  <r>
    <s v="ORD1385"/>
    <x v="224"/>
    <x v="0"/>
    <s v="PROD107"/>
    <x v="385"/>
    <n v="928.07"/>
    <n v="17"/>
    <x v="2"/>
    <s v="Utilize Back-End Models"/>
    <x v="2"/>
    <s v="Lewis-Holden"/>
    <n v="241.53"/>
  </r>
  <r>
    <s v="ORD1386"/>
    <x v="345"/>
    <x v="1"/>
    <s v="PROD163"/>
    <x v="386"/>
    <n v="296.77999999999997"/>
    <n v="2"/>
    <x v="1"/>
    <s v="Grow Back-End Supply-Chains"/>
    <x v="1"/>
    <s v="Green LLC"/>
    <n v="140.08000000000001"/>
  </r>
  <r>
    <s v="ORD1387"/>
    <x v="346"/>
    <x v="0"/>
    <s v="PROD107"/>
    <x v="387"/>
    <n v="898.16"/>
    <n v="9"/>
    <x v="1"/>
    <s v="Utilize Back-End Models"/>
    <x v="2"/>
    <s v="Lewis-Holden"/>
    <n v="241.53"/>
  </r>
  <r>
    <s v="ORD1388"/>
    <x v="347"/>
    <x v="3"/>
    <s v="PROD145"/>
    <x v="388"/>
    <n v="824.55"/>
    <n v="7"/>
    <x v="1"/>
    <s v="Innovate Strategic Systems"/>
    <x v="0"/>
    <s v="Mcfarland, Parker and Armstrong"/>
    <n v="70.239999999999995"/>
  </r>
  <r>
    <s v="ORD1389"/>
    <x v="348"/>
    <x v="0"/>
    <s v="PROD164"/>
    <x v="389"/>
    <n v="502.51"/>
    <n v="13"/>
    <x v="0"/>
    <s v="Transition Compelling Web-Readiness"/>
    <x v="2"/>
    <s v="Wood-Beck"/>
    <n v="88.34"/>
  </r>
  <r>
    <s v="ORD1390"/>
    <x v="349"/>
    <x v="1"/>
    <s v="PROD198"/>
    <x v="390"/>
    <n v="59.07"/>
    <n v="14"/>
    <x v="0"/>
    <s v="Visualize Dynamic E-Commerce"/>
    <x v="2"/>
    <s v="Jones LLC"/>
    <n v="92.61"/>
  </r>
  <r>
    <s v="ORD1391"/>
    <x v="350"/>
    <x v="2"/>
    <s v="PROD149"/>
    <x v="391"/>
    <n v="18.34"/>
    <n v="2"/>
    <x v="0"/>
    <s v="Envisioneer B2C Web-Readiness"/>
    <x v="1"/>
    <s v="Kemp Group"/>
    <n v="97.23"/>
  </r>
  <r>
    <s v="ORD1392"/>
    <x v="351"/>
    <x v="2"/>
    <s v="PROD151"/>
    <x v="392"/>
    <n v="819.67"/>
    <n v="8"/>
    <x v="2"/>
    <s v="Re-Contextualize Viral Markets"/>
    <x v="1"/>
    <s v="Meadows-Barber"/>
    <n v="177.52"/>
  </r>
  <r>
    <s v="ORD1393"/>
    <x v="352"/>
    <x v="0"/>
    <s v="PROD161"/>
    <x v="393"/>
    <n v="326.56"/>
    <n v="20"/>
    <x v="2"/>
    <s v="Synergize E-Business Deliverables"/>
    <x v="1"/>
    <s v="Crawford, Warren and Williams"/>
    <n v="125.93"/>
  </r>
  <r>
    <s v="ORD1394"/>
    <x v="83"/>
    <x v="2"/>
    <s v="PROD158"/>
    <x v="394"/>
    <n v="150.46"/>
    <n v="9"/>
    <x v="1"/>
    <s v="Brand Web-Enabled Solutions"/>
    <x v="1"/>
    <s v="Russell Group"/>
    <n v="51.67"/>
  </r>
  <r>
    <s v="ORD1395"/>
    <x v="353"/>
    <x v="0"/>
    <s v="PROD147"/>
    <x v="395"/>
    <n v="342.69"/>
    <n v="7"/>
    <x v="2"/>
    <s v="Brand B2C Info-Mediaries"/>
    <x v="0"/>
    <s v="Preston Ltd"/>
    <n v="13.46"/>
  </r>
  <r>
    <s v="ORD1396"/>
    <x v="134"/>
    <x v="2"/>
    <s v="PROD128"/>
    <x v="396"/>
    <n v="120.27"/>
    <n v="13"/>
    <x v="0"/>
    <s v="Brand Distributed Info-Mediaries"/>
    <x v="2"/>
    <s v="Garcia Ltd"/>
    <n v="114.48"/>
  </r>
  <r>
    <s v="ORD1397"/>
    <x v="354"/>
    <x v="1"/>
    <s v="PROD106"/>
    <x v="397"/>
    <n v="39.07"/>
    <n v="20"/>
    <x v="2"/>
    <s v="Synergize End-To-End Supply-Chains"/>
    <x v="0"/>
    <s v="Higgins-Espinoza"/>
    <n v="279.8"/>
  </r>
  <r>
    <s v="ORD1398"/>
    <x v="315"/>
    <x v="0"/>
    <s v="PROD141"/>
    <x v="398"/>
    <n v="695.82"/>
    <n v="2"/>
    <x v="0"/>
    <s v="Re-Contextualize Integrated Info-Mediaries"/>
    <x v="1"/>
    <s v="Jones-Schroeder"/>
    <n v="26.02"/>
  </r>
  <r>
    <s v="ORD1399"/>
    <x v="355"/>
    <x v="2"/>
    <s v="PROD102"/>
    <x v="399"/>
    <n v="861.17"/>
    <n v="20"/>
    <x v="1"/>
    <s v="Optimize Transparent E-Markets"/>
    <x v="0"/>
    <s v="Lee, Tyler and Blevins"/>
    <n v="111.22"/>
  </r>
  <r>
    <s v="ORD1400"/>
    <x v="356"/>
    <x v="1"/>
    <s v="PROD161"/>
    <x v="400"/>
    <n v="983.68"/>
    <n v="9"/>
    <x v="1"/>
    <s v="Synergize E-Business Deliverables"/>
    <x v="1"/>
    <s v="Crawford, Warren and Williams"/>
    <n v="125.93"/>
  </r>
  <r>
    <s v="ORD1401"/>
    <x v="357"/>
    <x v="3"/>
    <s v="PROD164"/>
    <x v="401"/>
    <n v="994.37"/>
    <n v="5"/>
    <x v="1"/>
    <s v="Transition Compelling Web-Readiness"/>
    <x v="2"/>
    <s v="Wood-Beck"/>
    <n v="88.34"/>
  </r>
  <r>
    <s v="ORD1402"/>
    <x v="358"/>
    <x v="3"/>
    <s v="PROD148"/>
    <x v="402"/>
    <n v="893.23"/>
    <n v="17"/>
    <x v="2"/>
    <s v="Empower Seamless Roi"/>
    <x v="0"/>
    <s v="Proctor Group"/>
    <n v="266.64999999999998"/>
  </r>
  <r>
    <s v="ORD1403"/>
    <x v="85"/>
    <x v="1"/>
    <s v="PROD157"/>
    <x v="403"/>
    <n v="462.02"/>
    <n v="3"/>
    <x v="0"/>
    <s v="Implement Rich Platforms"/>
    <x v="1"/>
    <s v="Parker, Anderson and Salazar"/>
    <n v="53.59"/>
  </r>
  <r>
    <s v="ORD1404"/>
    <x v="355"/>
    <x v="0"/>
    <s v="PROD165"/>
    <x v="404"/>
    <n v="592.55999999999995"/>
    <n v="14"/>
    <x v="1"/>
    <s v="Benchmark Cross-Platform Markets"/>
    <x v="2"/>
    <s v="Murphy, Mathews and Wilson"/>
    <n v="78.88"/>
  </r>
  <r>
    <s v="ORD1405"/>
    <x v="40"/>
    <x v="1"/>
    <s v="PROD131"/>
    <x v="405"/>
    <n v="215.13"/>
    <n v="14"/>
    <x v="1"/>
    <s v="Scale Bleeding-Edge Schemas"/>
    <x v="1"/>
    <s v="Frazier-Schneider"/>
    <n v="54.8"/>
  </r>
  <r>
    <s v="ORD1406"/>
    <x v="359"/>
    <x v="1"/>
    <s v="PROD195"/>
    <x v="406"/>
    <n v="396.87"/>
    <n v="20"/>
    <x v="1"/>
    <s v="Reinvent Out-Of-The-Box Models"/>
    <x v="0"/>
    <s v="Wagner-Curtis"/>
    <n v="172.34"/>
  </r>
  <r>
    <s v="ORD1407"/>
    <x v="360"/>
    <x v="2"/>
    <s v="PROD153"/>
    <x v="407"/>
    <n v="364.28"/>
    <n v="1"/>
    <x v="0"/>
    <s v="Seize Plug-And-Play Web-Readiness"/>
    <x v="1"/>
    <s v="Joseph, Mayer and Carr"/>
    <n v="102.73"/>
  </r>
  <r>
    <s v="ORD1408"/>
    <x v="207"/>
    <x v="1"/>
    <s v="PROD136"/>
    <x v="408"/>
    <n v="521.19000000000005"/>
    <n v="14"/>
    <x v="0"/>
    <s v="Evolve Innovative Web Services"/>
    <x v="2"/>
    <s v="Bush Inc"/>
    <n v="87.75"/>
  </r>
  <r>
    <s v="ORD1409"/>
    <x v="12"/>
    <x v="0"/>
    <s v="PROD140"/>
    <x v="409"/>
    <n v="207.78"/>
    <n v="19"/>
    <x v="1"/>
    <s v="Extend Bricks-And-Clicks Architectures"/>
    <x v="2"/>
    <s v="Fuller PLC"/>
    <n v="202.99"/>
  </r>
  <r>
    <s v="ORD1410"/>
    <x v="361"/>
    <x v="2"/>
    <s v="PROD164"/>
    <x v="410"/>
    <n v="769.52"/>
    <n v="16"/>
    <x v="2"/>
    <s v="Transition Compelling Web-Readiness"/>
    <x v="2"/>
    <s v="Wood-Beck"/>
    <n v="88.34"/>
  </r>
  <r>
    <s v="ORD1411"/>
    <x v="362"/>
    <x v="3"/>
    <s v="PROD155"/>
    <x v="411"/>
    <n v="911.48"/>
    <n v="12"/>
    <x v="2"/>
    <s v="Incentivize User-Centric Mindshare"/>
    <x v="1"/>
    <s v="Becker, Wright and Wong"/>
    <n v="38.51"/>
  </r>
  <r>
    <s v="ORD1412"/>
    <x v="363"/>
    <x v="2"/>
    <s v="PROD105"/>
    <x v="412"/>
    <n v="208.08"/>
    <n v="13"/>
    <x v="1"/>
    <s v="Transform Holistic Functionalities"/>
    <x v="0"/>
    <s v="Ruiz Ltd"/>
    <n v="179.27"/>
  </r>
  <r>
    <s v="ORD1413"/>
    <x v="364"/>
    <x v="0"/>
    <s v="PROD117"/>
    <x v="413"/>
    <n v="492.9"/>
    <n v="11"/>
    <x v="2"/>
    <s v="Revolutionize Efficient Niches"/>
    <x v="1"/>
    <s v="Lopez-Torres"/>
    <n v="23.02"/>
  </r>
  <r>
    <s v="ORD1414"/>
    <x v="67"/>
    <x v="3"/>
    <s v="PROD176"/>
    <x v="414"/>
    <n v="597"/>
    <n v="8"/>
    <x v="0"/>
    <s v="Facilitate Integrated E-Business"/>
    <x v="0"/>
    <s v="Chang-Vargas"/>
    <n v="130.33000000000001"/>
  </r>
  <r>
    <s v="ORD1415"/>
    <x v="365"/>
    <x v="3"/>
    <s v="PROD197"/>
    <x v="415"/>
    <n v="720.54"/>
    <n v="16"/>
    <x v="2"/>
    <s v="Leverage Rich Portals"/>
    <x v="0"/>
    <s v="Wilson PLC"/>
    <n v="46.35"/>
  </r>
  <r>
    <s v="ORD1416"/>
    <x v="366"/>
    <x v="2"/>
    <s v="PROD172"/>
    <x v="416"/>
    <n v="938.7"/>
    <n v="5"/>
    <x v="1"/>
    <s v="E-Enable Virtual Methodologies"/>
    <x v="0"/>
    <s v="Floyd-Love"/>
    <n v="283.64999999999998"/>
  </r>
  <r>
    <s v="ORD1417"/>
    <x v="367"/>
    <x v="3"/>
    <s v="PROD152"/>
    <x v="417"/>
    <n v="210.46"/>
    <n v="2"/>
    <x v="2"/>
    <s v="Reinvent Frictionless Roi"/>
    <x v="2"/>
    <s v="Bridges, Castillo and Rodriguez"/>
    <n v="253.89"/>
  </r>
  <r>
    <s v="ORD1418"/>
    <x v="368"/>
    <x v="3"/>
    <s v="PROD112"/>
    <x v="418"/>
    <n v="935.66"/>
    <n v="16"/>
    <x v="0"/>
    <s v="Seize Clicks-And-Mortar Platforms"/>
    <x v="0"/>
    <s v="Owens, Campos and Wood"/>
    <n v="271.16000000000003"/>
  </r>
  <r>
    <s v="ORD1419"/>
    <x v="369"/>
    <x v="3"/>
    <s v="PROD159"/>
    <x v="419"/>
    <n v="749.95"/>
    <n v="12"/>
    <x v="2"/>
    <s v="Mesh Intuitive Supply-Chains"/>
    <x v="1"/>
    <s v="Soto, Barnett and Heath"/>
    <n v="281"/>
  </r>
  <r>
    <s v="ORD1420"/>
    <x v="370"/>
    <x v="2"/>
    <s v="PROD129"/>
    <x v="420"/>
    <n v="770.52"/>
    <n v="17"/>
    <x v="1"/>
    <s v="Scale Vertical Networks"/>
    <x v="2"/>
    <s v="Lam, Wood and Jacobs"/>
    <n v="133.24"/>
  </r>
  <r>
    <s v="ORD1421"/>
    <x v="371"/>
    <x v="0"/>
    <s v="PROD176"/>
    <x v="421"/>
    <n v="153.52000000000001"/>
    <n v="15"/>
    <x v="2"/>
    <s v="Facilitate Integrated E-Business"/>
    <x v="0"/>
    <s v="Chang-Vargas"/>
    <n v="130.33000000000001"/>
  </r>
  <r>
    <s v="ORD1422"/>
    <x v="372"/>
    <x v="0"/>
    <s v="PROD121"/>
    <x v="422"/>
    <n v="283.31"/>
    <n v="17"/>
    <x v="1"/>
    <s v="Whiteboard B2B Content"/>
    <x v="0"/>
    <s v="Romero PLC"/>
    <n v="93.81"/>
  </r>
  <r>
    <s v="ORD1423"/>
    <x v="373"/>
    <x v="1"/>
    <s v="PROD130"/>
    <x v="423"/>
    <n v="721.17"/>
    <n v="8"/>
    <x v="1"/>
    <s v="Synthesize Wireless Initiatives"/>
    <x v="1"/>
    <s v="Mosley Ltd"/>
    <n v="162.69999999999999"/>
  </r>
  <r>
    <s v="ORD1424"/>
    <x v="263"/>
    <x v="3"/>
    <s v="PROD195"/>
    <x v="424"/>
    <n v="166.13"/>
    <n v="5"/>
    <x v="1"/>
    <s v="Reinvent Out-Of-The-Box Models"/>
    <x v="0"/>
    <s v="Wagner-Curtis"/>
    <n v="172.34"/>
  </r>
  <r>
    <s v="ORD1425"/>
    <x v="75"/>
    <x v="0"/>
    <s v="PROD193"/>
    <x v="425"/>
    <n v="676.34"/>
    <n v="19"/>
    <x v="1"/>
    <s v="Innovate Sticky Web Services"/>
    <x v="1"/>
    <s v="Friedman, Sanders and Adams"/>
    <n v="125.85"/>
  </r>
  <r>
    <s v="ORD1426"/>
    <x v="374"/>
    <x v="3"/>
    <s v="PROD184"/>
    <x v="426"/>
    <n v="859.87"/>
    <n v="19"/>
    <x v="1"/>
    <s v="Embrace 24/365 Functionalities"/>
    <x v="0"/>
    <s v="Smith LLC"/>
    <n v="204.04"/>
  </r>
  <r>
    <s v="ORD1427"/>
    <x v="375"/>
    <x v="2"/>
    <s v="PROD193"/>
    <x v="427"/>
    <n v="50.86"/>
    <n v="4"/>
    <x v="1"/>
    <s v="Innovate Sticky Web Services"/>
    <x v="1"/>
    <s v="Friedman, Sanders and Adams"/>
    <n v="125.85"/>
  </r>
  <r>
    <s v="ORD1428"/>
    <x v="121"/>
    <x v="2"/>
    <s v="PROD163"/>
    <x v="428"/>
    <n v="994.38"/>
    <n v="19"/>
    <x v="0"/>
    <s v="Grow Back-End Supply-Chains"/>
    <x v="1"/>
    <s v="Green LLC"/>
    <n v="140.08000000000001"/>
  </r>
  <r>
    <s v="ORD1429"/>
    <x v="376"/>
    <x v="2"/>
    <s v="PROD154"/>
    <x v="429"/>
    <n v="676.99"/>
    <n v="5"/>
    <x v="0"/>
    <s v="Utilize Virtual Partnerships"/>
    <x v="2"/>
    <s v="Smith, Diaz and Heath"/>
    <n v="193.02"/>
  </r>
  <r>
    <s v="ORD1430"/>
    <x v="195"/>
    <x v="3"/>
    <s v="PROD141"/>
    <x v="430"/>
    <n v="676.88"/>
    <n v="6"/>
    <x v="2"/>
    <s v="Re-Contextualize Integrated Info-Mediaries"/>
    <x v="1"/>
    <s v="Jones-Schroeder"/>
    <n v="26.02"/>
  </r>
  <r>
    <s v="ORD1431"/>
    <x v="377"/>
    <x v="2"/>
    <s v="PROD163"/>
    <x v="431"/>
    <n v="451.58"/>
    <n v="16"/>
    <x v="2"/>
    <s v="Grow Back-End Supply-Chains"/>
    <x v="1"/>
    <s v="Green LLC"/>
    <n v="140.08000000000001"/>
  </r>
  <r>
    <s v="ORD1432"/>
    <x v="378"/>
    <x v="1"/>
    <s v="PROD134"/>
    <x v="432"/>
    <n v="793.72"/>
    <n v="9"/>
    <x v="0"/>
    <s v="Utilize Ubiquitous Synergies"/>
    <x v="1"/>
    <s v="Kramer, Huang and Shaw"/>
    <n v="295.89999999999998"/>
  </r>
  <r>
    <s v="ORD1433"/>
    <x v="379"/>
    <x v="3"/>
    <s v="PROD178"/>
    <x v="433"/>
    <n v="530.95000000000005"/>
    <n v="12"/>
    <x v="0"/>
    <s v="Monetize Value-Added Niches"/>
    <x v="0"/>
    <s v="Foster, Velazquez and Lee"/>
    <n v="171.51"/>
  </r>
  <r>
    <s v="ORD1434"/>
    <x v="135"/>
    <x v="2"/>
    <s v="PROD144"/>
    <x v="434"/>
    <n v="621.22"/>
    <n v="8"/>
    <x v="1"/>
    <s v="Expedite Synergistic Web-Readiness"/>
    <x v="1"/>
    <s v="Dunlap, Carpenter and Monroe"/>
    <n v="289.66000000000003"/>
  </r>
  <r>
    <s v="ORD1435"/>
    <x v="380"/>
    <x v="3"/>
    <s v="PROD184"/>
    <x v="435"/>
    <n v="149.5"/>
    <n v="5"/>
    <x v="2"/>
    <s v="Embrace 24/365 Functionalities"/>
    <x v="0"/>
    <s v="Smith LLC"/>
    <n v="204.04"/>
  </r>
  <r>
    <s v="ORD1436"/>
    <x v="381"/>
    <x v="1"/>
    <s v="PROD196"/>
    <x v="436"/>
    <n v="521.67999999999995"/>
    <n v="6"/>
    <x v="0"/>
    <s v="Strategize E-Business Content"/>
    <x v="1"/>
    <s v="Patterson LLC"/>
    <n v="294.02"/>
  </r>
  <r>
    <s v="ORD1437"/>
    <x v="382"/>
    <x v="2"/>
    <s v="PROD118"/>
    <x v="437"/>
    <n v="575.29999999999995"/>
    <n v="10"/>
    <x v="0"/>
    <s v="Engineer Real-Time Architectures"/>
    <x v="2"/>
    <s v="James and Sons"/>
    <n v="127.23"/>
  </r>
  <r>
    <s v="ORD1438"/>
    <x v="383"/>
    <x v="0"/>
    <s v="PROD196"/>
    <x v="438"/>
    <n v="820.77"/>
    <n v="18"/>
    <x v="1"/>
    <s v="Strategize E-Business Content"/>
    <x v="1"/>
    <s v="Patterson LLC"/>
    <n v="294.02"/>
  </r>
  <r>
    <s v="ORD1439"/>
    <x v="56"/>
    <x v="3"/>
    <s v="PROD167"/>
    <x v="439"/>
    <n v="26.91"/>
    <n v="15"/>
    <x v="1"/>
    <s v="Grow Synergistic Infrastructures"/>
    <x v="2"/>
    <s v="Adams-Carter"/>
    <n v="113.17"/>
  </r>
  <r>
    <s v="ORD1440"/>
    <x v="384"/>
    <x v="1"/>
    <s v="PROD129"/>
    <x v="440"/>
    <n v="204.87"/>
    <n v="16"/>
    <x v="1"/>
    <s v="Scale Vertical Networks"/>
    <x v="2"/>
    <s v="Lam, Wood and Jacobs"/>
    <n v="133.24"/>
  </r>
  <r>
    <s v="ORD1441"/>
    <x v="49"/>
    <x v="2"/>
    <s v="PROD162"/>
    <x v="441"/>
    <n v="588.99"/>
    <n v="19"/>
    <x v="0"/>
    <s v="Reinvent Visionary Niches"/>
    <x v="2"/>
    <s v="Huber-Richmond"/>
    <n v="219.81"/>
  </r>
  <r>
    <s v="ORD1442"/>
    <x v="385"/>
    <x v="1"/>
    <s v="PROD103"/>
    <x v="442"/>
    <n v="423.58"/>
    <n v="13"/>
    <x v="0"/>
    <s v="Monetize Collaborative Metrics"/>
    <x v="1"/>
    <s v="Ramirez-Brown"/>
    <n v="286.04000000000002"/>
  </r>
  <r>
    <s v="ORD1443"/>
    <x v="386"/>
    <x v="2"/>
    <s v="PROD119"/>
    <x v="443"/>
    <n v="58.7"/>
    <n v="20"/>
    <x v="0"/>
    <s v="Generate Front-End Functionalities"/>
    <x v="0"/>
    <s v="Morales-Brown"/>
    <n v="299.77"/>
  </r>
  <r>
    <s v="ORD1444"/>
    <x v="387"/>
    <x v="3"/>
    <s v="PROD139"/>
    <x v="444"/>
    <n v="635.05999999999995"/>
    <n v="9"/>
    <x v="0"/>
    <s v="Re-Contextualize Viral Mindshare"/>
    <x v="1"/>
    <s v="Carter-Lane"/>
    <n v="142.25"/>
  </r>
  <r>
    <s v="ORD1445"/>
    <x v="388"/>
    <x v="3"/>
    <s v="PROD183"/>
    <x v="445"/>
    <n v="743.5"/>
    <n v="5"/>
    <x v="1"/>
    <s v="Incentivize Front-End Mindshare"/>
    <x v="1"/>
    <s v="Phillips-Tran"/>
    <n v="196.86"/>
  </r>
  <r>
    <s v="ORD1446"/>
    <x v="389"/>
    <x v="3"/>
    <s v="PROD154"/>
    <x v="446"/>
    <n v="715.99"/>
    <n v="8"/>
    <x v="1"/>
    <s v="Utilize Virtual Partnerships"/>
    <x v="2"/>
    <s v="Smith, Diaz and Heath"/>
    <n v="193.02"/>
  </r>
  <r>
    <s v="ORD1447"/>
    <x v="390"/>
    <x v="2"/>
    <s v="PROD160"/>
    <x v="447"/>
    <n v="411.85"/>
    <n v="13"/>
    <x v="0"/>
    <s v="Deliver Extensible Partnerships"/>
    <x v="2"/>
    <s v="Martin, Paul and Salazar"/>
    <n v="43.76"/>
  </r>
  <r>
    <s v="ORD1448"/>
    <x v="391"/>
    <x v="2"/>
    <s v="PROD100"/>
    <x v="448"/>
    <n v="249.81"/>
    <n v="18"/>
    <x v="0"/>
    <s v="Synthesize Scalable Portals"/>
    <x v="2"/>
    <s v="Singh, Villa and Flynn"/>
    <n v="298.57"/>
  </r>
  <r>
    <s v="ORD1449"/>
    <x v="392"/>
    <x v="2"/>
    <s v="PROD178"/>
    <x v="449"/>
    <n v="501.63"/>
    <n v="13"/>
    <x v="1"/>
    <s v="Monetize Value-Added Niches"/>
    <x v="0"/>
    <s v="Foster, Velazquez and Lee"/>
    <n v="171.51"/>
  </r>
  <r>
    <s v="ORD1450"/>
    <x v="393"/>
    <x v="2"/>
    <s v="PROD193"/>
    <x v="450"/>
    <n v="495.93"/>
    <n v="7"/>
    <x v="0"/>
    <s v="Innovate Sticky Web Services"/>
    <x v="1"/>
    <s v="Friedman, Sanders and Adams"/>
    <n v="125.85"/>
  </r>
  <r>
    <s v="ORD1451"/>
    <x v="394"/>
    <x v="0"/>
    <s v="PROD177"/>
    <x v="451"/>
    <n v="306.77"/>
    <n v="19"/>
    <x v="2"/>
    <s v="Deploy Granular Channels"/>
    <x v="2"/>
    <s v="Barnes Ltd"/>
    <n v="288.99"/>
  </r>
  <r>
    <s v="ORD1452"/>
    <x v="395"/>
    <x v="0"/>
    <s v="PROD138"/>
    <x v="452"/>
    <n v="639.26"/>
    <n v="8"/>
    <x v="0"/>
    <s v="Deliver Viral Eyeballs"/>
    <x v="0"/>
    <s v="Estes, Chan and Thomas"/>
    <n v="16.89"/>
  </r>
  <r>
    <s v="ORD1453"/>
    <x v="396"/>
    <x v="0"/>
    <s v="PROD152"/>
    <x v="453"/>
    <n v="512.22"/>
    <n v="3"/>
    <x v="2"/>
    <s v="Reinvent Frictionless Roi"/>
    <x v="2"/>
    <s v="Bridges, Castillo and Rodriguez"/>
    <n v="253.89"/>
  </r>
  <r>
    <s v="ORD1454"/>
    <x v="213"/>
    <x v="0"/>
    <s v="PROD188"/>
    <x v="454"/>
    <n v="508.18"/>
    <n v="3"/>
    <x v="1"/>
    <s v="Transition Mission-Critical Interfaces"/>
    <x v="0"/>
    <s v="Weaver Ltd"/>
    <n v="34.64"/>
  </r>
  <r>
    <s v="ORD1455"/>
    <x v="397"/>
    <x v="2"/>
    <s v="PROD178"/>
    <x v="455"/>
    <n v="140.30000000000001"/>
    <n v="18"/>
    <x v="2"/>
    <s v="Monetize Value-Added Niches"/>
    <x v="0"/>
    <s v="Foster, Velazquez and Lee"/>
    <n v="171.51"/>
  </r>
  <r>
    <s v="ORD1456"/>
    <x v="398"/>
    <x v="0"/>
    <s v="PROD125"/>
    <x v="456"/>
    <n v="831.67"/>
    <n v="3"/>
    <x v="0"/>
    <s v="Leverage Cutting-Edge Vortals"/>
    <x v="1"/>
    <s v="Robinson, Garrett and Chavez"/>
    <n v="117.3"/>
  </r>
  <r>
    <s v="ORD1457"/>
    <x v="399"/>
    <x v="3"/>
    <s v="PROD135"/>
    <x v="457"/>
    <n v="362.28"/>
    <n v="10"/>
    <x v="1"/>
    <s v="Optimize 24/365 E-Services"/>
    <x v="0"/>
    <s v="Chase Ltd"/>
    <n v="100.35"/>
  </r>
  <r>
    <s v="ORD1458"/>
    <x v="400"/>
    <x v="0"/>
    <s v="PROD139"/>
    <x v="458"/>
    <n v="650.99"/>
    <n v="5"/>
    <x v="0"/>
    <s v="Re-Contextualize Viral Mindshare"/>
    <x v="1"/>
    <s v="Carter-Lane"/>
    <n v="142.25"/>
  </r>
  <r>
    <s v="ORD1459"/>
    <x v="401"/>
    <x v="2"/>
    <s v="PROD107"/>
    <x v="459"/>
    <n v="640.36"/>
    <n v="19"/>
    <x v="0"/>
    <s v="Utilize Back-End Models"/>
    <x v="2"/>
    <s v="Lewis-Holden"/>
    <n v="241.53"/>
  </r>
  <r>
    <s v="ORD1460"/>
    <x v="241"/>
    <x v="0"/>
    <s v="PROD167"/>
    <x v="460"/>
    <n v="664.23"/>
    <n v="1"/>
    <x v="1"/>
    <s v="Grow Synergistic Infrastructures"/>
    <x v="2"/>
    <s v="Adams-Carter"/>
    <n v="113.17"/>
  </r>
  <r>
    <s v="ORD1461"/>
    <x v="402"/>
    <x v="0"/>
    <s v="PROD115"/>
    <x v="461"/>
    <n v="513.33000000000004"/>
    <n v="7"/>
    <x v="1"/>
    <s v="Morph World-Class Synergies"/>
    <x v="1"/>
    <s v="Bryant Ltd"/>
    <n v="20.69"/>
  </r>
  <r>
    <s v="ORD1462"/>
    <x v="403"/>
    <x v="3"/>
    <s v="PROD198"/>
    <x v="462"/>
    <n v="413.52"/>
    <n v="18"/>
    <x v="0"/>
    <s v="Visualize Dynamic E-Commerce"/>
    <x v="2"/>
    <s v="Jones LLC"/>
    <n v="92.61"/>
  </r>
  <r>
    <s v="ORD1463"/>
    <x v="404"/>
    <x v="0"/>
    <s v="PROD144"/>
    <x v="463"/>
    <n v="391.4"/>
    <n v="14"/>
    <x v="1"/>
    <s v="Expedite Synergistic Web-Readiness"/>
    <x v="1"/>
    <s v="Dunlap, Carpenter and Monroe"/>
    <n v="289.66000000000003"/>
  </r>
  <r>
    <s v="ORD1464"/>
    <x v="405"/>
    <x v="3"/>
    <s v="PROD141"/>
    <x v="464"/>
    <n v="636.66999999999996"/>
    <n v="16"/>
    <x v="0"/>
    <s v="Re-Contextualize Integrated Info-Mediaries"/>
    <x v="1"/>
    <s v="Jones-Schroeder"/>
    <n v="26.02"/>
  </r>
  <r>
    <s v="ORD1465"/>
    <x v="406"/>
    <x v="0"/>
    <s v="PROD149"/>
    <x v="465"/>
    <n v="464.12"/>
    <n v="9"/>
    <x v="2"/>
    <s v="Envisioneer B2C Web-Readiness"/>
    <x v="1"/>
    <s v="Kemp Group"/>
    <n v="97.23"/>
  </r>
  <r>
    <s v="ORD1466"/>
    <x v="407"/>
    <x v="1"/>
    <s v="PROD154"/>
    <x v="466"/>
    <n v="506.81"/>
    <n v="7"/>
    <x v="0"/>
    <s v="Utilize Virtual Partnerships"/>
    <x v="2"/>
    <s v="Smith, Diaz and Heath"/>
    <n v="193.02"/>
  </r>
  <r>
    <s v="ORD1467"/>
    <x v="408"/>
    <x v="2"/>
    <s v="PROD162"/>
    <x v="467"/>
    <n v="873.22"/>
    <n v="7"/>
    <x v="2"/>
    <s v="Reinvent Visionary Niches"/>
    <x v="2"/>
    <s v="Huber-Richmond"/>
    <n v="219.81"/>
  </r>
  <r>
    <s v="ORD1468"/>
    <x v="409"/>
    <x v="2"/>
    <s v="PROD169"/>
    <x v="468"/>
    <n v="536.03"/>
    <n v="14"/>
    <x v="0"/>
    <s v="Unleash End-To-End Web Services"/>
    <x v="0"/>
    <s v="Jones Ltd"/>
    <n v="188.02"/>
  </r>
  <r>
    <s v="ORD1469"/>
    <x v="410"/>
    <x v="0"/>
    <s v="PROD164"/>
    <x v="469"/>
    <n v="460.38"/>
    <n v="7"/>
    <x v="2"/>
    <s v="Transition Compelling Web-Readiness"/>
    <x v="2"/>
    <s v="Wood-Beck"/>
    <n v="88.34"/>
  </r>
  <r>
    <s v="ORD1470"/>
    <x v="411"/>
    <x v="2"/>
    <s v="PROD167"/>
    <x v="470"/>
    <n v="621.69000000000005"/>
    <n v="17"/>
    <x v="0"/>
    <s v="Grow Synergistic Infrastructures"/>
    <x v="2"/>
    <s v="Adams-Carter"/>
    <n v="113.17"/>
  </r>
  <r>
    <s v="ORD1471"/>
    <x v="412"/>
    <x v="0"/>
    <s v="PROD148"/>
    <x v="471"/>
    <n v="89.34"/>
    <n v="2"/>
    <x v="1"/>
    <s v="Empower Seamless Roi"/>
    <x v="0"/>
    <s v="Proctor Group"/>
    <n v="266.64999999999998"/>
  </r>
  <r>
    <s v="ORD1472"/>
    <x v="413"/>
    <x v="3"/>
    <s v="PROD113"/>
    <x v="472"/>
    <n v="524.02"/>
    <n v="4"/>
    <x v="0"/>
    <s v="Envisioneer B2B Users"/>
    <x v="0"/>
    <s v="Rogers Group"/>
    <n v="239.16"/>
  </r>
  <r>
    <s v="ORD1473"/>
    <x v="414"/>
    <x v="0"/>
    <s v="PROD180"/>
    <x v="473"/>
    <n v="37.049999999999997"/>
    <n v="20"/>
    <x v="1"/>
    <s v="Iterate Extensible Roi"/>
    <x v="0"/>
    <s v="Hill-Kelly"/>
    <n v="180"/>
  </r>
  <r>
    <s v="ORD1474"/>
    <x v="415"/>
    <x v="2"/>
    <s v="PROD125"/>
    <x v="474"/>
    <n v="393.95"/>
    <n v="4"/>
    <x v="0"/>
    <s v="Leverage Cutting-Edge Vortals"/>
    <x v="1"/>
    <s v="Robinson, Garrett and Chavez"/>
    <n v="117.3"/>
  </r>
  <r>
    <s v="ORD1475"/>
    <x v="416"/>
    <x v="0"/>
    <s v="PROD102"/>
    <x v="475"/>
    <n v="107.55"/>
    <n v="1"/>
    <x v="0"/>
    <s v="Optimize Transparent E-Markets"/>
    <x v="0"/>
    <s v="Lee, Tyler and Blevins"/>
    <n v="111.22"/>
  </r>
  <r>
    <s v="ORD1476"/>
    <x v="17"/>
    <x v="3"/>
    <s v="PROD162"/>
    <x v="476"/>
    <n v="275.64"/>
    <n v="3"/>
    <x v="2"/>
    <s v="Reinvent Visionary Niches"/>
    <x v="2"/>
    <s v="Huber-Richmond"/>
    <n v="219.81"/>
  </r>
  <r>
    <s v="ORD1477"/>
    <x v="417"/>
    <x v="0"/>
    <s v="PROD132"/>
    <x v="477"/>
    <n v="432.07"/>
    <n v="8"/>
    <x v="2"/>
    <s v="Synergize End-To-End Roi"/>
    <x v="1"/>
    <s v="Evans-Smith"/>
    <n v="159.85"/>
  </r>
  <r>
    <s v="ORD1478"/>
    <x v="418"/>
    <x v="3"/>
    <s v="PROD109"/>
    <x v="478"/>
    <n v="283.83999999999997"/>
    <n v="19"/>
    <x v="0"/>
    <s v="Orchestrate E-Business Niches"/>
    <x v="2"/>
    <s v="Johnson LLC"/>
    <n v="198.99"/>
  </r>
  <r>
    <s v="ORD1479"/>
    <x v="419"/>
    <x v="2"/>
    <s v="PROD119"/>
    <x v="479"/>
    <n v="851.72"/>
    <n v="2"/>
    <x v="0"/>
    <s v="Generate Front-End Functionalities"/>
    <x v="0"/>
    <s v="Morales-Brown"/>
    <n v="299.77"/>
  </r>
  <r>
    <s v="ORD1480"/>
    <x v="420"/>
    <x v="2"/>
    <s v="PROD119"/>
    <x v="480"/>
    <n v="948.81"/>
    <n v="12"/>
    <x v="2"/>
    <s v="Generate Front-End Functionalities"/>
    <x v="0"/>
    <s v="Morales-Brown"/>
    <n v="299.77"/>
  </r>
  <r>
    <s v="ORD1481"/>
    <x v="421"/>
    <x v="3"/>
    <s v="PROD104"/>
    <x v="481"/>
    <n v="480.33"/>
    <n v="9"/>
    <x v="1"/>
    <s v="Implement Clicks-And-Mortar Partnerships"/>
    <x v="1"/>
    <s v="Smith Inc"/>
    <n v="195.53"/>
  </r>
  <r>
    <s v="ORD1482"/>
    <x v="422"/>
    <x v="2"/>
    <s v="PROD184"/>
    <x v="482"/>
    <n v="13.21"/>
    <n v="10"/>
    <x v="2"/>
    <s v="Embrace 24/365 Functionalities"/>
    <x v="0"/>
    <s v="Smith LLC"/>
    <n v="204.04"/>
  </r>
  <r>
    <s v="ORD1483"/>
    <x v="423"/>
    <x v="2"/>
    <s v="PROD114"/>
    <x v="483"/>
    <n v="345.04"/>
    <n v="18"/>
    <x v="2"/>
    <s v="Orchestrate User-Centric Platforms"/>
    <x v="2"/>
    <s v="Wells Ltd"/>
    <n v="201.87"/>
  </r>
  <r>
    <s v="ORD1484"/>
    <x v="172"/>
    <x v="0"/>
    <s v="PROD133"/>
    <x v="484"/>
    <n v="192.79"/>
    <n v="11"/>
    <x v="0"/>
    <s v="Re-Intermediate Seamless Applications"/>
    <x v="0"/>
    <s v="Welch-Reed"/>
    <n v="45.82"/>
  </r>
  <r>
    <s v="ORD1485"/>
    <x v="272"/>
    <x v="1"/>
    <s v="PROD194"/>
    <x v="485"/>
    <n v="515.46"/>
    <n v="9"/>
    <x v="0"/>
    <s v="Leverage Scalable Interfaces"/>
    <x v="0"/>
    <s v="Kaufman-Jones"/>
    <n v="73.33"/>
  </r>
  <r>
    <s v="ORD1486"/>
    <x v="312"/>
    <x v="2"/>
    <s v="PROD106"/>
    <x v="486"/>
    <n v="911.94"/>
    <n v="16"/>
    <x v="1"/>
    <s v="Synergize End-To-End Supply-Chains"/>
    <x v="0"/>
    <s v="Higgins-Espinoza"/>
    <n v="279.8"/>
  </r>
  <r>
    <s v="ORD1487"/>
    <x v="424"/>
    <x v="0"/>
    <s v="PROD187"/>
    <x v="487"/>
    <n v="887.49"/>
    <n v="14"/>
    <x v="1"/>
    <s v="Whiteboard Compelling Experiences"/>
    <x v="2"/>
    <s v="Carrillo, Carr and Ball"/>
    <n v="206.54"/>
  </r>
  <r>
    <s v="ORD1488"/>
    <x v="4"/>
    <x v="3"/>
    <s v="PROD100"/>
    <x v="488"/>
    <n v="370.85"/>
    <n v="13"/>
    <x v="2"/>
    <s v="Synthesize Scalable Portals"/>
    <x v="2"/>
    <s v="Singh, Villa and Flynn"/>
    <n v="298.57"/>
  </r>
  <r>
    <s v="ORD1489"/>
    <x v="363"/>
    <x v="2"/>
    <s v="PROD184"/>
    <x v="489"/>
    <n v="761.03"/>
    <n v="12"/>
    <x v="0"/>
    <s v="Embrace 24/365 Functionalities"/>
    <x v="0"/>
    <s v="Smith LLC"/>
    <n v="204.04"/>
  </r>
  <r>
    <s v="ORD1490"/>
    <x v="208"/>
    <x v="2"/>
    <s v="PROD175"/>
    <x v="490"/>
    <n v="893.02"/>
    <n v="13"/>
    <x v="0"/>
    <s v="Empower Bleeding-Edge Action-Items"/>
    <x v="2"/>
    <s v="Gray, Hayes and Banks"/>
    <n v="204.26"/>
  </r>
  <r>
    <s v="ORD1491"/>
    <x v="425"/>
    <x v="2"/>
    <s v="PROD148"/>
    <x v="491"/>
    <n v="990.04"/>
    <n v="18"/>
    <x v="2"/>
    <s v="Empower Seamless Roi"/>
    <x v="0"/>
    <s v="Proctor Group"/>
    <n v="266.64999999999998"/>
  </r>
  <r>
    <s v="ORD1492"/>
    <x v="426"/>
    <x v="3"/>
    <s v="PROD159"/>
    <x v="492"/>
    <n v="650.22"/>
    <n v="14"/>
    <x v="1"/>
    <s v="Mesh Intuitive Supply-Chains"/>
    <x v="1"/>
    <s v="Soto, Barnett and Heath"/>
    <n v="281"/>
  </r>
  <r>
    <s v="ORD1493"/>
    <x v="323"/>
    <x v="1"/>
    <s v="PROD103"/>
    <x v="493"/>
    <n v="102.34"/>
    <n v="16"/>
    <x v="1"/>
    <s v="Monetize Collaborative Metrics"/>
    <x v="1"/>
    <s v="Ramirez-Brown"/>
    <n v="286.04000000000002"/>
  </r>
  <r>
    <s v="ORD1494"/>
    <x v="427"/>
    <x v="2"/>
    <s v="PROD197"/>
    <x v="494"/>
    <n v="179.64"/>
    <n v="3"/>
    <x v="0"/>
    <s v="Leverage Rich Portals"/>
    <x v="0"/>
    <s v="Wilson PLC"/>
    <n v="46.35"/>
  </r>
  <r>
    <s v="ORD1495"/>
    <x v="9"/>
    <x v="0"/>
    <s v="PROD163"/>
    <x v="495"/>
    <n v="970.38"/>
    <n v="7"/>
    <x v="2"/>
    <s v="Grow Back-End Supply-Chains"/>
    <x v="1"/>
    <s v="Green LLC"/>
    <n v="140.08000000000001"/>
  </r>
  <r>
    <s v="ORD1496"/>
    <x v="428"/>
    <x v="0"/>
    <s v="PROD130"/>
    <x v="496"/>
    <n v="698.66"/>
    <n v="20"/>
    <x v="1"/>
    <s v="Synthesize Wireless Initiatives"/>
    <x v="1"/>
    <s v="Mosley Ltd"/>
    <n v="162.69999999999999"/>
  </r>
  <r>
    <s v="ORD1497"/>
    <x v="429"/>
    <x v="0"/>
    <s v="PROD140"/>
    <x v="497"/>
    <n v="363.38"/>
    <n v="8"/>
    <x v="2"/>
    <s v="Extend Bricks-And-Clicks Architectures"/>
    <x v="2"/>
    <s v="Fuller PLC"/>
    <n v="202.99"/>
  </r>
  <r>
    <s v="ORD1498"/>
    <x v="430"/>
    <x v="2"/>
    <s v="PROD161"/>
    <x v="498"/>
    <n v="815.1"/>
    <n v="3"/>
    <x v="1"/>
    <s v="Synergize E-Business Deliverables"/>
    <x v="1"/>
    <s v="Crawford, Warren and Williams"/>
    <n v="125.93"/>
  </r>
  <r>
    <s v="ORD1499"/>
    <x v="431"/>
    <x v="2"/>
    <s v="PROD132"/>
    <x v="499"/>
    <n v="460.56"/>
    <n v="18"/>
    <x v="0"/>
    <s v="Synergize End-To-End Roi"/>
    <x v="1"/>
    <s v="Evans-Smith"/>
    <n v="159.85"/>
  </r>
  <r>
    <s v="ORD1500"/>
    <x v="361"/>
    <x v="2"/>
    <s v="PROD139"/>
    <x v="500"/>
    <n v="239.27"/>
    <n v="2"/>
    <x v="2"/>
    <s v="Re-Contextualize Viral Mindshare"/>
    <x v="1"/>
    <s v="Carter-Lane"/>
    <n v="142.25"/>
  </r>
  <r>
    <s v="ORD1501"/>
    <x v="164"/>
    <x v="1"/>
    <s v="PROD118"/>
    <x v="501"/>
    <n v="129.6"/>
    <n v="12"/>
    <x v="1"/>
    <s v="Engineer Real-Time Architectures"/>
    <x v="2"/>
    <s v="James and Sons"/>
    <n v="127.23"/>
  </r>
  <r>
    <s v="ORD1502"/>
    <x v="211"/>
    <x v="0"/>
    <s v="PROD197"/>
    <x v="502"/>
    <n v="701.06"/>
    <n v="1"/>
    <x v="0"/>
    <s v="Leverage Rich Portals"/>
    <x v="0"/>
    <s v="Wilson PLC"/>
    <n v="46.35"/>
  </r>
  <r>
    <s v="ORD1503"/>
    <x v="432"/>
    <x v="3"/>
    <s v="PROD145"/>
    <x v="503"/>
    <n v="227.47"/>
    <n v="3"/>
    <x v="0"/>
    <s v="Innovate Strategic Systems"/>
    <x v="0"/>
    <s v="Mcfarland, Parker and Armstrong"/>
    <n v="70.239999999999995"/>
  </r>
  <r>
    <s v="ORD1504"/>
    <x v="433"/>
    <x v="1"/>
    <s v="PROD162"/>
    <x v="504"/>
    <n v="670.99"/>
    <n v="15"/>
    <x v="1"/>
    <s v="Reinvent Visionary Niches"/>
    <x v="2"/>
    <s v="Huber-Richmond"/>
    <n v="219.81"/>
  </r>
  <r>
    <s v="ORD1505"/>
    <x v="423"/>
    <x v="1"/>
    <s v="PROD168"/>
    <x v="505"/>
    <n v="952.31"/>
    <n v="14"/>
    <x v="2"/>
    <s v="Facilitate End-To-End Experiences"/>
    <x v="0"/>
    <s v="Pierce-Goodwin"/>
    <n v="260.52999999999997"/>
  </r>
  <r>
    <s v="ORD1506"/>
    <x v="434"/>
    <x v="0"/>
    <s v="PROD199"/>
    <x v="506"/>
    <n v="467.39"/>
    <n v="15"/>
    <x v="1"/>
    <s v="Scale Cross-Platform Web Services"/>
    <x v="2"/>
    <s v="Morrow, Brock and Lewis"/>
    <n v="115.21"/>
  </r>
  <r>
    <s v="ORD1507"/>
    <x v="435"/>
    <x v="0"/>
    <s v="PROD174"/>
    <x v="507"/>
    <n v="955.4"/>
    <n v="3"/>
    <x v="0"/>
    <s v="Disintermediate Scalable Bandwidth"/>
    <x v="1"/>
    <s v="Levy PLC"/>
    <n v="19.86"/>
  </r>
  <r>
    <s v="ORD1508"/>
    <x v="436"/>
    <x v="1"/>
    <s v="PROD166"/>
    <x v="508"/>
    <n v="709.02"/>
    <n v="1"/>
    <x v="0"/>
    <s v="Monetize Wireless Functionalities"/>
    <x v="2"/>
    <s v="Robinson, Rodriguez and Hernandez"/>
    <n v="162.22"/>
  </r>
  <r>
    <s v="ORD1509"/>
    <x v="291"/>
    <x v="1"/>
    <s v="PROD108"/>
    <x v="509"/>
    <n v="222.79"/>
    <n v="7"/>
    <x v="2"/>
    <s v="Synergize World-Class Networks"/>
    <x v="1"/>
    <s v="Gomez-Lawrence"/>
    <n v="72.37"/>
  </r>
  <r>
    <s v="ORD1510"/>
    <x v="437"/>
    <x v="2"/>
    <s v="PROD103"/>
    <x v="510"/>
    <n v="184.37"/>
    <n v="15"/>
    <x v="2"/>
    <s v="Monetize Collaborative Metrics"/>
    <x v="1"/>
    <s v="Ramirez-Brown"/>
    <n v="286.04000000000002"/>
  </r>
  <r>
    <s v="ORD1511"/>
    <x v="257"/>
    <x v="2"/>
    <s v="PROD183"/>
    <x v="511"/>
    <n v="852.07"/>
    <n v="3"/>
    <x v="2"/>
    <s v="Incentivize Front-End Mindshare"/>
    <x v="1"/>
    <s v="Phillips-Tran"/>
    <n v="196.86"/>
  </r>
  <r>
    <s v="ORD1512"/>
    <x v="62"/>
    <x v="1"/>
    <s v="PROD181"/>
    <x v="512"/>
    <n v="994.35"/>
    <n v="6"/>
    <x v="2"/>
    <s v="Extend Bricks-And-Clicks Niches"/>
    <x v="0"/>
    <s v="Hernandez-Rios"/>
    <n v="65.989999999999995"/>
  </r>
  <r>
    <s v="ORD1513"/>
    <x v="438"/>
    <x v="3"/>
    <s v="PROD118"/>
    <x v="513"/>
    <n v="346.8"/>
    <n v="4"/>
    <x v="2"/>
    <s v="Engineer Real-Time Architectures"/>
    <x v="2"/>
    <s v="James and Sons"/>
    <n v="127.23"/>
  </r>
  <r>
    <s v="ORD1514"/>
    <x v="439"/>
    <x v="0"/>
    <s v="PROD152"/>
    <x v="514"/>
    <n v="521.46"/>
    <n v="18"/>
    <x v="0"/>
    <s v="Reinvent Frictionless Roi"/>
    <x v="2"/>
    <s v="Bridges, Castillo and Rodriguez"/>
    <n v="253.89"/>
  </r>
  <r>
    <s v="ORD1515"/>
    <x v="440"/>
    <x v="2"/>
    <s v="PROD123"/>
    <x v="515"/>
    <n v="921.52"/>
    <n v="17"/>
    <x v="0"/>
    <s v="Redefine Real-Time Convergence"/>
    <x v="1"/>
    <s v="Hayes, Peters and Douglas"/>
    <n v="78.260000000000005"/>
  </r>
  <r>
    <s v="ORD1516"/>
    <x v="441"/>
    <x v="2"/>
    <s v="PROD117"/>
    <x v="516"/>
    <n v="580.30999999999995"/>
    <n v="20"/>
    <x v="1"/>
    <s v="Revolutionize Efficient Niches"/>
    <x v="1"/>
    <s v="Lopez-Torres"/>
    <n v="23.02"/>
  </r>
  <r>
    <s v="ORD1517"/>
    <x v="442"/>
    <x v="1"/>
    <s v="PROD180"/>
    <x v="517"/>
    <n v="74.91"/>
    <n v="2"/>
    <x v="1"/>
    <s v="Iterate Extensible Roi"/>
    <x v="0"/>
    <s v="Hill-Kelly"/>
    <n v="180"/>
  </r>
  <r>
    <s v="ORD1518"/>
    <x v="443"/>
    <x v="1"/>
    <s v="PROD193"/>
    <x v="518"/>
    <n v="162.52000000000001"/>
    <n v="9"/>
    <x v="0"/>
    <s v="Innovate Sticky Web Services"/>
    <x v="1"/>
    <s v="Friedman, Sanders and Adams"/>
    <n v="125.85"/>
  </r>
  <r>
    <s v="ORD1519"/>
    <x v="444"/>
    <x v="1"/>
    <s v="PROD115"/>
    <x v="519"/>
    <n v="33.6"/>
    <n v="10"/>
    <x v="2"/>
    <s v="Morph World-Class Synergies"/>
    <x v="1"/>
    <s v="Bryant Ltd"/>
    <n v="20.69"/>
  </r>
  <r>
    <s v="ORD1520"/>
    <x v="445"/>
    <x v="2"/>
    <s v="PROD121"/>
    <x v="520"/>
    <n v="110.15"/>
    <n v="16"/>
    <x v="2"/>
    <s v="Whiteboard B2B Content"/>
    <x v="0"/>
    <s v="Romero PLC"/>
    <n v="93.81"/>
  </r>
  <r>
    <s v="ORD1521"/>
    <x v="446"/>
    <x v="1"/>
    <s v="PROD179"/>
    <x v="521"/>
    <n v="643.99"/>
    <n v="1"/>
    <x v="2"/>
    <s v="Target Viral Methodologies"/>
    <x v="1"/>
    <s v="Alvarez, Myers and Walter"/>
    <n v="149.26"/>
  </r>
  <r>
    <s v="ORD1522"/>
    <x v="409"/>
    <x v="3"/>
    <s v="PROD113"/>
    <x v="522"/>
    <n v="942.75"/>
    <n v="8"/>
    <x v="1"/>
    <s v="Envisioneer B2B Users"/>
    <x v="0"/>
    <s v="Rogers Group"/>
    <n v="239.16"/>
  </r>
  <r>
    <s v="ORD1523"/>
    <x v="447"/>
    <x v="1"/>
    <s v="PROD117"/>
    <x v="523"/>
    <n v="257.12"/>
    <n v="14"/>
    <x v="2"/>
    <s v="Revolutionize Efficient Niches"/>
    <x v="1"/>
    <s v="Lopez-Torres"/>
    <n v="23.02"/>
  </r>
  <r>
    <s v="ORD1524"/>
    <x v="448"/>
    <x v="1"/>
    <s v="PROD134"/>
    <x v="524"/>
    <n v="854.99"/>
    <n v="14"/>
    <x v="1"/>
    <s v="Utilize Ubiquitous Synergies"/>
    <x v="1"/>
    <s v="Kramer, Huang and Shaw"/>
    <n v="295.89999999999998"/>
  </r>
  <r>
    <s v="ORD1525"/>
    <x v="275"/>
    <x v="3"/>
    <s v="PROD147"/>
    <x v="525"/>
    <n v="463.77"/>
    <n v="8"/>
    <x v="2"/>
    <s v="Brand B2C Info-Mediaries"/>
    <x v="0"/>
    <s v="Preston Ltd"/>
    <n v="13.46"/>
  </r>
  <r>
    <s v="ORD1526"/>
    <x v="449"/>
    <x v="1"/>
    <s v="PROD157"/>
    <x v="526"/>
    <n v="226.78"/>
    <n v="12"/>
    <x v="0"/>
    <s v="Implement Rich Platforms"/>
    <x v="1"/>
    <s v="Parker, Anderson and Salazar"/>
    <n v="53.59"/>
  </r>
  <r>
    <s v="ORD1527"/>
    <x v="284"/>
    <x v="3"/>
    <s v="PROD128"/>
    <x v="527"/>
    <n v="614.41999999999996"/>
    <n v="16"/>
    <x v="0"/>
    <s v="Brand Distributed Info-Mediaries"/>
    <x v="2"/>
    <s v="Garcia Ltd"/>
    <n v="114.48"/>
  </r>
  <r>
    <s v="ORD1528"/>
    <x v="146"/>
    <x v="1"/>
    <s v="PROD115"/>
    <x v="528"/>
    <n v="46.66"/>
    <n v="12"/>
    <x v="2"/>
    <s v="Morph World-Class Synergies"/>
    <x v="1"/>
    <s v="Bryant Ltd"/>
    <n v="20.69"/>
  </r>
  <r>
    <s v="ORD1529"/>
    <x v="450"/>
    <x v="2"/>
    <s v="PROD168"/>
    <x v="529"/>
    <n v="621.22"/>
    <n v="18"/>
    <x v="0"/>
    <s v="Facilitate End-To-End Experiences"/>
    <x v="0"/>
    <s v="Pierce-Goodwin"/>
    <n v="260.52999999999997"/>
  </r>
  <r>
    <s v="ORD1530"/>
    <x v="451"/>
    <x v="0"/>
    <s v="PROD152"/>
    <x v="530"/>
    <n v="517.59"/>
    <n v="14"/>
    <x v="2"/>
    <s v="Reinvent Frictionless Roi"/>
    <x v="2"/>
    <s v="Bridges, Castillo and Rodriguez"/>
    <n v="253.89"/>
  </r>
  <r>
    <s v="ORD1531"/>
    <x v="452"/>
    <x v="0"/>
    <s v="PROD158"/>
    <x v="531"/>
    <n v="467.12"/>
    <n v="8"/>
    <x v="1"/>
    <s v="Brand Web-Enabled Solutions"/>
    <x v="1"/>
    <s v="Russell Group"/>
    <n v="51.67"/>
  </r>
  <r>
    <s v="ORD1532"/>
    <x v="453"/>
    <x v="0"/>
    <s v="PROD188"/>
    <x v="532"/>
    <n v="41.89"/>
    <n v="4"/>
    <x v="2"/>
    <s v="Transition Mission-Critical Interfaces"/>
    <x v="0"/>
    <s v="Weaver Ltd"/>
    <n v="34.64"/>
  </r>
  <r>
    <s v="ORD1533"/>
    <x v="454"/>
    <x v="0"/>
    <s v="PROD125"/>
    <x v="533"/>
    <n v="629.66"/>
    <n v="3"/>
    <x v="2"/>
    <s v="Leverage Cutting-Edge Vortals"/>
    <x v="1"/>
    <s v="Robinson, Garrett and Chavez"/>
    <n v="117.3"/>
  </r>
  <r>
    <s v="ORD1534"/>
    <x v="227"/>
    <x v="3"/>
    <s v="PROD151"/>
    <x v="534"/>
    <n v="486.24"/>
    <n v="5"/>
    <x v="0"/>
    <s v="Re-Contextualize Viral Markets"/>
    <x v="1"/>
    <s v="Meadows-Barber"/>
    <n v="177.52"/>
  </r>
  <r>
    <s v="ORD1535"/>
    <x v="455"/>
    <x v="1"/>
    <s v="PROD154"/>
    <x v="535"/>
    <n v="956.32"/>
    <n v="4"/>
    <x v="1"/>
    <s v="Utilize Virtual Partnerships"/>
    <x v="2"/>
    <s v="Smith, Diaz and Heath"/>
    <n v="193.02"/>
  </r>
  <r>
    <s v="ORD1536"/>
    <x v="456"/>
    <x v="1"/>
    <s v="PROD194"/>
    <x v="536"/>
    <n v="185.14"/>
    <n v="2"/>
    <x v="2"/>
    <s v="Leverage Scalable Interfaces"/>
    <x v="0"/>
    <s v="Kaufman-Jones"/>
    <n v="73.33"/>
  </r>
  <r>
    <s v="ORD1537"/>
    <x v="356"/>
    <x v="0"/>
    <s v="PROD163"/>
    <x v="537"/>
    <n v="837.78"/>
    <n v="15"/>
    <x v="2"/>
    <s v="Grow Back-End Supply-Chains"/>
    <x v="1"/>
    <s v="Green LLC"/>
    <n v="140.08000000000001"/>
  </r>
  <r>
    <s v="ORD1538"/>
    <x v="457"/>
    <x v="1"/>
    <s v="PROD173"/>
    <x v="538"/>
    <n v="738.03"/>
    <n v="15"/>
    <x v="0"/>
    <s v="Whiteboard Sticky Content"/>
    <x v="2"/>
    <s v="Wolfe Group"/>
    <n v="82.16"/>
  </r>
  <r>
    <s v="ORD1539"/>
    <x v="344"/>
    <x v="2"/>
    <s v="PROD186"/>
    <x v="539"/>
    <n v="67.260000000000005"/>
    <n v="3"/>
    <x v="1"/>
    <s v="Reinvent Mission-Critical Markets"/>
    <x v="2"/>
    <s v="Gilbert-Sanders"/>
    <n v="154.21"/>
  </r>
  <r>
    <s v="ORD1540"/>
    <x v="448"/>
    <x v="2"/>
    <s v="PROD191"/>
    <x v="540"/>
    <n v="501.88"/>
    <n v="8"/>
    <x v="2"/>
    <s v="Synergize Frictionless Synergies"/>
    <x v="2"/>
    <s v="Hester and Sons"/>
    <n v="289.06"/>
  </r>
  <r>
    <s v="ORD1541"/>
    <x v="458"/>
    <x v="1"/>
    <s v="PROD130"/>
    <x v="541"/>
    <n v="623.6"/>
    <n v="7"/>
    <x v="2"/>
    <s v="Synthesize Wireless Initiatives"/>
    <x v="1"/>
    <s v="Mosley Ltd"/>
    <n v="162.69999999999999"/>
  </r>
  <r>
    <s v="ORD1542"/>
    <x v="63"/>
    <x v="0"/>
    <s v="PROD108"/>
    <x v="542"/>
    <n v="938.05"/>
    <n v="18"/>
    <x v="2"/>
    <s v="Synergize World-Class Networks"/>
    <x v="1"/>
    <s v="Gomez-Lawrence"/>
    <n v="72.37"/>
  </r>
  <r>
    <s v="ORD1543"/>
    <x v="459"/>
    <x v="3"/>
    <s v="PROD125"/>
    <x v="543"/>
    <n v="891.31"/>
    <n v="18"/>
    <x v="2"/>
    <s v="Leverage Cutting-Edge Vortals"/>
    <x v="1"/>
    <s v="Robinson, Garrett and Chavez"/>
    <n v="117.3"/>
  </r>
  <r>
    <s v="ORD1544"/>
    <x v="460"/>
    <x v="3"/>
    <s v="PROD117"/>
    <x v="544"/>
    <n v="452.17"/>
    <n v="3"/>
    <x v="1"/>
    <s v="Revolutionize Efficient Niches"/>
    <x v="1"/>
    <s v="Lopez-Torres"/>
    <n v="23.02"/>
  </r>
  <r>
    <s v="ORD1545"/>
    <x v="461"/>
    <x v="3"/>
    <s v="PROD182"/>
    <x v="545"/>
    <n v="217.68"/>
    <n v="16"/>
    <x v="2"/>
    <s v="Strategize Best-Of-Breed Web-Readiness"/>
    <x v="0"/>
    <s v="Morris, King and Ayers"/>
    <n v="220.16"/>
  </r>
  <r>
    <s v="ORD1546"/>
    <x v="462"/>
    <x v="3"/>
    <s v="PROD192"/>
    <x v="546"/>
    <n v="884.44"/>
    <n v="13"/>
    <x v="1"/>
    <s v="Drive Compelling E-Services"/>
    <x v="0"/>
    <s v="Morris-Villanueva"/>
    <n v="27.22"/>
  </r>
  <r>
    <s v="ORD1547"/>
    <x v="13"/>
    <x v="1"/>
    <s v="PROD134"/>
    <x v="547"/>
    <n v="848.91"/>
    <n v="10"/>
    <x v="2"/>
    <s v="Utilize Ubiquitous Synergies"/>
    <x v="1"/>
    <s v="Kramer, Huang and Shaw"/>
    <n v="295.89999999999998"/>
  </r>
  <r>
    <s v="ORD1548"/>
    <x v="172"/>
    <x v="0"/>
    <s v="PROD136"/>
    <x v="548"/>
    <n v="902.62"/>
    <n v="6"/>
    <x v="0"/>
    <s v="Evolve Innovative Web Services"/>
    <x v="2"/>
    <s v="Bush Inc"/>
    <n v="87.75"/>
  </r>
  <r>
    <s v="ORD1549"/>
    <x v="102"/>
    <x v="1"/>
    <s v="PROD138"/>
    <x v="549"/>
    <n v="484.63"/>
    <n v="13"/>
    <x v="2"/>
    <s v="Deliver Viral Eyeballs"/>
    <x v="0"/>
    <s v="Estes, Chan and Thomas"/>
    <n v="16.89"/>
  </r>
  <r>
    <s v="ORD1550"/>
    <x v="246"/>
    <x v="0"/>
    <s v="PROD102"/>
    <x v="550"/>
    <n v="381.01"/>
    <n v="9"/>
    <x v="0"/>
    <s v="Optimize Transparent E-Markets"/>
    <x v="0"/>
    <s v="Lee, Tyler and Blevins"/>
    <n v="111.22"/>
  </r>
  <r>
    <s v="ORD1551"/>
    <x v="115"/>
    <x v="3"/>
    <s v="PROD151"/>
    <x v="551"/>
    <n v="322.60000000000002"/>
    <n v="8"/>
    <x v="1"/>
    <s v="Re-Contextualize Viral Markets"/>
    <x v="1"/>
    <s v="Meadows-Barber"/>
    <n v="177.52"/>
  </r>
  <r>
    <s v="ORD1552"/>
    <x v="463"/>
    <x v="1"/>
    <s v="PROD175"/>
    <x v="552"/>
    <n v="435.43"/>
    <n v="4"/>
    <x v="1"/>
    <s v="Empower Bleeding-Edge Action-Items"/>
    <x v="2"/>
    <s v="Gray, Hayes and Banks"/>
    <n v="204.26"/>
  </r>
  <r>
    <s v="ORD1553"/>
    <x v="316"/>
    <x v="2"/>
    <s v="PROD156"/>
    <x v="553"/>
    <n v="115.69"/>
    <n v="15"/>
    <x v="0"/>
    <s v="Empower Killer Info-Mediaries"/>
    <x v="2"/>
    <s v="Jones Ltd"/>
    <n v="213.24"/>
  </r>
  <r>
    <s v="ORD1554"/>
    <x v="464"/>
    <x v="0"/>
    <s v="PROD188"/>
    <x v="554"/>
    <n v="617.79999999999995"/>
    <n v="5"/>
    <x v="0"/>
    <s v="Transition Mission-Critical Interfaces"/>
    <x v="0"/>
    <s v="Weaver Ltd"/>
    <n v="34.64"/>
  </r>
  <r>
    <s v="ORD1555"/>
    <x v="277"/>
    <x v="2"/>
    <s v="PROD187"/>
    <x v="555"/>
    <n v="680.24"/>
    <n v="2"/>
    <x v="0"/>
    <s v="Whiteboard Compelling Experiences"/>
    <x v="2"/>
    <s v="Carrillo, Carr and Ball"/>
    <n v="206.54"/>
  </r>
  <r>
    <s v="ORD1556"/>
    <x v="465"/>
    <x v="3"/>
    <s v="PROD113"/>
    <x v="556"/>
    <n v="387.59"/>
    <n v="18"/>
    <x v="1"/>
    <s v="Envisioneer B2B Users"/>
    <x v="0"/>
    <s v="Rogers Group"/>
    <n v="239.16"/>
  </r>
  <r>
    <s v="ORD1557"/>
    <x v="466"/>
    <x v="3"/>
    <s v="PROD157"/>
    <x v="557"/>
    <n v="71.930000000000007"/>
    <n v="20"/>
    <x v="1"/>
    <s v="Implement Rich Platforms"/>
    <x v="1"/>
    <s v="Parker, Anderson and Salazar"/>
    <n v="53.59"/>
  </r>
  <r>
    <s v="ORD1558"/>
    <x v="467"/>
    <x v="2"/>
    <s v="PROD110"/>
    <x v="558"/>
    <n v="631.45000000000005"/>
    <n v="16"/>
    <x v="0"/>
    <s v="E-Enable Holistic Supply-Chains"/>
    <x v="2"/>
    <s v="Lin-Mcdaniel"/>
    <n v="160.33000000000001"/>
  </r>
  <r>
    <s v="ORD1559"/>
    <x v="468"/>
    <x v="2"/>
    <s v="PROD140"/>
    <x v="559"/>
    <n v="385.31"/>
    <n v="20"/>
    <x v="1"/>
    <s v="Extend Bricks-And-Clicks Architectures"/>
    <x v="2"/>
    <s v="Fuller PLC"/>
    <n v="202.99"/>
  </r>
  <r>
    <s v="ORD1560"/>
    <x v="469"/>
    <x v="1"/>
    <s v="PROD180"/>
    <x v="560"/>
    <n v="206.47"/>
    <n v="20"/>
    <x v="1"/>
    <s v="Iterate Extensible Roi"/>
    <x v="0"/>
    <s v="Hill-Kelly"/>
    <n v="180"/>
  </r>
  <r>
    <s v="ORD1561"/>
    <x v="336"/>
    <x v="3"/>
    <s v="PROD139"/>
    <x v="561"/>
    <n v="424.44"/>
    <n v="19"/>
    <x v="1"/>
    <s v="Re-Contextualize Viral Mindshare"/>
    <x v="1"/>
    <s v="Carter-Lane"/>
    <n v="142.25"/>
  </r>
  <r>
    <s v="ORD1562"/>
    <x v="15"/>
    <x v="2"/>
    <s v="PROD157"/>
    <x v="562"/>
    <n v="194.7"/>
    <n v="17"/>
    <x v="2"/>
    <s v="Implement Rich Platforms"/>
    <x v="1"/>
    <s v="Parker, Anderson and Salazar"/>
    <n v="53.59"/>
  </r>
  <r>
    <s v="ORD1563"/>
    <x v="470"/>
    <x v="1"/>
    <s v="PROD107"/>
    <x v="563"/>
    <n v="903.9"/>
    <n v="14"/>
    <x v="2"/>
    <s v="Utilize Back-End Models"/>
    <x v="2"/>
    <s v="Lewis-Holden"/>
    <n v="241.53"/>
  </r>
  <r>
    <s v="ORD1564"/>
    <x v="471"/>
    <x v="3"/>
    <s v="PROD192"/>
    <x v="564"/>
    <n v="850.59"/>
    <n v="18"/>
    <x v="1"/>
    <s v="Drive Compelling E-Services"/>
    <x v="0"/>
    <s v="Morris-Villanueva"/>
    <n v="27.22"/>
  </r>
  <r>
    <s v="ORD1565"/>
    <x v="8"/>
    <x v="0"/>
    <s v="PROD128"/>
    <x v="565"/>
    <n v="685.85"/>
    <n v="3"/>
    <x v="0"/>
    <s v="Brand Distributed Info-Mediaries"/>
    <x v="2"/>
    <s v="Garcia Ltd"/>
    <n v="114.48"/>
  </r>
  <r>
    <s v="ORD1566"/>
    <x v="472"/>
    <x v="2"/>
    <s v="PROD186"/>
    <x v="566"/>
    <n v="421.88"/>
    <n v="6"/>
    <x v="0"/>
    <s v="Reinvent Mission-Critical Markets"/>
    <x v="2"/>
    <s v="Gilbert-Sanders"/>
    <n v="154.21"/>
  </r>
  <r>
    <s v="ORD1567"/>
    <x v="113"/>
    <x v="2"/>
    <s v="PROD137"/>
    <x v="567"/>
    <n v="336.47"/>
    <n v="16"/>
    <x v="0"/>
    <s v="Optimize Collaborative Initiatives"/>
    <x v="1"/>
    <s v="Adkins Ltd"/>
    <n v="34.46"/>
  </r>
  <r>
    <s v="ORD1568"/>
    <x v="473"/>
    <x v="2"/>
    <s v="PROD128"/>
    <x v="568"/>
    <n v="350.24"/>
    <n v="15"/>
    <x v="2"/>
    <s v="Brand Distributed Info-Mediaries"/>
    <x v="2"/>
    <s v="Garcia Ltd"/>
    <n v="114.48"/>
  </r>
  <r>
    <s v="ORD1569"/>
    <x v="474"/>
    <x v="1"/>
    <s v="PROD181"/>
    <x v="569"/>
    <n v="354.91"/>
    <n v="20"/>
    <x v="2"/>
    <s v="Extend Bricks-And-Clicks Niches"/>
    <x v="0"/>
    <s v="Hernandez-Rios"/>
    <n v="65.989999999999995"/>
  </r>
  <r>
    <s v="ORD1570"/>
    <x v="418"/>
    <x v="0"/>
    <s v="PROD118"/>
    <x v="570"/>
    <n v="150.09"/>
    <n v="3"/>
    <x v="1"/>
    <s v="Engineer Real-Time Architectures"/>
    <x v="2"/>
    <s v="James and Sons"/>
    <n v="127.23"/>
  </r>
  <r>
    <s v="ORD1571"/>
    <x v="394"/>
    <x v="3"/>
    <s v="PROD110"/>
    <x v="571"/>
    <n v="484.24"/>
    <n v="7"/>
    <x v="0"/>
    <s v="E-Enable Holistic Supply-Chains"/>
    <x v="2"/>
    <s v="Lin-Mcdaniel"/>
    <n v="160.33000000000001"/>
  </r>
  <r>
    <s v="ORD1572"/>
    <x v="425"/>
    <x v="2"/>
    <s v="PROD199"/>
    <x v="572"/>
    <n v="515.19000000000005"/>
    <n v="12"/>
    <x v="0"/>
    <s v="Scale Cross-Platform Web Services"/>
    <x v="2"/>
    <s v="Morrow, Brock and Lewis"/>
    <n v="115.21"/>
  </r>
  <r>
    <s v="ORD1573"/>
    <x v="448"/>
    <x v="0"/>
    <s v="PROD173"/>
    <x v="573"/>
    <n v="533.63"/>
    <n v="11"/>
    <x v="1"/>
    <s v="Whiteboard Sticky Content"/>
    <x v="2"/>
    <s v="Wolfe Group"/>
    <n v="82.16"/>
  </r>
  <r>
    <s v="ORD1574"/>
    <x v="23"/>
    <x v="1"/>
    <s v="PROD166"/>
    <x v="574"/>
    <n v="746.09"/>
    <n v="14"/>
    <x v="2"/>
    <s v="Monetize Wireless Functionalities"/>
    <x v="2"/>
    <s v="Robinson, Rodriguez and Hernandez"/>
    <n v="162.22"/>
  </r>
  <r>
    <s v="ORD1575"/>
    <x v="475"/>
    <x v="1"/>
    <s v="PROD117"/>
    <x v="575"/>
    <n v="497.5"/>
    <n v="16"/>
    <x v="2"/>
    <s v="Revolutionize Efficient Niches"/>
    <x v="1"/>
    <s v="Lopez-Torres"/>
    <n v="23.02"/>
  </r>
  <r>
    <s v="ORD1576"/>
    <x v="476"/>
    <x v="0"/>
    <s v="PROD119"/>
    <x v="576"/>
    <n v="363.5"/>
    <n v="12"/>
    <x v="0"/>
    <s v="Generate Front-End Functionalities"/>
    <x v="0"/>
    <s v="Morales-Brown"/>
    <n v="299.77"/>
  </r>
  <r>
    <s v="ORD1577"/>
    <x v="411"/>
    <x v="0"/>
    <s v="PROD196"/>
    <x v="577"/>
    <n v="745.13"/>
    <n v="13"/>
    <x v="0"/>
    <s v="Strategize E-Business Content"/>
    <x v="1"/>
    <s v="Patterson LLC"/>
    <n v="294.02"/>
  </r>
  <r>
    <s v="ORD1578"/>
    <x v="477"/>
    <x v="3"/>
    <s v="PROD174"/>
    <x v="578"/>
    <n v="74.22"/>
    <n v="9"/>
    <x v="0"/>
    <s v="Disintermediate Scalable Bandwidth"/>
    <x v="1"/>
    <s v="Levy PLC"/>
    <n v="19.86"/>
  </r>
  <r>
    <s v="ORD1579"/>
    <x v="125"/>
    <x v="2"/>
    <s v="PROD130"/>
    <x v="579"/>
    <n v="158.79"/>
    <n v="11"/>
    <x v="0"/>
    <s v="Synthesize Wireless Initiatives"/>
    <x v="1"/>
    <s v="Mosley Ltd"/>
    <n v="162.69999999999999"/>
  </r>
  <r>
    <s v="ORD1580"/>
    <x v="154"/>
    <x v="1"/>
    <s v="PROD163"/>
    <x v="580"/>
    <n v="540.1"/>
    <n v="5"/>
    <x v="1"/>
    <s v="Grow Back-End Supply-Chains"/>
    <x v="1"/>
    <s v="Green LLC"/>
    <n v="140.08000000000001"/>
  </r>
  <r>
    <s v="ORD1581"/>
    <x v="373"/>
    <x v="0"/>
    <s v="PROD177"/>
    <x v="581"/>
    <n v="287.97000000000003"/>
    <n v="6"/>
    <x v="2"/>
    <s v="Deploy Granular Channels"/>
    <x v="2"/>
    <s v="Barnes Ltd"/>
    <n v="288.99"/>
  </r>
  <r>
    <s v="ORD1582"/>
    <x v="478"/>
    <x v="2"/>
    <s v="PROD188"/>
    <x v="582"/>
    <n v="717.42"/>
    <n v="1"/>
    <x v="2"/>
    <s v="Transition Mission-Critical Interfaces"/>
    <x v="0"/>
    <s v="Weaver Ltd"/>
    <n v="34.64"/>
  </r>
  <r>
    <s v="ORD1583"/>
    <x v="479"/>
    <x v="3"/>
    <s v="PROD159"/>
    <x v="583"/>
    <n v="929.65"/>
    <n v="17"/>
    <x v="0"/>
    <s v="Mesh Intuitive Supply-Chains"/>
    <x v="1"/>
    <s v="Soto, Barnett and Heath"/>
    <n v="281"/>
  </r>
  <r>
    <s v="ORD1584"/>
    <x v="480"/>
    <x v="1"/>
    <s v="PROD134"/>
    <x v="584"/>
    <n v="884.3"/>
    <n v="3"/>
    <x v="0"/>
    <s v="Utilize Ubiquitous Synergies"/>
    <x v="1"/>
    <s v="Kramer, Huang and Shaw"/>
    <n v="295.89999999999998"/>
  </r>
  <r>
    <s v="ORD1585"/>
    <x v="481"/>
    <x v="3"/>
    <s v="PROD125"/>
    <x v="585"/>
    <n v="759.7"/>
    <n v="1"/>
    <x v="0"/>
    <s v="Leverage Cutting-Edge Vortals"/>
    <x v="1"/>
    <s v="Robinson, Garrett and Chavez"/>
    <n v="117.3"/>
  </r>
  <r>
    <s v="ORD1586"/>
    <x v="482"/>
    <x v="2"/>
    <s v="PROD124"/>
    <x v="586"/>
    <n v="929.51"/>
    <n v="5"/>
    <x v="2"/>
    <s v="Incubate Real-Time E-Tailers"/>
    <x v="1"/>
    <s v="Johnson-Riley"/>
    <n v="86.67"/>
  </r>
  <r>
    <s v="ORD1587"/>
    <x v="375"/>
    <x v="1"/>
    <s v="PROD117"/>
    <x v="587"/>
    <n v="425.23"/>
    <n v="15"/>
    <x v="0"/>
    <s v="Revolutionize Efficient Niches"/>
    <x v="1"/>
    <s v="Lopez-Torres"/>
    <n v="23.02"/>
  </r>
  <r>
    <s v="ORD1588"/>
    <x v="420"/>
    <x v="0"/>
    <s v="PROD100"/>
    <x v="588"/>
    <n v="871.93"/>
    <n v="16"/>
    <x v="0"/>
    <s v="Synthesize Scalable Portals"/>
    <x v="2"/>
    <s v="Singh, Villa and Flynn"/>
    <n v="298.57"/>
  </r>
  <r>
    <s v="ORD1589"/>
    <x v="483"/>
    <x v="2"/>
    <s v="PROD139"/>
    <x v="589"/>
    <n v="29.04"/>
    <n v="1"/>
    <x v="2"/>
    <s v="Re-Contextualize Viral Mindshare"/>
    <x v="1"/>
    <s v="Carter-Lane"/>
    <n v="142.25"/>
  </r>
  <r>
    <s v="ORD1590"/>
    <x v="188"/>
    <x v="0"/>
    <s v="PROD138"/>
    <x v="590"/>
    <n v="575.58000000000004"/>
    <n v="4"/>
    <x v="0"/>
    <s v="Deliver Viral Eyeballs"/>
    <x v="0"/>
    <s v="Estes, Chan and Thomas"/>
    <n v="16.89"/>
  </r>
  <r>
    <s v="ORD1591"/>
    <x v="113"/>
    <x v="3"/>
    <s v="PROD108"/>
    <x v="591"/>
    <n v="732.51"/>
    <n v="15"/>
    <x v="2"/>
    <s v="Synergize World-Class Networks"/>
    <x v="1"/>
    <s v="Gomez-Lawrence"/>
    <n v="72.37"/>
  </r>
  <r>
    <s v="ORD1592"/>
    <x v="113"/>
    <x v="1"/>
    <s v="PROD156"/>
    <x v="592"/>
    <n v="100.28"/>
    <n v="13"/>
    <x v="1"/>
    <s v="Empower Killer Info-Mediaries"/>
    <x v="2"/>
    <s v="Jones Ltd"/>
    <n v="213.24"/>
  </r>
  <r>
    <s v="ORD1593"/>
    <x v="484"/>
    <x v="1"/>
    <s v="PROD198"/>
    <x v="593"/>
    <n v="46.47"/>
    <n v="20"/>
    <x v="0"/>
    <s v="Visualize Dynamic E-Commerce"/>
    <x v="2"/>
    <s v="Jones LLC"/>
    <n v="92.61"/>
  </r>
  <r>
    <s v="ORD1594"/>
    <x v="485"/>
    <x v="0"/>
    <s v="PROD191"/>
    <x v="594"/>
    <n v="877.46"/>
    <n v="4"/>
    <x v="0"/>
    <s v="Synergize Frictionless Synergies"/>
    <x v="2"/>
    <s v="Hester and Sons"/>
    <n v="289.06"/>
  </r>
  <r>
    <s v="ORD1595"/>
    <x v="130"/>
    <x v="3"/>
    <s v="PROD159"/>
    <x v="595"/>
    <n v="190.82"/>
    <n v="5"/>
    <x v="0"/>
    <s v="Mesh Intuitive Supply-Chains"/>
    <x v="1"/>
    <s v="Soto, Barnett and Heath"/>
    <n v="281"/>
  </r>
  <r>
    <s v="ORD1596"/>
    <x v="241"/>
    <x v="3"/>
    <s v="PROD129"/>
    <x v="596"/>
    <n v="862.37"/>
    <n v="18"/>
    <x v="2"/>
    <s v="Scale Vertical Networks"/>
    <x v="2"/>
    <s v="Lam, Wood and Jacobs"/>
    <n v="133.24"/>
  </r>
  <r>
    <s v="ORD1597"/>
    <x v="486"/>
    <x v="2"/>
    <s v="PROD116"/>
    <x v="597"/>
    <n v="783.93"/>
    <n v="9"/>
    <x v="0"/>
    <s v="Synergize Cross-Platform Vortals"/>
    <x v="2"/>
    <s v="Edwards Group"/>
    <n v="87.18"/>
  </r>
  <r>
    <s v="ORD1598"/>
    <x v="487"/>
    <x v="1"/>
    <s v="PROD151"/>
    <x v="598"/>
    <n v="636.66999999999996"/>
    <n v="20"/>
    <x v="0"/>
    <s v="Re-Contextualize Viral Markets"/>
    <x v="1"/>
    <s v="Meadows-Barber"/>
    <n v="177.52"/>
  </r>
  <r>
    <s v="ORD1599"/>
    <x v="488"/>
    <x v="3"/>
    <s v="PROD156"/>
    <x v="599"/>
    <n v="718.3"/>
    <n v="15"/>
    <x v="2"/>
    <s v="Empower Killer Info-Mediaries"/>
    <x v="2"/>
    <s v="Jones Ltd"/>
    <n v="213.24"/>
  </r>
  <r>
    <s v="ORD1600"/>
    <x v="489"/>
    <x v="1"/>
    <s v="PROD150"/>
    <x v="600"/>
    <n v="213.25"/>
    <n v="18"/>
    <x v="0"/>
    <s v="Evolve Intuitive Bandwidth"/>
    <x v="0"/>
    <s v="Rogers Group"/>
    <n v="131.63"/>
  </r>
  <r>
    <s v="ORD1601"/>
    <x v="3"/>
    <x v="3"/>
    <s v="PROD193"/>
    <x v="601"/>
    <n v="23.04"/>
    <n v="11"/>
    <x v="2"/>
    <s v="Innovate Sticky Web Services"/>
    <x v="1"/>
    <s v="Friedman, Sanders and Adams"/>
    <n v="125.85"/>
  </r>
  <r>
    <s v="ORD1602"/>
    <x v="490"/>
    <x v="0"/>
    <s v="PROD120"/>
    <x v="602"/>
    <n v="452.42"/>
    <n v="15"/>
    <x v="0"/>
    <s v="Mesh B2B Platforms"/>
    <x v="2"/>
    <s v="Stevens, Walton and Riddle"/>
    <n v="236.57"/>
  </r>
  <r>
    <s v="ORD1603"/>
    <x v="491"/>
    <x v="3"/>
    <s v="PROD103"/>
    <x v="603"/>
    <n v="443.78"/>
    <n v="20"/>
    <x v="1"/>
    <s v="Monetize Collaborative Metrics"/>
    <x v="1"/>
    <s v="Ramirez-Brown"/>
    <n v="286.04000000000002"/>
  </r>
  <r>
    <s v="ORD1604"/>
    <x v="492"/>
    <x v="2"/>
    <s v="PROD122"/>
    <x v="604"/>
    <n v="192.64"/>
    <n v="8"/>
    <x v="0"/>
    <s v="Empower Dot-Com Deliverables"/>
    <x v="1"/>
    <s v="Davis LLC"/>
    <n v="250.66"/>
  </r>
  <r>
    <s v="ORD1605"/>
    <x v="493"/>
    <x v="3"/>
    <s v="PROD183"/>
    <x v="605"/>
    <n v="642.35"/>
    <n v="14"/>
    <x v="2"/>
    <s v="Incentivize Front-End Mindshare"/>
    <x v="1"/>
    <s v="Phillips-Tran"/>
    <n v="196.86"/>
  </r>
  <r>
    <s v="ORD1606"/>
    <x v="494"/>
    <x v="3"/>
    <s v="PROD128"/>
    <x v="606"/>
    <n v="427.21"/>
    <n v="16"/>
    <x v="0"/>
    <s v="Brand Distributed Info-Mediaries"/>
    <x v="2"/>
    <s v="Garcia Ltd"/>
    <n v="114.48"/>
  </r>
  <r>
    <s v="ORD1607"/>
    <x v="495"/>
    <x v="0"/>
    <s v="PROD144"/>
    <x v="607"/>
    <n v="429.68"/>
    <n v="2"/>
    <x v="2"/>
    <s v="Expedite Synergistic Web-Readiness"/>
    <x v="1"/>
    <s v="Dunlap, Carpenter and Monroe"/>
    <n v="289.66000000000003"/>
  </r>
  <r>
    <s v="ORD1608"/>
    <x v="496"/>
    <x v="2"/>
    <s v="PROD122"/>
    <x v="608"/>
    <n v="634.74"/>
    <n v="9"/>
    <x v="0"/>
    <s v="Empower Dot-Com Deliverables"/>
    <x v="1"/>
    <s v="Davis LLC"/>
    <n v="250.66"/>
  </r>
  <r>
    <s v="ORD1609"/>
    <x v="497"/>
    <x v="2"/>
    <s v="PROD137"/>
    <x v="609"/>
    <n v="693.13"/>
    <n v="6"/>
    <x v="0"/>
    <s v="Optimize Collaborative Initiatives"/>
    <x v="1"/>
    <s v="Adkins Ltd"/>
    <n v="34.46"/>
  </r>
  <r>
    <s v="ORD1610"/>
    <x v="230"/>
    <x v="3"/>
    <s v="PROD111"/>
    <x v="610"/>
    <n v="490.38"/>
    <n v="19"/>
    <x v="0"/>
    <s v="Harness Revolutionary Interfaces"/>
    <x v="2"/>
    <s v="Davis, Short and Nguyen"/>
    <n v="26.49"/>
  </r>
  <r>
    <s v="ORD1611"/>
    <x v="443"/>
    <x v="2"/>
    <s v="PROD150"/>
    <x v="611"/>
    <n v="775.08"/>
    <n v="2"/>
    <x v="2"/>
    <s v="Evolve Intuitive Bandwidth"/>
    <x v="0"/>
    <s v="Rogers Group"/>
    <n v="131.63"/>
  </r>
  <r>
    <s v="ORD1612"/>
    <x v="498"/>
    <x v="0"/>
    <s v="PROD136"/>
    <x v="612"/>
    <n v="569.89"/>
    <n v="3"/>
    <x v="2"/>
    <s v="Evolve Innovative Web Services"/>
    <x v="2"/>
    <s v="Bush Inc"/>
    <n v="87.75"/>
  </r>
  <r>
    <s v="ORD1613"/>
    <x v="499"/>
    <x v="2"/>
    <s v="PROD194"/>
    <x v="613"/>
    <n v="414.87"/>
    <n v="14"/>
    <x v="0"/>
    <s v="Leverage Scalable Interfaces"/>
    <x v="0"/>
    <s v="Kaufman-Jones"/>
    <n v="73.33"/>
  </r>
  <r>
    <s v="ORD1614"/>
    <x v="500"/>
    <x v="3"/>
    <s v="PROD115"/>
    <x v="614"/>
    <n v="121.01"/>
    <n v="1"/>
    <x v="2"/>
    <s v="Morph World-Class Synergies"/>
    <x v="1"/>
    <s v="Bryant Ltd"/>
    <n v="20.69"/>
  </r>
  <r>
    <s v="ORD1615"/>
    <x v="501"/>
    <x v="1"/>
    <s v="PROD114"/>
    <x v="615"/>
    <n v="516.82000000000005"/>
    <n v="15"/>
    <x v="0"/>
    <s v="Orchestrate User-Centric Platforms"/>
    <x v="2"/>
    <s v="Wells Ltd"/>
    <n v="201.87"/>
  </r>
  <r>
    <s v="ORD1616"/>
    <x v="502"/>
    <x v="0"/>
    <s v="PROD115"/>
    <x v="616"/>
    <n v="292.95999999999998"/>
    <n v="13"/>
    <x v="0"/>
    <s v="Morph World-Class Synergies"/>
    <x v="1"/>
    <s v="Bryant Ltd"/>
    <n v="20.69"/>
  </r>
  <r>
    <s v="ORD1617"/>
    <x v="235"/>
    <x v="3"/>
    <s v="PROD120"/>
    <x v="617"/>
    <n v="748.75"/>
    <n v="12"/>
    <x v="1"/>
    <s v="Mesh B2B Platforms"/>
    <x v="2"/>
    <s v="Stevens, Walton and Riddle"/>
    <n v="236.57"/>
  </r>
  <r>
    <s v="ORD1618"/>
    <x v="503"/>
    <x v="1"/>
    <s v="PROD119"/>
    <x v="618"/>
    <n v="305.08999999999997"/>
    <n v="2"/>
    <x v="1"/>
    <s v="Generate Front-End Functionalities"/>
    <x v="0"/>
    <s v="Morales-Brown"/>
    <n v="299.77"/>
  </r>
  <r>
    <s v="ORD1619"/>
    <x v="504"/>
    <x v="2"/>
    <s v="PROD152"/>
    <x v="619"/>
    <n v="378.52"/>
    <n v="5"/>
    <x v="1"/>
    <s v="Reinvent Frictionless Roi"/>
    <x v="2"/>
    <s v="Bridges, Castillo and Rodriguez"/>
    <n v="253.89"/>
  </r>
  <r>
    <s v="ORD1620"/>
    <x v="505"/>
    <x v="1"/>
    <s v="PROD140"/>
    <x v="620"/>
    <n v="999.06"/>
    <n v="12"/>
    <x v="0"/>
    <s v="Extend Bricks-And-Clicks Architectures"/>
    <x v="2"/>
    <s v="Fuller PLC"/>
    <n v="202.99"/>
  </r>
  <r>
    <s v="ORD1621"/>
    <x v="506"/>
    <x v="2"/>
    <s v="PROD178"/>
    <x v="621"/>
    <n v="546.91"/>
    <n v="20"/>
    <x v="1"/>
    <s v="Monetize Value-Added Niches"/>
    <x v="0"/>
    <s v="Foster, Velazquez and Lee"/>
    <n v="171.51"/>
  </r>
  <r>
    <s v="ORD1622"/>
    <x v="507"/>
    <x v="0"/>
    <s v="PROD168"/>
    <x v="622"/>
    <n v="935.52"/>
    <n v="2"/>
    <x v="0"/>
    <s v="Facilitate End-To-End Experiences"/>
    <x v="0"/>
    <s v="Pierce-Goodwin"/>
    <n v="260.52999999999997"/>
  </r>
  <r>
    <s v="ORD1623"/>
    <x v="508"/>
    <x v="1"/>
    <s v="PROD197"/>
    <x v="623"/>
    <n v="106.15"/>
    <n v="6"/>
    <x v="1"/>
    <s v="Leverage Rich Portals"/>
    <x v="0"/>
    <s v="Wilson PLC"/>
    <n v="46.35"/>
  </r>
  <r>
    <s v="ORD1624"/>
    <x v="509"/>
    <x v="3"/>
    <s v="PROD162"/>
    <x v="624"/>
    <n v="632.02"/>
    <n v="6"/>
    <x v="2"/>
    <s v="Reinvent Visionary Niches"/>
    <x v="2"/>
    <s v="Huber-Richmond"/>
    <n v="219.81"/>
  </r>
  <r>
    <s v="ORD1625"/>
    <x v="510"/>
    <x v="1"/>
    <s v="PROD108"/>
    <x v="625"/>
    <n v="575.74"/>
    <n v="2"/>
    <x v="2"/>
    <s v="Synergize World-Class Networks"/>
    <x v="1"/>
    <s v="Gomez-Lawrence"/>
    <n v="72.37"/>
  </r>
  <r>
    <s v="ORD1626"/>
    <x v="511"/>
    <x v="3"/>
    <s v="PROD181"/>
    <x v="626"/>
    <n v="998.42"/>
    <n v="14"/>
    <x v="1"/>
    <s v="Extend Bricks-And-Clicks Niches"/>
    <x v="0"/>
    <s v="Hernandez-Rios"/>
    <n v="65.989999999999995"/>
  </r>
  <r>
    <s v="ORD1627"/>
    <x v="512"/>
    <x v="1"/>
    <s v="PROD104"/>
    <x v="627"/>
    <n v="660.24"/>
    <n v="7"/>
    <x v="2"/>
    <s v="Implement Clicks-And-Mortar Partnerships"/>
    <x v="1"/>
    <s v="Smith Inc"/>
    <n v="195.53"/>
  </r>
  <r>
    <s v="ORD1628"/>
    <x v="513"/>
    <x v="1"/>
    <s v="PROD156"/>
    <x v="628"/>
    <n v="189.02"/>
    <n v="9"/>
    <x v="1"/>
    <s v="Empower Killer Info-Mediaries"/>
    <x v="2"/>
    <s v="Jones Ltd"/>
    <n v="213.24"/>
  </r>
  <r>
    <s v="ORD1629"/>
    <x v="514"/>
    <x v="2"/>
    <s v="PROD156"/>
    <x v="629"/>
    <n v="885.35"/>
    <n v="18"/>
    <x v="2"/>
    <s v="Empower Killer Info-Mediaries"/>
    <x v="2"/>
    <s v="Jones Ltd"/>
    <n v="213.24"/>
  </r>
  <r>
    <s v="ORD1630"/>
    <x v="515"/>
    <x v="1"/>
    <s v="PROD147"/>
    <x v="630"/>
    <n v="648.05999999999995"/>
    <n v="9"/>
    <x v="0"/>
    <s v="Brand B2C Info-Mediaries"/>
    <x v="0"/>
    <s v="Preston Ltd"/>
    <n v="13.46"/>
  </r>
  <r>
    <s v="ORD1631"/>
    <x v="516"/>
    <x v="2"/>
    <s v="PROD144"/>
    <x v="631"/>
    <n v="221.78"/>
    <n v="6"/>
    <x v="2"/>
    <s v="Expedite Synergistic Web-Readiness"/>
    <x v="1"/>
    <s v="Dunlap, Carpenter and Monroe"/>
    <n v="289.66000000000003"/>
  </r>
  <r>
    <s v="ORD1632"/>
    <x v="517"/>
    <x v="2"/>
    <s v="PROD170"/>
    <x v="632"/>
    <n v="315.07"/>
    <n v="11"/>
    <x v="1"/>
    <s v="Deliver Sticky Networks"/>
    <x v="2"/>
    <s v="Massey LLC"/>
    <n v="272.33"/>
  </r>
  <r>
    <s v="ORD1633"/>
    <x v="94"/>
    <x v="0"/>
    <s v="PROD113"/>
    <x v="633"/>
    <n v="250.97"/>
    <n v="20"/>
    <x v="1"/>
    <s v="Envisioneer B2B Users"/>
    <x v="0"/>
    <s v="Rogers Group"/>
    <n v="239.16"/>
  </r>
  <r>
    <s v="ORD1634"/>
    <x v="456"/>
    <x v="2"/>
    <s v="PROD151"/>
    <x v="634"/>
    <n v="408.14"/>
    <n v="16"/>
    <x v="1"/>
    <s v="Re-Contextualize Viral Markets"/>
    <x v="1"/>
    <s v="Meadows-Barber"/>
    <n v="177.52"/>
  </r>
  <r>
    <s v="ORD1635"/>
    <x v="518"/>
    <x v="1"/>
    <s v="PROD155"/>
    <x v="635"/>
    <n v="118.86"/>
    <n v="12"/>
    <x v="1"/>
    <s v="Incentivize User-Centric Mindshare"/>
    <x v="1"/>
    <s v="Becker, Wright and Wong"/>
    <n v="38.51"/>
  </r>
  <r>
    <s v="ORD1636"/>
    <x v="519"/>
    <x v="0"/>
    <s v="PROD179"/>
    <x v="636"/>
    <n v="572.61"/>
    <n v="12"/>
    <x v="2"/>
    <s v="Target Viral Methodologies"/>
    <x v="1"/>
    <s v="Alvarez, Myers and Walter"/>
    <n v="149.26"/>
  </r>
  <r>
    <s v="ORD1637"/>
    <x v="520"/>
    <x v="3"/>
    <s v="PROD133"/>
    <x v="637"/>
    <n v="863.11"/>
    <n v="10"/>
    <x v="0"/>
    <s v="Re-Intermediate Seamless Applications"/>
    <x v="0"/>
    <s v="Welch-Reed"/>
    <n v="45.82"/>
  </r>
  <r>
    <s v="ORD1638"/>
    <x v="494"/>
    <x v="3"/>
    <s v="PROD160"/>
    <x v="638"/>
    <n v="346.65"/>
    <n v="12"/>
    <x v="0"/>
    <s v="Deliver Extensible Partnerships"/>
    <x v="2"/>
    <s v="Martin, Paul and Salazar"/>
    <n v="43.76"/>
  </r>
  <r>
    <s v="ORD1639"/>
    <x v="521"/>
    <x v="1"/>
    <s v="PROD112"/>
    <x v="639"/>
    <n v="121.01"/>
    <n v="10"/>
    <x v="0"/>
    <s v="Seize Clicks-And-Mortar Platforms"/>
    <x v="0"/>
    <s v="Owens, Campos and Wood"/>
    <n v="271.16000000000003"/>
  </r>
  <r>
    <s v="ORD1640"/>
    <x v="522"/>
    <x v="3"/>
    <s v="PROD170"/>
    <x v="640"/>
    <n v="34.200000000000003"/>
    <n v="15"/>
    <x v="0"/>
    <s v="Deliver Sticky Networks"/>
    <x v="2"/>
    <s v="Massey LLC"/>
    <n v="272.33"/>
  </r>
  <r>
    <s v="ORD1641"/>
    <x v="238"/>
    <x v="3"/>
    <s v="PROD107"/>
    <x v="641"/>
    <n v="569.58000000000004"/>
    <n v="6"/>
    <x v="1"/>
    <s v="Utilize Back-End Models"/>
    <x v="2"/>
    <s v="Lewis-Holden"/>
    <n v="241.53"/>
  </r>
  <r>
    <s v="ORD1642"/>
    <x v="523"/>
    <x v="1"/>
    <s v="PROD153"/>
    <x v="642"/>
    <n v="472.74"/>
    <n v="7"/>
    <x v="1"/>
    <s v="Seize Plug-And-Play Web-Readiness"/>
    <x v="1"/>
    <s v="Joseph, Mayer and Carr"/>
    <n v="102.73"/>
  </r>
  <r>
    <s v="ORD1643"/>
    <x v="524"/>
    <x v="0"/>
    <s v="PROD198"/>
    <x v="643"/>
    <n v="93.46"/>
    <n v="13"/>
    <x v="0"/>
    <s v="Visualize Dynamic E-Commerce"/>
    <x v="2"/>
    <s v="Jones LLC"/>
    <n v="92.61"/>
  </r>
  <r>
    <s v="ORD1644"/>
    <x v="269"/>
    <x v="2"/>
    <s v="PROD163"/>
    <x v="644"/>
    <n v="890.21"/>
    <n v="8"/>
    <x v="2"/>
    <s v="Grow Back-End Supply-Chains"/>
    <x v="1"/>
    <s v="Green LLC"/>
    <n v="140.08000000000001"/>
  </r>
  <r>
    <s v="ORD1645"/>
    <x v="338"/>
    <x v="0"/>
    <s v="PROD122"/>
    <x v="645"/>
    <n v="649.17999999999995"/>
    <n v="5"/>
    <x v="2"/>
    <s v="Empower Dot-Com Deliverables"/>
    <x v="1"/>
    <s v="Davis LLC"/>
    <n v="250.66"/>
  </r>
  <r>
    <s v="ORD1646"/>
    <x v="525"/>
    <x v="1"/>
    <s v="PROD180"/>
    <x v="646"/>
    <n v="572.27"/>
    <n v="2"/>
    <x v="0"/>
    <s v="Iterate Extensible Roi"/>
    <x v="0"/>
    <s v="Hill-Kelly"/>
    <n v="180"/>
  </r>
  <r>
    <s v="ORD1647"/>
    <x v="526"/>
    <x v="3"/>
    <s v="PROD145"/>
    <x v="647"/>
    <n v="123.31"/>
    <n v="13"/>
    <x v="2"/>
    <s v="Innovate Strategic Systems"/>
    <x v="0"/>
    <s v="Mcfarland, Parker and Armstrong"/>
    <n v="70.239999999999995"/>
  </r>
  <r>
    <s v="ORD1648"/>
    <x v="527"/>
    <x v="2"/>
    <s v="PROD111"/>
    <x v="648"/>
    <n v="752.49"/>
    <n v="2"/>
    <x v="0"/>
    <s v="Harness Revolutionary Interfaces"/>
    <x v="2"/>
    <s v="Davis, Short and Nguyen"/>
    <n v="26.49"/>
  </r>
  <r>
    <s v="ORD1649"/>
    <x v="18"/>
    <x v="3"/>
    <s v="PROD166"/>
    <x v="649"/>
    <n v="447.47"/>
    <n v="15"/>
    <x v="1"/>
    <s v="Monetize Wireless Functionalities"/>
    <x v="2"/>
    <s v="Robinson, Rodriguez and Hernandez"/>
    <n v="162.22"/>
  </r>
  <r>
    <s v="ORD1650"/>
    <x v="409"/>
    <x v="0"/>
    <s v="PROD113"/>
    <x v="650"/>
    <n v="429.04"/>
    <n v="20"/>
    <x v="0"/>
    <s v="Envisioneer B2B Users"/>
    <x v="0"/>
    <s v="Rogers Group"/>
    <n v="239.16"/>
  </r>
  <r>
    <s v="ORD1651"/>
    <x v="528"/>
    <x v="1"/>
    <s v="PROD190"/>
    <x v="651"/>
    <n v="785.79"/>
    <n v="16"/>
    <x v="2"/>
    <s v="Repurpose End-To-End Networks"/>
    <x v="0"/>
    <s v="Torres-Rush"/>
    <n v="97.02"/>
  </r>
  <r>
    <s v="ORD1652"/>
    <x v="529"/>
    <x v="2"/>
    <s v="PROD134"/>
    <x v="652"/>
    <n v="610.47"/>
    <n v="13"/>
    <x v="1"/>
    <s v="Utilize Ubiquitous Synergies"/>
    <x v="1"/>
    <s v="Kramer, Huang and Shaw"/>
    <n v="295.89999999999998"/>
  </r>
  <r>
    <s v="ORD1653"/>
    <x v="120"/>
    <x v="0"/>
    <s v="PROD163"/>
    <x v="653"/>
    <n v="496.9"/>
    <n v="11"/>
    <x v="1"/>
    <s v="Grow Back-End Supply-Chains"/>
    <x v="1"/>
    <s v="Green LLC"/>
    <n v="140.08000000000001"/>
  </r>
  <r>
    <s v="ORD1654"/>
    <x v="530"/>
    <x v="1"/>
    <s v="PROD119"/>
    <x v="654"/>
    <n v="39.36"/>
    <n v="12"/>
    <x v="1"/>
    <s v="Generate Front-End Functionalities"/>
    <x v="0"/>
    <s v="Morales-Brown"/>
    <n v="299.77"/>
  </r>
  <r>
    <s v="ORD1655"/>
    <x v="531"/>
    <x v="1"/>
    <s v="PROD179"/>
    <x v="655"/>
    <n v="359.35"/>
    <n v="2"/>
    <x v="0"/>
    <s v="Target Viral Methodologies"/>
    <x v="1"/>
    <s v="Alvarez, Myers and Walter"/>
    <n v="149.26"/>
  </r>
  <r>
    <s v="ORD1656"/>
    <x v="532"/>
    <x v="2"/>
    <s v="PROD187"/>
    <x v="656"/>
    <n v="87.66"/>
    <n v="13"/>
    <x v="0"/>
    <s v="Whiteboard Compelling Experiences"/>
    <x v="2"/>
    <s v="Carrillo, Carr and Ball"/>
    <n v="206.54"/>
  </r>
  <r>
    <s v="ORD1657"/>
    <x v="533"/>
    <x v="0"/>
    <s v="PROD108"/>
    <x v="657"/>
    <n v="25.95"/>
    <n v="11"/>
    <x v="0"/>
    <s v="Synergize World-Class Networks"/>
    <x v="1"/>
    <s v="Gomez-Lawrence"/>
    <n v="72.37"/>
  </r>
  <r>
    <s v="ORD1658"/>
    <x v="534"/>
    <x v="1"/>
    <s v="PROD150"/>
    <x v="658"/>
    <n v="727.23"/>
    <n v="8"/>
    <x v="0"/>
    <s v="Evolve Intuitive Bandwidth"/>
    <x v="0"/>
    <s v="Rogers Group"/>
    <n v="131.63"/>
  </r>
  <r>
    <s v="ORD1659"/>
    <x v="535"/>
    <x v="3"/>
    <s v="PROD146"/>
    <x v="659"/>
    <n v="838.54"/>
    <n v="5"/>
    <x v="2"/>
    <s v="Engage Rich Web-Readiness"/>
    <x v="0"/>
    <s v="Turner Inc"/>
    <n v="81.069999999999993"/>
  </r>
  <r>
    <s v="ORD1660"/>
    <x v="536"/>
    <x v="1"/>
    <s v="PROD132"/>
    <x v="660"/>
    <n v="693.98"/>
    <n v="2"/>
    <x v="0"/>
    <s v="Synergize End-To-End Roi"/>
    <x v="1"/>
    <s v="Evans-Smith"/>
    <n v="159.85"/>
  </r>
  <r>
    <s v="ORD1661"/>
    <x v="537"/>
    <x v="2"/>
    <s v="PROD109"/>
    <x v="661"/>
    <n v="349.39"/>
    <n v="20"/>
    <x v="1"/>
    <s v="Orchestrate E-Business Niches"/>
    <x v="2"/>
    <s v="Johnson LLC"/>
    <n v="198.99"/>
  </r>
  <r>
    <s v="ORD1662"/>
    <x v="538"/>
    <x v="2"/>
    <s v="PROD141"/>
    <x v="662"/>
    <n v="983.79"/>
    <n v="11"/>
    <x v="2"/>
    <s v="Re-Contextualize Integrated Info-Mediaries"/>
    <x v="1"/>
    <s v="Jones-Schroeder"/>
    <n v="26.02"/>
  </r>
  <r>
    <s v="ORD1663"/>
    <x v="539"/>
    <x v="2"/>
    <s v="PROD173"/>
    <x v="663"/>
    <n v="140.26"/>
    <n v="7"/>
    <x v="2"/>
    <s v="Whiteboard Sticky Content"/>
    <x v="2"/>
    <s v="Wolfe Group"/>
    <n v="82.16"/>
  </r>
  <r>
    <s v="ORD1664"/>
    <x v="540"/>
    <x v="3"/>
    <s v="PROD117"/>
    <x v="664"/>
    <n v="921.84"/>
    <n v="2"/>
    <x v="2"/>
    <s v="Revolutionize Efficient Niches"/>
    <x v="1"/>
    <s v="Lopez-Torres"/>
    <n v="23.02"/>
  </r>
  <r>
    <s v="ORD1665"/>
    <x v="541"/>
    <x v="0"/>
    <s v="PROD148"/>
    <x v="665"/>
    <n v="92.13"/>
    <n v="10"/>
    <x v="2"/>
    <s v="Empower Seamless Roi"/>
    <x v="0"/>
    <s v="Proctor Group"/>
    <n v="266.64999999999998"/>
  </r>
  <r>
    <s v="ORD1666"/>
    <x v="542"/>
    <x v="2"/>
    <s v="PROD174"/>
    <x v="666"/>
    <n v="39.57"/>
    <n v="17"/>
    <x v="0"/>
    <s v="Disintermediate Scalable Bandwidth"/>
    <x v="1"/>
    <s v="Levy PLC"/>
    <n v="19.86"/>
  </r>
  <r>
    <s v="ORD1667"/>
    <x v="543"/>
    <x v="0"/>
    <s v="PROD117"/>
    <x v="667"/>
    <n v="276.8"/>
    <n v="1"/>
    <x v="2"/>
    <s v="Revolutionize Efficient Niches"/>
    <x v="1"/>
    <s v="Lopez-Torres"/>
    <n v="23.02"/>
  </r>
  <r>
    <s v="ORD1668"/>
    <x v="544"/>
    <x v="0"/>
    <s v="PROD174"/>
    <x v="668"/>
    <n v="76.2"/>
    <n v="16"/>
    <x v="0"/>
    <s v="Disintermediate Scalable Bandwidth"/>
    <x v="1"/>
    <s v="Levy PLC"/>
    <n v="19.86"/>
  </r>
  <r>
    <s v="ORD1669"/>
    <x v="545"/>
    <x v="1"/>
    <s v="PROD199"/>
    <x v="669"/>
    <n v="549.57000000000005"/>
    <n v="4"/>
    <x v="0"/>
    <s v="Scale Cross-Platform Web Services"/>
    <x v="2"/>
    <s v="Morrow, Brock and Lewis"/>
    <n v="115.21"/>
  </r>
  <r>
    <s v="ORD1670"/>
    <x v="130"/>
    <x v="0"/>
    <s v="PROD130"/>
    <x v="670"/>
    <n v="256.55"/>
    <n v="13"/>
    <x v="0"/>
    <s v="Synthesize Wireless Initiatives"/>
    <x v="1"/>
    <s v="Mosley Ltd"/>
    <n v="162.69999999999999"/>
  </r>
  <r>
    <s v="ORD1671"/>
    <x v="546"/>
    <x v="2"/>
    <s v="PROD141"/>
    <x v="671"/>
    <n v="315.62"/>
    <n v="10"/>
    <x v="1"/>
    <s v="Re-Contextualize Integrated Info-Mediaries"/>
    <x v="1"/>
    <s v="Jones-Schroeder"/>
    <n v="26.02"/>
  </r>
  <r>
    <s v="ORD1672"/>
    <x v="547"/>
    <x v="2"/>
    <s v="PROD147"/>
    <x v="672"/>
    <n v="727.97"/>
    <n v="4"/>
    <x v="1"/>
    <s v="Brand B2C Info-Mediaries"/>
    <x v="0"/>
    <s v="Preston Ltd"/>
    <n v="13.46"/>
  </r>
  <r>
    <s v="ORD1673"/>
    <x v="548"/>
    <x v="3"/>
    <s v="PROD134"/>
    <x v="673"/>
    <n v="775.83"/>
    <n v="18"/>
    <x v="0"/>
    <s v="Utilize Ubiquitous Synergies"/>
    <x v="1"/>
    <s v="Kramer, Huang and Shaw"/>
    <n v="295.89999999999998"/>
  </r>
  <r>
    <s v="ORD1674"/>
    <x v="549"/>
    <x v="2"/>
    <s v="PROD169"/>
    <x v="674"/>
    <n v="429.71"/>
    <n v="19"/>
    <x v="2"/>
    <s v="Unleash End-To-End Web Services"/>
    <x v="0"/>
    <s v="Jones Ltd"/>
    <n v="188.02"/>
  </r>
  <r>
    <s v="ORD1675"/>
    <x v="550"/>
    <x v="0"/>
    <s v="PROD167"/>
    <x v="675"/>
    <n v="562.98"/>
    <n v="13"/>
    <x v="1"/>
    <s v="Grow Synergistic Infrastructures"/>
    <x v="2"/>
    <s v="Adams-Carter"/>
    <n v="113.17"/>
  </r>
  <r>
    <s v="ORD1676"/>
    <x v="551"/>
    <x v="2"/>
    <s v="PROD199"/>
    <x v="676"/>
    <n v="62.28"/>
    <n v="4"/>
    <x v="1"/>
    <s v="Scale Cross-Platform Web Services"/>
    <x v="2"/>
    <s v="Morrow, Brock and Lewis"/>
    <n v="115.21"/>
  </r>
  <r>
    <s v="ORD1677"/>
    <x v="108"/>
    <x v="3"/>
    <s v="PROD118"/>
    <x v="677"/>
    <n v="680.45"/>
    <n v="12"/>
    <x v="1"/>
    <s v="Engineer Real-Time Architectures"/>
    <x v="2"/>
    <s v="James and Sons"/>
    <n v="127.23"/>
  </r>
  <r>
    <s v="ORD1678"/>
    <x v="552"/>
    <x v="0"/>
    <s v="PROD196"/>
    <x v="678"/>
    <n v="533.19000000000005"/>
    <n v="1"/>
    <x v="2"/>
    <s v="Strategize E-Business Content"/>
    <x v="1"/>
    <s v="Patterson LLC"/>
    <n v="294.02"/>
  </r>
  <r>
    <s v="ORD1679"/>
    <x v="70"/>
    <x v="3"/>
    <s v="PROD198"/>
    <x v="679"/>
    <n v="628.09"/>
    <n v="18"/>
    <x v="1"/>
    <s v="Visualize Dynamic E-Commerce"/>
    <x v="2"/>
    <s v="Jones LLC"/>
    <n v="92.61"/>
  </r>
  <r>
    <s v="ORD1680"/>
    <x v="27"/>
    <x v="0"/>
    <s v="PROD173"/>
    <x v="680"/>
    <n v="833.34"/>
    <n v="8"/>
    <x v="1"/>
    <s v="Whiteboard Sticky Content"/>
    <x v="2"/>
    <s v="Wolfe Group"/>
    <n v="82.16"/>
  </r>
  <r>
    <s v="ORD1681"/>
    <x v="361"/>
    <x v="1"/>
    <s v="PROD132"/>
    <x v="681"/>
    <n v="478.58"/>
    <n v="3"/>
    <x v="2"/>
    <s v="Synergize End-To-End Roi"/>
    <x v="1"/>
    <s v="Evans-Smith"/>
    <n v="159.85"/>
  </r>
  <r>
    <s v="ORD1682"/>
    <x v="74"/>
    <x v="1"/>
    <s v="PROD115"/>
    <x v="682"/>
    <n v="416.19"/>
    <n v="2"/>
    <x v="2"/>
    <s v="Morph World-Class Synergies"/>
    <x v="1"/>
    <s v="Bryant Ltd"/>
    <n v="20.69"/>
  </r>
  <r>
    <s v="ORD1683"/>
    <x v="553"/>
    <x v="2"/>
    <s v="PROD191"/>
    <x v="683"/>
    <n v="131.77000000000001"/>
    <n v="16"/>
    <x v="2"/>
    <s v="Synergize Frictionless Synergies"/>
    <x v="2"/>
    <s v="Hester and Sons"/>
    <n v="289.06"/>
  </r>
  <r>
    <s v="ORD1684"/>
    <x v="554"/>
    <x v="0"/>
    <s v="PROD176"/>
    <x v="684"/>
    <n v="135.44999999999999"/>
    <n v="15"/>
    <x v="2"/>
    <s v="Facilitate Integrated E-Business"/>
    <x v="0"/>
    <s v="Chang-Vargas"/>
    <n v="130.33000000000001"/>
  </r>
  <r>
    <s v="ORD1685"/>
    <x v="555"/>
    <x v="2"/>
    <s v="PROD126"/>
    <x v="685"/>
    <n v="680.21"/>
    <n v="5"/>
    <x v="0"/>
    <s v="Streamline Innovative Architectures"/>
    <x v="2"/>
    <s v="Price, Valentine and Lutz"/>
    <n v="291.14999999999998"/>
  </r>
  <r>
    <s v="ORD1686"/>
    <x v="94"/>
    <x v="1"/>
    <s v="PROD143"/>
    <x v="686"/>
    <n v="57.44"/>
    <n v="14"/>
    <x v="0"/>
    <s v="E-Enable Synergistic Vortals"/>
    <x v="1"/>
    <s v="Guzman Group"/>
    <n v="278.43"/>
  </r>
  <r>
    <s v="ORD1687"/>
    <x v="540"/>
    <x v="2"/>
    <s v="PROD113"/>
    <x v="687"/>
    <n v="873.81"/>
    <n v="2"/>
    <x v="2"/>
    <s v="Envisioneer B2B Users"/>
    <x v="0"/>
    <s v="Rogers Group"/>
    <n v="239.16"/>
  </r>
  <r>
    <s v="ORD1688"/>
    <x v="556"/>
    <x v="1"/>
    <s v="PROD197"/>
    <x v="688"/>
    <n v="137.13999999999999"/>
    <n v="9"/>
    <x v="2"/>
    <s v="Leverage Rich Portals"/>
    <x v="0"/>
    <s v="Wilson PLC"/>
    <n v="46.35"/>
  </r>
  <r>
    <s v="ORD1689"/>
    <x v="557"/>
    <x v="1"/>
    <s v="PROD185"/>
    <x v="689"/>
    <n v="817.5"/>
    <n v="6"/>
    <x v="2"/>
    <s v="Generate End-To-End Functionalities"/>
    <x v="1"/>
    <s v="Sanchez-Stewart"/>
    <n v="196.15"/>
  </r>
  <r>
    <s v="ORD1690"/>
    <x v="558"/>
    <x v="2"/>
    <s v="PROD166"/>
    <x v="690"/>
    <n v="839.46"/>
    <n v="13"/>
    <x v="2"/>
    <s v="Monetize Wireless Functionalities"/>
    <x v="2"/>
    <s v="Robinson, Rodriguez and Hernandez"/>
    <n v="162.22"/>
  </r>
  <r>
    <s v="ORD1691"/>
    <x v="559"/>
    <x v="2"/>
    <s v="PROD111"/>
    <x v="691"/>
    <n v="694.33"/>
    <n v="18"/>
    <x v="2"/>
    <s v="Harness Revolutionary Interfaces"/>
    <x v="2"/>
    <s v="Davis, Short and Nguyen"/>
    <n v="26.49"/>
  </r>
  <r>
    <s v="ORD1692"/>
    <x v="270"/>
    <x v="3"/>
    <s v="PROD159"/>
    <x v="692"/>
    <n v="950.31"/>
    <n v="5"/>
    <x v="1"/>
    <s v="Mesh Intuitive Supply-Chains"/>
    <x v="1"/>
    <s v="Soto, Barnett and Heath"/>
    <n v="281"/>
  </r>
  <r>
    <s v="ORD1693"/>
    <x v="180"/>
    <x v="0"/>
    <s v="PROD191"/>
    <x v="693"/>
    <n v="154.66"/>
    <n v="10"/>
    <x v="0"/>
    <s v="Synergize Frictionless Synergies"/>
    <x v="2"/>
    <s v="Hester and Sons"/>
    <n v="289.06"/>
  </r>
  <r>
    <s v="ORD1694"/>
    <x v="560"/>
    <x v="1"/>
    <s v="PROD127"/>
    <x v="694"/>
    <n v="276.45"/>
    <n v="3"/>
    <x v="0"/>
    <s v="Deliver Viral Channels"/>
    <x v="2"/>
    <s v="Parker LLC"/>
    <n v="45.41"/>
  </r>
  <r>
    <s v="ORD1695"/>
    <x v="561"/>
    <x v="2"/>
    <s v="PROD135"/>
    <x v="695"/>
    <n v="342.07"/>
    <n v="19"/>
    <x v="0"/>
    <s v="Optimize 24/365 E-Services"/>
    <x v="0"/>
    <s v="Chase Ltd"/>
    <n v="100.35"/>
  </r>
  <r>
    <s v="ORD1696"/>
    <x v="562"/>
    <x v="0"/>
    <s v="PROD159"/>
    <x v="696"/>
    <n v="179.7"/>
    <n v="17"/>
    <x v="1"/>
    <s v="Mesh Intuitive Supply-Chains"/>
    <x v="1"/>
    <s v="Soto, Barnett and Heath"/>
    <n v="281"/>
  </r>
  <r>
    <s v="ORD1697"/>
    <x v="563"/>
    <x v="1"/>
    <s v="PROD158"/>
    <x v="697"/>
    <n v="503.41"/>
    <n v="6"/>
    <x v="0"/>
    <s v="Brand Web-Enabled Solutions"/>
    <x v="1"/>
    <s v="Russell Group"/>
    <n v="51.67"/>
  </r>
  <r>
    <s v="ORD1698"/>
    <x v="476"/>
    <x v="2"/>
    <s v="PROD112"/>
    <x v="698"/>
    <n v="755.46"/>
    <n v="5"/>
    <x v="1"/>
    <s v="Seize Clicks-And-Mortar Platforms"/>
    <x v="0"/>
    <s v="Owens, Campos and Wood"/>
    <n v="271.16000000000003"/>
  </r>
  <r>
    <s v="ORD1699"/>
    <x v="564"/>
    <x v="2"/>
    <s v="PROD101"/>
    <x v="699"/>
    <n v="771.19"/>
    <n v="17"/>
    <x v="0"/>
    <s v="Harness Proactive Eyeballs"/>
    <x v="1"/>
    <s v="Moran and Sons"/>
    <n v="58.01"/>
  </r>
  <r>
    <s v="ORD1700"/>
    <x v="565"/>
    <x v="0"/>
    <s v="PROD107"/>
    <x v="700"/>
    <n v="415.28"/>
    <n v="20"/>
    <x v="1"/>
    <s v="Utilize Back-End Models"/>
    <x v="2"/>
    <s v="Lewis-Holden"/>
    <n v="241.53"/>
  </r>
  <r>
    <s v="ORD1701"/>
    <x v="566"/>
    <x v="0"/>
    <s v="PROD169"/>
    <x v="701"/>
    <n v="671.56"/>
    <n v="18"/>
    <x v="0"/>
    <s v="Unleash End-To-End Web Services"/>
    <x v="0"/>
    <s v="Jones Ltd"/>
    <n v="188.02"/>
  </r>
  <r>
    <s v="ORD1702"/>
    <x v="527"/>
    <x v="1"/>
    <s v="PROD155"/>
    <x v="702"/>
    <n v="632.17999999999995"/>
    <n v="4"/>
    <x v="0"/>
    <s v="Incentivize User-Centric Mindshare"/>
    <x v="1"/>
    <s v="Becker, Wright and Wong"/>
    <n v="38.51"/>
  </r>
  <r>
    <s v="ORD1703"/>
    <x v="567"/>
    <x v="1"/>
    <s v="PROD148"/>
    <x v="703"/>
    <n v="262.43"/>
    <n v="3"/>
    <x v="1"/>
    <s v="Empower Seamless Roi"/>
    <x v="0"/>
    <s v="Proctor Group"/>
    <n v="266.64999999999998"/>
  </r>
  <r>
    <s v="ORD1704"/>
    <x v="568"/>
    <x v="0"/>
    <s v="PROD122"/>
    <x v="704"/>
    <n v="118.55"/>
    <n v="17"/>
    <x v="2"/>
    <s v="Empower Dot-Com Deliverables"/>
    <x v="1"/>
    <s v="Davis LLC"/>
    <n v="250.66"/>
  </r>
  <r>
    <s v="ORD1705"/>
    <x v="560"/>
    <x v="1"/>
    <s v="PROD165"/>
    <x v="705"/>
    <n v="91.21"/>
    <n v="16"/>
    <x v="0"/>
    <s v="Benchmark Cross-Platform Markets"/>
    <x v="2"/>
    <s v="Murphy, Mathews and Wilson"/>
    <n v="78.88"/>
  </r>
  <r>
    <s v="ORD1706"/>
    <x v="344"/>
    <x v="2"/>
    <s v="PROD138"/>
    <x v="706"/>
    <n v="862.97"/>
    <n v="4"/>
    <x v="0"/>
    <s v="Deliver Viral Eyeballs"/>
    <x v="0"/>
    <s v="Estes, Chan and Thomas"/>
    <n v="16.89"/>
  </r>
  <r>
    <s v="ORD1707"/>
    <x v="569"/>
    <x v="2"/>
    <s v="PROD141"/>
    <x v="707"/>
    <n v="356.01"/>
    <n v="11"/>
    <x v="1"/>
    <s v="Re-Contextualize Integrated Info-Mediaries"/>
    <x v="1"/>
    <s v="Jones-Schroeder"/>
    <n v="26.02"/>
  </r>
  <r>
    <s v="ORD1708"/>
    <x v="17"/>
    <x v="2"/>
    <s v="PROD126"/>
    <x v="708"/>
    <n v="964.56"/>
    <n v="4"/>
    <x v="0"/>
    <s v="Streamline Innovative Architectures"/>
    <x v="2"/>
    <s v="Price, Valentine and Lutz"/>
    <n v="291.14999999999998"/>
  </r>
  <r>
    <s v="ORD1709"/>
    <x v="401"/>
    <x v="1"/>
    <s v="PROD126"/>
    <x v="709"/>
    <n v="88.87"/>
    <n v="20"/>
    <x v="1"/>
    <s v="Streamline Innovative Architectures"/>
    <x v="2"/>
    <s v="Price, Valentine and Lutz"/>
    <n v="291.14999999999998"/>
  </r>
  <r>
    <s v="ORD1710"/>
    <x v="551"/>
    <x v="0"/>
    <s v="PROD171"/>
    <x v="710"/>
    <n v="807.78"/>
    <n v="12"/>
    <x v="1"/>
    <s v="Scale 24/365 Networks"/>
    <x v="2"/>
    <s v="Kim-Hamilton"/>
    <n v="157.55000000000001"/>
  </r>
  <r>
    <s v="ORD1711"/>
    <x v="245"/>
    <x v="1"/>
    <s v="PROD127"/>
    <x v="711"/>
    <n v="477.28"/>
    <n v="2"/>
    <x v="1"/>
    <s v="Deliver Viral Channels"/>
    <x v="2"/>
    <s v="Parker LLC"/>
    <n v="45.41"/>
  </r>
  <r>
    <s v="ORD1712"/>
    <x v="570"/>
    <x v="3"/>
    <s v="PROD194"/>
    <x v="712"/>
    <n v="782.72"/>
    <n v="8"/>
    <x v="1"/>
    <s v="Leverage Scalable Interfaces"/>
    <x v="0"/>
    <s v="Kaufman-Jones"/>
    <n v="73.33"/>
  </r>
  <r>
    <s v="ORD1713"/>
    <x v="571"/>
    <x v="0"/>
    <s v="PROD174"/>
    <x v="713"/>
    <n v="452.9"/>
    <n v="3"/>
    <x v="0"/>
    <s v="Disintermediate Scalable Bandwidth"/>
    <x v="1"/>
    <s v="Levy PLC"/>
    <n v="19.86"/>
  </r>
  <r>
    <s v="ORD1714"/>
    <x v="165"/>
    <x v="0"/>
    <s v="PROD137"/>
    <x v="714"/>
    <n v="659.66"/>
    <n v="19"/>
    <x v="1"/>
    <s v="Optimize Collaborative Initiatives"/>
    <x v="1"/>
    <s v="Adkins Ltd"/>
    <n v="34.46"/>
  </r>
  <r>
    <s v="ORD1715"/>
    <x v="572"/>
    <x v="0"/>
    <s v="PROD155"/>
    <x v="715"/>
    <n v="640.54"/>
    <n v="2"/>
    <x v="1"/>
    <s v="Incentivize User-Centric Mindshare"/>
    <x v="1"/>
    <s v="Becker, Wright and Wong"/>
    <n v="38.51"/>
  </r>
  <r>
    <s v="ORD1716"/>
    <x v="573"/>
    <x v="2"/>
    <s v="PROD123"/>
    <x v="716"/>
    <n v="146.32"/>
    <n v="1"/>
    <x v="2"/>
    <s v="Redefine Real-Time Convergence"/>
    <x v="1"/>
    <s v="Hayes, Peters and Douglas"/>
    <n v="78.260000000000005"/>
  </r>
  <r>
    <s v="ORD1717"/>
    <x v="574"/>
    <x v="0"/>
    <s v="PROD185"/>
    <x v="717"/>
    <n v="186.02"/>
    <n v="15"/>
    <x v="1"/>
    <s v="Generate End-To-End Functionalities"/>
    <x v="1"/>
    <s v="Sanchez-Stewart"/>
    <n v="196.15"/>
  </r>
  <r>
    <s v="ORD1718"/>
    <x v="575"/>
    <x v="3"/>
    <s v="PROD122"/>
    <x v="718"/>
    <n v="122.53"/>
    <n v="3"/>
    <x v="1"/>
    <s v="Empower Dot-Com Deliverables"/>
    <x v="1"/>
    <s v="Davis LLC"/>
    <n v="250.66"/>
  </r>
  <r>
    <s v="ORD1719"/>
    <x v="576"/>
    <x v="0"/>
    <s v="PROD169"/>
    <x v="719"/>
    <n v="848.66"/>
    <n v="14"/>
    <x v="2"/>
    <s v="Unleash End-To-End Web Services"/>
    <x v="0"/>
    <s v="Jones Ltd"/>
    <n v="188.02"/>
  </r>
  <r>
    <s v="ORD1720"/>
    <x v="95"/>
    <x v="3"/>
    <s v="PROD160"/>
    <x v="720"/>
    <n v="487.45"/>
    <n v="2"/>
    <x v="1"/>
    <s v="Deliver Extensible Partnerships"/>
    <x v="2"/>
    <s v="Martin, Paul and Salazar"/>
    <n v="43.76"/>
  </r>
  <r>
    <s v="ORD1721"/>
    <x v="577"/>
    <x v="1"/>
    <s v="PROD149"/>
    <x v="721"/>
    <n v="631.1"/>
    <n v="13"/>
    <x v="2"/>
    <s v="Envisioneer B2C Web-Readiness"/>
    <x v="1"/>
    <s v="Kemp Group"/>
    <n v="97.23"/>
  </r>
  <r>
    <s v="ORD1722"/>
    <x v="578"/>
    <x v="1"/>
    <s v="PROD165"/>
    <x v="722"/>
    <n v="106.54"/>
    <n v="18"/>
    <x v="1"/>
    <s v="Benchmark Cross-Platform Markets"/>
    <x v="2"/>
    <s v="Murphy, Mathews and Wilson"/>
    <n v="78.88"/>
  </r>
  <r>
    <s v="ORD1723"/>
    <x v="79"/>
    <x v="1"/>
    <s v="PROD137"/>
    <x v="723"/>
    <n v="613.91"/>
    <n v="15"/>
    <x v="2"/>
    <s v="Optimize Collaborative Initiatives"/>
    <x v="1"/>
    <s v="Adkins Ltd"/>
    <n v="34.46"/>
  </r>
  <r>
    <s v="ORD1724"/>
    <x v="579"/>
    <x v="3"/>
    <s v="PROD174"/>
    <x v="724"/>
    <n v="68.209999999999994"/>
    <n v="19"/>
    <x v="0"/>
    <s v="Disintermediate Scalable Bandwidth"/>
    <x v="1"/>
    <s v="Levy PLC"/>
    <n v="19.86"/>
  </r>
  <r>
    <s v="ORD1725"/>
    <x v="580"/>
    <x v="0"/>
    <s v="PROD167"/>
    <x v="725"/>
    <n v="834.25"/>
    <n v="14"/>
    <x v="1"/>
    <s v="Grow Synergistic Infrastructures"/>
    <x v="2"/>
    <s v="Adams-Carter"/>
    <n v="113.17"/>
  </r>
  <r>
    <s v="ORD1726"/>
    <x v="581"/>
    <x v="0"/>
    <s v="PROD137"/>
    <x v="726"/>
    <n v="718.15"/>
    <n v="16"/>
    <x v="2"/>
    <s v="Optimize Collaborative Initiatives"/>
    <x v="1"/>
    <s v="Adkins Ltd"/>
    <n v="34.46"/>
  </r>
  <r>
    <s v="ORD1727"/>
    <x v="176"/>
    <x v="3"/>
    <s v="PROD141"/>
    <x v="727"/>
    <n v="445.61"/>
    <n v="3"/>
    <x v="0"/>
    <s v="Re-Contextualize Integrated Info-Mediaries"/>
    <x v="1"/>
    <s v="Jones-Schroeder"/>
    <n v="26.02"/>
  </r>
  <r>
    <s v="ORD1728"/>
    <x v="582"/>
    <x v="1"/>
    <s v="PROD154"/>
    <x v="728"/>
    <n v="693.82"/>
    <n v="16"/>
    <x v="2"/>
    <s v="Utilize Virtual Partnerships"/>
    <x v="2"/>
    <s v="Smith, Diaz and Heath"/>
    <n v="193.02"/>
  </r>
  <r>
    <s v="ORD1729"/>
    <x v="140"/>
    <x v="3"/>
    <s v="PROD156"/>
    <x v="729"/>
    <n v="344.04"/>
    <n v="1"/>
    <x v="2"/>
    <s v="Empower Killer Info-Mediaries"/>
    <x v="2"/>
    <s v="Jones Ltd"/>
    <n v="213.24"/>
  </r>
  <r>
    <s v="ORD1730"/>
    <x v="583"/>
    <x v="2"/>
    <s v="PROD132"/>
    <x v="730"/>
    <n v="613.87"/>
    <n v="3"/>
    <x v="0"/>
    <s v="Synergize End-To-End Roi"/>
    <x v="1"/>
    <s v="Evans-Smith"/>
    <n v="159.85"/>
  </r>
  <r>
    <s v="ORD1731"/>
    <x v="584"/>
    <x v="0"/>
    <s v="PROD187"/>
    <x v="731"/>
    <n v="176.38"/>
    <n v="2"/>
    <x v="2"/>
    <s v="Whiteboard Compelling Experiences"/>
    <x v="2"/>
    <s v="Carrillo, Carr and Ball"/>
    <n v="206.54"/>
  </r>
  <r>
    <s v="ORD1732"/>
    <x v="585"/>
    <x v="1"/>
    <s v="PROD108"/>
    <x v="732"/>
    <n v="871.38"/>
    <n v="16"/>
    <x v="0"/>
    <s v="Synergize World-Class Networks"/>
    <x v="1"/>
    <s v="Gomez-Lawrence"/>
    <n v="72.37"/>
  </r>
  <r>
    <s v="ORD1733"/>
    <x v="586"/>
    <x v="0"/>
    <s v="PROD152"/>
    <x v="733"/>
    <n v="956.47"/>
    <n v="20"/>
    <x v="2"/>
    <s v="Reinvent Frictionless Roi"/>
    <x v="2"/>
    <s v="Bridges, Castillo and Rodriguez"/>
    <n v="253.89"/>
  </r>
  <r>
    <s v="ORD1734"/>
    <x v="587"/>
    <x v="0"/>
    <s v="PROD113"/>
    <x v="734"/>
    <n v="696.63"/>
    <n v="5"/>
    <x v="2"/>
    <s v="Envisioneer B2B Users"/>
    <x v="0"/>
    <s v="Rogers Group"/>
    <n v="239.16"/>
  </r>
  <r>
    <s v="ORD1735"/>
    <x v="588"/>
    <x v="0"/>
    <s v="PROD183"/>
    <x v="735"/>
    <n v="229.15"/>
    <n v="16"/>
    <x v="1"/>
    <s v="Incentivize Front-End Mindshare"/>
    <x v="1"/>
    <s v="Phillips-Tran"/>
    <n v="196.86"/>
  </r>
  <r>
    <s v="ORD1736"/>
    <x v="87"/>
    <x v="3"/>
    <s v="PROD191"/>
    <x v="736"/>
    <n v="46.81"/>
    <n v="7"/>
    <x v="0"/>
    <s v="Synergize Frictionless Synergies"/>
    <x v="2"/>
    <s v="Hester and Sons"/>
    <n v="289.06"/>
  </r>
  <r>
    <s v="ORD1737"/>
    <x v="589"/>
    <x v="2"/>
    <s v="PROD147"/>
    <x v="737"/>
    <n v="79.16"/>
    <n v="12"/>
    <x v="1"/>
    <s v="Brand B2C Info-Mediaries"/>
    <x v="0"/>
    <s v="Preston Ltd"/>
    <n v="13.46"/>
  </r>
  <r>
    <s v="ORD1738"/>
    <x v="560"/>
    <x v="0"/>
    <s v="PROD145"/>
    <x v="738"/>
    <n v="680.63"/>
    <n v="4"/>
    <x v="1"/>
    <s v="Innovate Strategic Systems"/>
    <x v="0"/>
    <s v="Mcfarland, Parker and Armstrong"/>
    <n v="70.239999999999995"/>
  </r>
  <r>
    <s v="ORD1739"/>
    <x v="590"/>
    <x v="3"/>
    <s v="PROD145"/>
    <x v="739"/>
    <n v="29.98"/>
    <n v="13"/>
    <x v="0"/>
    <s v="Innovate Strategic Systems"/>
    <x v="0"/>
    <s v="Mcfarland, Parker and Armstrong"/>
    <n v="70.239999999999995"/>
  </r>
  <r>
    <s v="ORD1740"/>
    <x v="51"/>
    <x v="2"/>
    <s v="PROD107"/>
    <x v="740"/>
    <n v="213.92"/>
    <n v="9"/>
    <x v="2"/>
    <s v="Utilize Back-End Models"/>
    <x v="2"/>
    <s v="Lewis-Holden"/>
    <n v="241.53"/>
  </r>
  <r>
    <s v="ORD1741"/>
    <x v="218"/>
    <x v="1"/>
    <s v="PROD149"/>
    <x v="741"/>
    <n v="22.86"/>
    <n v="14"/>
    <x v="1"/>
    <s v="Envisioneer B2C Web-Readiness"/>
    <x v="1"/>
    <s v="Kemp Group"/>
    <n v="97.23"/>
  </r>
  <r>
    <s v="ORD1742"/>
    <x v="407"/>
    <x v="3"/>
    <s v="PROD138"/>
    <x v="742"/>
    <n v="850.08"/>
    <n v="13"/>
    <x v="0"/>
    <s v="Deliver Viral Eyeballs"/>
    <x v="0"/>
    <s v="Estes, Chan and Thomas"/>
    <n v="16.89"/>
  </r>
  <r>
    <s v="ORD1743"/>
    <x v="591"/>
    <x v="2"/>
    <s v="PROD166"/>
    <x v="743"/>
    <n v="563.79999999999995"/>
    <n v="1"/>
    <x v="2"/>
    <s v="Monetize Wireless Functionalities"/>
    <x v="2"/>
    <s v="Robinson, Rodriguez and Hernandez"/>
    <n v="162.22"/>
  </r>
  <r>
    <s v="ORD1744"/>
    <x v="6"/>
    <x v="2"/>
    <s v="PROD144"/>
    <x v="744"/>
    <n v="132.03"/>
    <n v="1"/>
    <x v="0"/>
    <s v="Expedite Synergistic Web-Readiness"/>
    <x v="1"/>
    <s v="Dunlap, Carpenter and Monroe"/>
    <n v="289.66000000000003"/>
  </r>
  <r>
    <s v="ORD1745"/>
    <x v="592"/>
    <x v="1"/>
    <s v="PROD117"/>
    <x v="745"/>
    <n v="182.75"/>
    <n v="12"/>
    <x v="1"/>
    <s v="Revolutionize Efficient Niches"/>
    <x v="1"/>
    <s v="Lopez-Torres"/>
    <n v="23.02"/>
  </r>
  <r>
    <s v="ORD1746"/>
    <x v="593"/>
    <x v="1"/>
    <s v="PROD146"/>
    <x v="746"/>
    <n v="995.03"/>
    <n v="12"/>
    <x v="2"/>
    <s v="Engage Rich Web-Readiness"/>
    <x v="0"/>
    <s v="Turner Inc"/>
    <n v="81.069999999999993"/>
  </r>
  <r>
    <s v="ORD1747"/>
    <x v="476"/>
    <x v="2"/>
    <s v="PROD180"/>
    <x v="747"/>
    <n v="254.81"/>
    <n v="10"/>
    <x v="0"/>
    <s v="Iterate Extensible Roi"/>
    <x v="0"/>
    <s v="Hill-Kelly"/>
    <n v="180"/>
  </r>
  <r>
    <s v="ORD1748"/>
    <x v="71"/>
    <x v="2"/>
    <s v="PROD143"/>
    <x v="748"/>
    <n v="734.07"/>
    <n v="9"/>
    <x v="0"/>
    <s v="E-Enable Synergistic Vortals"/>
    <x v="1"/>
    <s v="Guzman Group"/>
    <n v="278.43"/>
  </r>
  <r>
    <s v="ORD1749"/>
    <x v="594"/>
    <x v="1"/>
    <s v="PROD198"/>
    <x v="749"/>
    <n v="947.97"/>
    <n v="14"/>
    <x v="0"/>
    <s v="Visualize Dynamic E-Commerce"/>
    <x v="2"/>
    <s v="Jones LLC"/>
    <n v="92.61"/>
  </r>
  <r>
    <s v="ORD1750"/>
    <x v="595"/>
    <x v="2"/>
    <s v="PROD162"/>
    <x v="750"/>
    <n v="727.9"/>
    <n v="9"/>
    <x v="2"/>
    <s v="Reinvent Visionary Niches"/>
    <x v="2"/>
    <s v="Huber-Richmond"/>
    <n v="219.81"/>
  </r>
  <r>
    <s v="ORD1751"/>
    <x v="596"/>
    <x v="2"/>
    <s v="PROD102"/>
    <x v="751"/>
    <n v="419.99"/>
    <n v="10"/>
    <x v="1"/>
    <s v="Optimize Transparent E-Markets"/>
    <x v="0"/>
    <s v="Lee, Tyler and Blevins"/>
    <n v="111.22"/>
  </r>
  <r>
    <s v="ORD1752"/>
    <x v="597"/>
    <x v="1"/>
    <s v="PROD147"/>
    <x v="752"/>
    <n v="57.22"/>
    <n v="10"/>
    <x v="2"/>
    <s v="Brand B2C Info-Mediaries"/>
    <x v="0"/>
    <s v="Preston Ltd"/>
    <n v="13.46"/>
  </r>
  <r>
    <s v="ORD1753"/>
    <x v="598"/>
    <x v="1"/>
    <s v="PROD133"/>
    <x v="753"/>
    <n v="401.58"/>
    <n v="13"/>
    <x v="0"/>
    <s v="Re-Intermediate Seamless Applications"/>
    <x v="0"/>
    <s v="Welch-Reed"/>
    <n v="45.82"/>
  </r>
  <r>
    <s v="ORD1754"/>
    <x v="599"/>
    <x v="1"/>
    <s v="PROD118"/>
    <x v="754"/>
    <n v="855.96"/>
    <n v="2"/>
    <x v="2"/>
    <s v="Engineer Real-Time Architectures"/>
    <x v="2"/>
    <s v="James and Sons"/>
    <n v="127.23"/>
  </r>
  <r>
    <s v="ORD1755"/>
    <x v="600"/>
    <x v="3"/>
    <s v="PROD119"/>
    <x v="755"/>
    <n v="745.08"/>
    <n v="4"/>
    <x v="2"/>
    <s v="Generate Front-End Functionalities"/>
    <x v="0"/>
    <s v="Morales-Brown"/>
    <n v="299.77"/>
  </r>
  <r>
    <s v="ORD1756"/>
    <x v="601"/>
    <x v="3"/>
    <s v="PROD147"/>
    <x v="756"/>
    <n v="54.42"/>
    <n v="4"/>
    <x v="0"/>
    <s v="Brand B2C Info-Mediaries"/>
    <x v="0"/>
    <s v="Preston Ltd"/>
    <n v="13.46"/>
  </r>
  <r>
    <s v="ORD1757"/>
    <x v="534"/>
    <x v="2"/>
    <s v="PROD139"/>
    <x v="757"/>
    <n v="774.66"/>
    <n v="4"/>
    <x v="2"/>
    <s v="Re-Contextualize Viral Mindshare"/>
    <x v="1"/>
    <s v="Carter-Lane"/>
    <n v="142.25"/>
  </r>
  <r>
    <s v="ORD1758"/>
    <x v="154"/>
    <x v="2"/>
    <s v="PROD135"/>
    <x v="758"/>
    <n v="722.14"/>
    <n v="4"/>
    <x v="0"/>
    <s v="Optimize 24/365 E-Services"/>
    <x v="0"/>
    <s v="Chase Ltd"/>
    <n v="100.35"/>
  </r>
  <r>
    <s v="ORD1759"/>
    <x v="232"/>
    <x v="2"/>
    <s v="PROD186"/>
    <x v="759"/>
    <n v="240.46"/>
    <n v="17"/>
    <x v="1"/>
    <s v="Reinvent Mission-Critical Markets"/>
    <x v="2"/>
    <s v="Gilbert-Sanders"/>
    <n v="154.21"/>
  </r>
  <r>
    <s v="ORD1760"/>
    <x v="602"/>
    <x v="0"/>
    <s v="PROD164"/>
    <x v="760"/>
    <n v="626.1"/>
    <n v="15"/>
    <x v="0"/>
    <s v="Transition Compelling Web-Readiness"/>
    <x v="2"/>
    <s v="Wood-Beck"/>
    <n v="88.34"/>
  </r>
  <r>
    <s v="ORD1761"/>
    <x v="603"/>
    <x v="2"/>
    <s v="PROD107"/>
    <x v="761"/>
    <n v="94.72"/>
    <n v="1"/>
    <x v="2"/>
    <s v="Utilize Back-End Models"/>
    <x v="2"/>
    <s v="Lewis-Holden"/>
    <n v="241.53"/>
  </r>
  <r>
    <s v="ORD1762"/>
    <x v="604"/>
    <x v="3"/>
    <s v="PROD164"/>
    <x v="762"/>
    <n v="540.75"/>
    <n v="14"/>
    <x v="2"/>
    <s v="Transition Compelling Web-Readiness"/>
    <x v="2"/>
    <s v="Wood-Beck"/>
    <n v="88.34"/>
  </r>
  <r>
    <s v="ORD1763"/>
    <x v="605"/>
    <x v="2"/>
    <s v="PROD168"/>
    <x v="763"/>
    <n v="750.66"/>
    <n v="16"/>
    <x v="0"/>
    <s v="Facilitate End-To-End Experiences"/>
    <x v="0"/>
    <s v="Pierce-Goodwin"/>
    <n v="260.52999999999997"/>
  </r>
  <r>
    <s v="ORD1764"/>
    <x v="606"/>
    <x v="1"/>
    <s v="PROD105"/>
    <x v="764"/>
    <n v="191.06"/>
    <n v="1"/>
    <x v="2"/>
    <s v="Transform Holistic Functionalities"/>
    <x v="0"/>
    <s v="Ruiz Ltd"/>
    <n v="179.27"/>
  </r>
  <r>
    <s v="ORD1765"/>
    <x v="603"/>
    <x v="0"/>
    <s v="PROD113"/>
    <x v="765"/>
    <n v="477.53"/>
    <n v="18"/>
    <x v="1"/>
    <s v="Envisioneer B2B Users"/>
    <x v="0"/>
    <s v="Rogers Group"/>
    <n v="239.16"/>
  </r>
  <r>
    <s v="ORD1766"/>
    <x v="607"/>
    <x v="2"/>
    <s v="PROD138"/>
    <x v="766"/>
    <n v="801.55"/>
    <n v="16"/>
    <x v="0"/>
    <s v="Deliver Viral Eyeballs"/>
    <x v="0"/>
    <s v="Estes, Chan and Thomas"/>
    <n v="16.89"/>
  </r>
  <r>
    <s v="ORD1767"/>
    <x v="608"/>
    <x v="0"/>
    <s v="PROD149"/>
    <x v="767"/>
    <n v="708.89"/>
    <n v="4"/>
    <x v="1"/>
    <s v="Envisioneer B2C Web-Readiness"/>
    <x v="1"/>
    <s v="Kemp Group"/>
    <n v="97.23"/>
  </r>
  <r>
    <s v="ORD1768"/>
    <x v="609"/>
    <x v="1"/>
    <s v="PROD144"/>
    <x v="768"/>
    <n v="250.51"/>
    <n v="1"/>
    <x v="1"/>
    <s v="Expedite Synergistic Web-Readiness"/>
    <x v="1"/>
    <s v="Dunlap, Carpenter and Monroe"/>
    <n v="289.66000000000003"/>
  </r>
  <r>
    <s v="ORD1769"/>
    <x v="610"/>
    <x v="2"/>
    <s v="PROD179"/>
    <x v="769"/>
    <n v="37.909999999999997"/>
    <n v="19"/>
    <x v="0"/>
    <s v="Target Viral Methodologies"/>
    <x v="1"/>
    <s v="Alvarez, Myers and Walter"/>
    <n v="149.26"/>
  </r>
  <r>
    <s v="ORD1770"/>
    <x v="197"/>
    <x v="0"/>
    <s v="PROD194"/>
    <x v="770"/>
    <n v="345.26"/>
    <n v="5"/>
    <x v="1"/>
    <s v="Leverage Scalable Interfaces"/>
    <x v="0"/>
    <s v="Kaufman-Jones"/>
    <n v="73.33"/>
  </r>
  <r>
    <s v="ORD1771"/>
    <x v="423"/>
    <x v="3"/>
    <s v="PROD154"/>
    <x v="771"/>
    <n v="591.09"/>
    <n v="4"/>
    <x v="1"/>
    <s v="Utilize Virtual Partnerships"/>
    <x v="2"/>
    <s v="Smith, Diaz and Heath"/>
    <n v="193.02"/>
  </r>
  <r>
    <s v="ORD1772"/>
    <x v="611"/>
    <x v="1"/>
    <s v="PROD119"/>
    <x v="772"/>
    <n v="397.57"/>
    <n v="15"/>
    <x v="2"/>
    <s v="Generate Front-End Functionalities"/>
    <x v="0"/>
    <s v="Morales-Brown"/>
    <n v="299.77"/>
  </r>
  <r>
    <s v="ORD1773"/>
    <x v="70"/>
    <x v="0"/>
    <s v="PROD101"/>
    <x v="773"/>
    <n v="523.58000000000004"/>
    <n v="14"/>
    <x v="1"/>
    <s v="Harness Proactive Eyeballs"/>
    <x v="1"/>
    <s v="Moran and Sons"/>
    <n v="58.01"/>
  </r>
  <r>
    <s v="ORD1774"/>
    <x v="612"/>
    <x v="3"/>
    <s v="PROD178"/>
    <x v="774"/>
    <n v="728.07"/>
    <n v="11"/>
    <x v="0"/>
    <s v="Monetize Value-Added Niches"/>
    <x v="0"/>
    <s v="Foster, Velazquez and Lee"/>
    <n v="171.51"/>
  </r>
  <r>
    <s v="ORD1775"/>
    <x v="468"/>
    <x v="3"/>
    <s v="PROD154"/>
    <x v="775"/>
    <n v="488.95"/>
    <n v="4"/>
    <x v="0"/>
    <s v="Utilize Virtual Partnerships"/>
    <x v="2"/>
    <s v="Smith, Diaz and Heath"/>
    <n v="193.02"/>
  </r>
  <r>
    <s v="ORD1776"/>
    <x v="353"/>
    <x v="3"/>
    <s v="PROD190"/>
    <x v="776"/>
    <n v="148.56"/>
    <n v="2"/>
    <x v="2"/>
    <s v="Repurpose End-To-End Networks"/>
    <x v="0"/>
    <s v="Torres-Rush"/>
    <n v="97.02"/>
  </r>
  <r>
    <s v="ORD1777"/>
    <x v="613"/>
    <x v="2"/>
    <s v="PROD174"/>
    <x v="777"/>
    <n v="609.64"/>
    <n v="8"/>
    <x v="1"/>
    <s v="Disintermediate Scalable Bandwidth"/>
    <x v="1"/>
    <s v="Levy PLC"/>
    <n v="19.86"/>
  </r>
  <r>
    <s v="ORD1778"/>
    <x v="398"/>
    <x v="3"/>
    <s v="PROD126"/>
    <x v="778"/>
    <n v="909.63"/>
    <n v="14"/>
    <x v="0"/>
    <s v="Streamline Innovative Architectures"/>
    <x v="2"/>
    <s v="Price, Valentine and Lutz"/>
    <n v="291.14999999999998"/>
  </r>
  <r>
    <s v="ORD1779"/>
    <x v="614"/>
    <x v="1"/>
    <s v="PROD153"/>
    <x v="779"/>
    <n v="132.88"/>
    <n v="16"/>
    <x v="2"/>
    <s v="Seize Plug-And-Play Web-Readiness"/>
    <x v="1"/>
    <s v="Joseph, Mayer and Carr"/>
    <n v="102.73"/>
  </r>
  <r>
    <s v="ORD1780"/>
    <x v="615"/>
    <x v="3"/>
    <s v="PROD107"/>
    <x v="780"/>
    <n v="767.32"/>
    <n v="2"/>
    <x v="0"/>
    <s v="Utilize Back-End Models"/>
    <x v="2"/>
    <s v="Lewis-Holden"/>
    <n v="241.53"/>
  </r>
  <r>
    <s v="ORD1781"/>
    <x v="616"/>
    <x v="2"/>
    <s v="PROD134"/>
    <x v="781"/>
    <n v="376.61"/>
    <n v="13"/>
    <x v="2"/>
    <s v="Utilize Ubiquitous Synergies"/>
    <x v="1"/>
    <s v="Kramer, Huang and Shaw"/>
    <n v="295.89999999999998"/>
  </r>
  <r>
    <s v="ORD1782"/>
    <x v="189"/>
    <x v="0"/>
    <s v="PROD108"/>
    <x v="782"/>
    <n v="735.77"/>
    <n v="17"/>
    <x v="2"/>
    <s v="Synergize World-Class Networks"/>
    <x v="1"/>
    <s v="Gomez-Lawrence"/>
    <n v="72.37"/>
  </r>
  <r>
    <s v="ORD1783"/>
    <x v="475"/>
    <x v="1"/>
    <s v="PROD143"/>
    <x v="783"/>
    <n v="884.63"/>
    <n v="11"/>
    <x v="1"/>
    <s v="E-Enable Synergistic Vortals"/>
    <x v="1"/>
    <s v="Guzman Group"/>
    <n v="278.43"/>
  </r>
  <r>
    <s v="ORD1784"/>
    <x v="617"/>
    <x v="2"/>
    <s v="PROD116"/>
    <x v="784"/>
    <n v="386.45"/>
    <n v="8"/>
    <x v="2"/>
    <s v="Synergize Cross-Platform Vortals"/>
    <x v="2"/>
    <s v="Edwards Group"/>
    <n v="87.18"/>
  </r>
  <r>
    <s v="ORD1785"/>
    <x v="299"/>
    <x v="2"/>
    <s v="PROD103"/>
    <x v="785"/>
    <n v="103.17"/>
    <n v="8"/>
    <x v="1"/>
    <s v="Monetize Collaborative Metrics"/>
    <x v="1"/>
    <s v="Ramirez-Brown"/>
    <n v="286.04000000000002"/>
  </r>
  <r>
    <s v="ORD1786"/>
    <x v="618"/>
    <x v="0"/>
    <s v="PROD156"/>
    <x v="786"/>
    <n v="970.71"/>
    <n v="11"/>
    <x v="2"/>
    <s v="Empower Killer Info-Mediaries"/>
    <x v="2"/>
    <s v="Jones Ltd"/>
    <n v="213.24"/>
  </r>
  <r>
    <s v="ORD1787"/>
    <x v="619"/>
    <x v="1"/>
    <s v="PROD125"/>
    <x v="787"/>
    <n v="264.87"/>
    <n v="15"/>
    <x v="0"/>
    <s v="Leverage Cutting-Edge Vortals"/>
    <x v="1"/>
    <s v="Robinson, Garrett and Chavez"/>
    <n v="117.3"/>
  </r>
  <r>
    <s v="ORD1788"/>
    <x v="104"/>
    <x v="2"/>
    <s v="PROD107"/>
    <x v="788"/>
    <n v="939.98"/>
    <n v="18"/>
    <x v="0"/>
    <s v="Utilize Back-End Models"/>
    <x v="2"/>
    <s v="Lewis-Holden"/>
    <n v="241.53"/>
  </r>
  <r>
    <s v="ORD1789"/>
    <x v="620"/>
    <x v="3"/>
    <s v="PROD169"/>
    <x v="789"/>
    <n v="985.28"/>
    <n v="13"/>
    <x v="2"/>
    <s v="Unleash End-To-End Web Services"/>
    <x v="0"/>
    <s v="Jones Ltd"/>
    <n v="188.02"/>
  </r>
  <r>
    <s v="ORD1790"/>
    <x v="621"/>
    <x v="3"/>
    <s v="PROD136"/>
    <x v="790"/>
    <n v="965.15"/>
    <n v="10"/>
    <x v="0"/>
    <s v="Evolve Innovative Web Services"/>
    <x v="2"/>
    <s v="Bush Inc"/>
    <n v="87.75"/>
  </r>
  <r>
    <s v="ORD1791"/>
    <x v="71"/>
    <x v="2"/>
    <s v="PROD162"/>
    <x v="791"/>
    <n v="44.66"/>
    <n v="1"/>
    <x v="2"/>
    <s v="Reinvent Visionary Niches"/>
    <x v="2"/>
    <s v="Huber-Richmond"/>
    <n v="219.81"/>
  </r>
  <r>
    <s v="ORD1792"/>
    <x v="181"/>
    <x v="0"/>
    <s v="PROD127"/>
    <x v="792"/>
    <n v="398.12"/>
    <n v="13"/>
    <x v="0"/>
    <s v="Deliver Viral Channels"/>
    <x v="2"/>
    <s v="Parker LLC"/>
    <n v="45.41"/>
  </r>
  <r>
    <s v="ORD1793"/>
    <x v="622"/>
    <x v="2"/>
    <s v="PROD127"/>
    <x v="793"/>
    <n v="424.18"/>
    <n v="17"/>
    <x v="2"/>
    <s v="Deliver Viral Channels"/>
    <x v="2"/>
    <s v="Parker LLC"/>
    <n v="45.41"/>
  </r>
  <r>
    <s v="ORD1794"/>
    <x v="609"/>
    <x v="1"/>
    <s v="PROD167"/>
    <x v="794"/>
    <n v="74.2"/>
    <n v="16"/>
    <x v="2"/>
    <s v="Grow Synergistic Infrastructures"/>
    <x v="2"/>
    <s v="Adams-Carter"/>
    <n v="113.17"/>
  </r>
  <r>
    <s v="ORD1795"/>
    <x v="575"/>
    <x v="0"/>
    <s v="PROD129"/>
    <x v="795"/>
    <n v="444.27"/>
    <n v="9"/>
    <x v="2"/>
    <s v="Scale Vertical Networks"/>
    <x v="2"/>
    <s v="Lam, Wood and Jacobs"/>
    <n v="133.24"/>
  </r>
  <r>
    <s v="ORD1796"/>
    <x v="192"/>
    <x v="3"/>
    <s v="PROD104"/>
    <x v="796"/>
    <n v="635.36"/>
    <n v="17"/>
    <x v="0"/>
    <s v="Implement Clicks-And-Mortar Partnerships"/>
    <x v="1"/>
    <s v="Smith Inc"/>
    <n v="195.53"/>
  </r>
  <r>
    <s v="ORD1797"/>
    <x v="623"/>
    <x v="1"/>
    <s v="PROD100"/>
    <x v="797"/>
    <n v="838.49"/>
    <n v="6"/>
    <x v="2"/>
    <s v="Synthesize Scalable Portals"/>
    <x v="2"/>
    <s v="Singh, Villa and Flynn"/>
    <n v="298.57"/>
  </r>
  <r>
    <s v="ORD1798"/>
    <x v="624"/>
    <x v="3"/>
    <s v="PROD128"/>
    <x v="798"/>
    <n v="777.05"/>
    <n v="16"/>
    <x v="0"/>
    <s v="Brand Distributed Info-Mediaries"/>
    <x v="2"/>
    <s v="Garcia Ltd"/>
    <n v="114.48"/>
  </r>
  <r>
    <s v="ORD1799"/>
    <x v="625"/>
    <x v="2"/>
    <s v="PROD136"/>
    <x v="799"/>
    <n v="396.84"/>
    <n v="6"/>
    <x v="0"/>
    <s v="Evolve Innovative Web Services"/>
    <x v="2"/>
    <s v="Bush Inc"/>
    <n v="87.75"/>
  </r>
  <r>
    <s v="ORD1800"/>
    <x v="626"/>
    <x v="2"/>
    <s v="PROD117"/>
    <x v="800"/>
    <n v="658.7"/>
    <n v="4"/>
    <x v="1"/>
    <s v="Revolutionize Efficient Niches"/>
    <x v="1"/>
    <s v="Lopez-Torres"/>
    <n v="23.02"/>
  </r>
  <r>
    <s v="ORD1801"/>
    <x v="341"/>
    <x v="3"/>
    <s v="PROD119"/>
    <x v="801"/>
    <n v="204.36"/>
    <n v="8"/>
    <x v="1"/>
    <s v="Generate Front-End Functionalities"/>
    <x v="0"/>
    <s v="Morales-Brown"/>
    <n v="299.77"/>
  </r>
  <r>
    <s v="ORD1802"/>
    <x v="627"/>
    <x v="0"/>
    <s v="PROD178"/>
    <x v="802"/>
    <n v="527.69000000000005"/>
    <n v="10"/>
    <x v="0"/>
    <s v="Monetize Value-Added Niches"/>
    <x v="0"/>
    <s v="Foster, Velazquez and Lee"/>
    <n v="171.51"/>
  </r>
  <r>
    <s v="ORD1803"/>
    <x v="628"/>
    <x v="1"/>
    <s v="PROD174"/>
    <x v="803"/>
    <n v="678.2"/>
    <n v="11"/>
    <x v="2"/>
    <s v="Disintermediate Scalable Bandwidth"/>
    <x v="1"/>
    <s v="Levy PLC"/>
    <n v="19.86"/>
  </r>
  <r>
    <s v="ORD1804"/>
    <x v="629"/>
    <x v="0"/>
    <s v="PROD107"/>
    <x v="804"/>
    <n v="565.88"/>
    <n v="19"/>
    <x v="0"/>
    <s v="Utilize Back-End Models"/>
    <x v="2"/>
    <s v="Lewis-Holden"/>
    <n v="241.53"/>
  </r>
  <r>
    <s v="ORD1805"/>
    <x v="630"/>
    <x v="3"/>
    <s v="PROD123"/>
    <x v="805"/>
    <n v="886.95"/>
    <n v="16"/>
    <x v="2"/>
    <s v="Redefine Real-Time Convergence"/>
    <x v="1"/>
    <s v="Hayes, Peters and Douglas"/>
    <n v="78.260000000000005"/>
  </r>
  <r>
    <s v="ORD1806"/>
    <x v="533"/>
    <x v="2"/>
    <s v="PROD145"/>
    <x v="806"/>
    <n v="713.69"/>
    <n v="6"/>
    <x v="2"/>
    <s v="Innovate Strategic Systems"/>
    <x v="0"/>
    <s v="Mcfarland, Parker and Armstrong"/>
    <n v="70.239999999999995"/>
  </r>
  <r>
    <s v="ORD1807"/>
    <x v="161"/>
    <x v="2"/>
    <s v="PROD104"/>
    <x v="807"/>
    <n v="990"/>
    <n v="11"/>
    <x v="1"/>
    <s v="Implement Clicks-And-Mortar Partnerships"/>
    <x v="1"/>
    <s v="Smith Inc"/>
    <n v="195.53"/>
  </r>
  <r>
    <s v="ORD1808"/>
    <x v="221"/>
    <x v="3"/>
    <s v="PROD190"/>
    <x v="808"/>
    <n v="683.49"/>
    <n v="15"/>
    <x v="2"/>
    <s v="Repurpose End-To-End Networks"/>
    <x v="0"/>
    <s v="Torres-Rush"/>
    <n v="97.02"/>
  </r>
  <r>
    <s v="ORD1809"/>
    <x v="631"/>
    <x v="0"/>
    <s v="PROD173"/>
    <x v="809"/>
    <n v="948.92"/>
    <n v="1"/>
    <x v="2"/>
    <s v="Whiteboard Sticky Content"/>
    <x v="2"/>
    <s v="Wolfe Group"/>
    <n v="82.16"/>
  </r>
  <r>
    <s v="ORD1810"/>
    <x v="632"/>
    <x v="0"/>
    <s v="PROD108"/>
    <x v="810"/>
    <n v="578.29999999999995"/>
    <n v="14"/>
    <x v="2"/>
    <s v="Synergize World-Class Networks"/>
    <x v="1"/>
    <s v="Gomez-Lawrence"/>
    <n v="72.37"/>
  </r>
  <r>
    <s v="ORD1811"/>
    <x v="633"/>
    <x v="3"/>
    <s v="PROD107"/>
    <x v="811"/>
    <n v="169.17"/>
    <n v="4"/>
    <x v="0"/>
    <s v="Utilize Back-End Models"/>
    <x v="2"/>
    <s v="Lewis-Holden"/>
    <n v="241.53"/>
  </r>
  <r>
    <s v="ORD1812"/>
    <x v="634"/>
    <x v="2"/>
    <s v="PROD182"/>
    <x v="812"/>
    <n v="259.27999999999997"/>
    <n v="2"/>
    <x v="2"/>
    <s v="Strategize Best-Of-Breed Web-Readiness"/>
    <x v="0"/>
    <s v="Morris, King and Ayers"/>
    <n v="220.16"/>
  </r>
  <r>
    <s v="ORD1813"/>
    <x v="635"/>
    <x v="0"/>
    <s v="PROD144"/>
    <x v="813"/>
    <n v="778.51"/>
    <n v="9"/>
    <x v="1"/>
    <s v="Expedite Synergistic Web-Readiness"/>
    <x v="1"/>
    <s v="Dunlap, Carpenter and Monroe"/>
    <n v="289.66000000000003"/>
  </r>
  <r>
    <s v="ORD1814"/>
    <x v="636"/>
    <x v="2"/>
    <s v="PROD126"/>
    <x v="814"/>
    <n v="183.92"/>
    <n v="14"/>
    <x v="0"/>
    <s v="Streamline Innovative Architectures"/>
    <x v="2"/>
    <s v="Price, Valentine and Lutz"/>
    <n v="291.14999999999998"/>
  </r>
  <r>
    <s v="ORD1815"/>
    <x v="542"/>
    <x v="1"/>
    <s v="PROD121"/>
    <x v="815"/>
    <n v="451.14"/>
    <n v="10"/>
    <x v="2"/>
    <s v="Whiteboard B2B Content"/>
    <x v="0"/>
    <s v="Romero PLC"/>
    <n v="93.81"/>
  </r>
  <r>
    <s v="ORD1816"/>
    <x v="152"/>
    <x v="3"/>
    <s v="PROD119"/>
    <x v="816"/>
    <n v="15.36"/>
    <n v="12"/>
    <x v="2"/>
    <s v="Generate Front-End Functionalities"/>
    <x v="0"/>
    <s v="Morales-Brown"/>
    <n v="299.77"/>
  </r>
  <r>
    <s v="ORD1817"/>
    <x v="637"/>
    <x v="3"/>
    <s v="PROD142"/>
    <x v="817"/>
    <n v="486.95"/>
    <n v="15"/>
    <x v="0"/>
    <s v="Target Bricks-And-Clicks Channels"/>
    <x v="1"/>
    <s v="Dunn, Christensen and Meyer"/>
    <n v="126.86"/>
  </r>
  <r>
    <s v="ORD1818"/>
    <x v="638"/>
    <x v="0"/>
    <s v="PROD108"/>
    <x v="818"/>
    <n v="800.24"/>
    <n v="11"/>
    <x v="1"/>
    <s v="Synergize World-Class Networks"/>
    <x v="1"/>
    <s v="Gomez-Lawrence"/>
    <n v="72.37"/>
  </r>
  <r>
    <s v="ORD1819"/>
    <x v="639"/>
    <x v="3"/>
    <s v="PROD194"/>
    <x v="819"/>
    <n v="15.17"/>
    <n v="10"/>
    <x v="0"/>
    <s v="Leverage Scalable Interfaces"/>
    <x v="0"/>
    <s v="Kaufman-Jones"/>
    <n v="73.33"/>
  </r>
  <r>
    <s v="ORD1820"/>
    <x v="640"/>
    <x v="0"/>
    <s v="PROD106"/>
    <x v="820"/>
    <n v="86.49"/>
    <n v="12"/>
    <x v="2"/>
    <s v="Synergize End-To-End Supply-Chains"/>
    <x v="0"/>
    <s v="Higgins-Espinoza"/>
    <n v="279.8"/>
  </r>
  <r>
    <s v="ORD1821"/>
    <x v="641"/>
    <x v="2"/>
    <s v="PROD130"/>
    <x v="821"/>
    <n v="438.77"/>
    <n v="9"/>
    <x v="2"/>
    <s v="Synthesize Wireless Initiatives"/>
    <x v="1"/>
    <s v="Mosley Ltd"/>
    <n v="162.69999999999999"/>
  </r>
  <r>
    <s v="ORD1822"/>
    <x v="597"/>
    <x v="2"/>
    <s v="PROD111"/>
    <x v="822"/>
    <n v="980.94"/>
    <n v="10"/>
    <x v="0"/>
    <s v="Harness Revolutionary Interfaces"/>
    <x v="2"/>
    <s v="Davis, Short and Nguyen"/>
    <n v="26.49"/>
  </r>
  <r>
    <s v="ORD1823"/>
    <x v="642"/>
    <x v="0"/>
    <s v="PROD169"/>
    <x v="823"/>
    <n v="851.55"/>
    <n v="18"/>
    <x v="1"/>
    <s v="Unleash End-To-End Web Services"/>
    <x v="0"/>
    <s v="Jones Ltd"/>
    <n v="188.02"/>
  </r>
  <r>
    <s v="ORD1824"/>
    <x v="571"/>
    <x v="0"/>
    <s v="PROD141"/>
    <x v="824"/>
    <n v="179.58"/>
    <n v="15"/>
    <x v="1"/>
    <s v="Re-Contextualize Integrated Info-Mediaries"/>
    <x v="1"/>
    <s v="Jones-Schroeder"/>
    <n v="26.02"/>
  </r>
  <r>
    <s v="ORD1825"/>
    <x v="643"/>
    <x v="0"/>
    <s v="PROD113"/>
    <x v="825"/>
    <n v="770.97"/>
    <n v="3"/>
    <x v="1"/>
    <s v="Envisioneer B2B Users"/>
    <x v="0"/>
    <s v="Rogers Group"/>
    <n v="239.16"/>
  </r>
  <r>
    <s v="ORD1826"/>
    <x v="644"/>
    <x v="1"/>
    <s v="PROD181"/>
    <x v="826"/>
    <n v="955.56"/>
    <n v="17"/>
    <x v="0"/>
    <s v="Extend Bricks-And-Clicks Niches"/>
    <x v="0"/>
    <s v="Hernandez-Rios"/>
    <n v="65.989999999999995"/>
  </r>
  <r>
    <s v="ORD1827"/>
    <x v="645"/>
    <x v="1"/>
    <s v="PROD163"/>
    <x v="827"/>
    <n v="603.79"/>
    <n v="18"/>
    <x v="1"/>
    <s v="Grow Back-End Supply-Chains"/>
    <x v="1"/>
    <s v="Green LLC"/>
    <n v="140.08000000000001"/>
  </r>
  <r>
    <s v="ORD1828"/>
    <x v="646"/>
    <x v="0"/>
    <s v="PROD115"/>
    <x v="828"/>
    <n v="286.72000000000003"/>
    <n v="13"/>
    <x v="2"/>
    <s v="Morph World-Class Synergies"/>
    <x v="1"/>
    <s v="Bryant Ltd"/>
    <n v="20.69"/>
  </r>
  <r>
    <s v="ORD1829"/>
    <x v="647"/>
    <x v="2"/>
    <s v="PROD172"/>
    <x v="829"/>
    <n v="673.41"/>
    <n v="2"/>
    <x v="2"/>
    <s v="E-Enable Virtual Methodologies"/>
    <x v="0"/>
    <s v="Floyd-Love"/>
    <n v="283.64999999999998"/>
  </r>
  <r>
    <s v="ORD1830"/>
    <x v="648"/>
    <x v="0"/>
    <s v="PROD173"/>
    <x v="830"/>
    <n v="75.819999999999993"/>
    <n v="8"/>
    <x v="0"/>
    <s v="Whiteboard Sticky Content"/>
    <x v="2"/>
    <s v="Wolfe Group"/>
    <n v="82.16"/>
  </r>
  <r>
    <s v="ORD1831"/>
    <x v="649"/>
    <x v="0"/>
    <s v="PROD133"/>
    <x v="831"/>
    <n v="276.94"/>
    <n v="12"/>
    <x v="0"/>
    <s v="Re-Intermediate Seamless Applications"/>
    <x v="0"/>
    <s v="Welch-Reed"/>
    <n v="45.82"/>
  </r>
  <r>
    <s v="ORD1832"/>
    <x v="650"/>
    <x v="0"/>
    <s v="PROD129"/>
    <x v="832"/>
    <n v="200.44"/>
    <n v="7"/>
    <x v="2"/>
    <s v="Scale Vertical Networks"/>
    <x v="2"/>
    <s v="Lam, Wood and Jacobs"/>
    <n v="133.24"/>
  </r>
  <r>
    <s v="ORD1833"/>
    <x v="36"/>
    <x v="1"/>
    <s v="PROD137"/>
    <x v="833"/>
    <n v="692.04"/>
    <n v="14"/>
    <x v="0"/>
    <s v="Optimize Collaborative Initiatives"/>
    <x v="1"/>
    <s v="Adkins Ltd"/>
    <n v="34.46"/>
  </r>
  <r>
    <s v="ORD1834"/>
    <x v="651"/>
    <x v="3"/>
    <s v="PROD121"/>
    <x v="834"/>
    <n v="212.88"/>
    <n v="13"/>
    <x v="0"/>
    <s v="Whiteboard B2B Content"/>
    <x v="0"/>
    <s v="Romero PLC"/>
    <n v="93.81"/>
  </r>
  <r>
    <s v="ORD1835"/>
    <x v="652"/>
    <x v="0"/>
    <s v="PROD160"/>
    <x v="835"/>
    <n v="10.86"/>
    <n v="11"/>
    <x v="1"/>
    <s v="Deliver Extensible Partnerships"/>
    <x v="2"/>
    <s v="Martin, Paul and Salazar"/>
    <n v="43.76"/>
  </r>
  <r>
    <s v="ORD1836"/>
    <x v="230"/>
    <x v="2"/>
    <s v="PROD111"/>
    <x v="836"/>
    <n v="127.93"/>
    <n v="11"/>
    <x v="1"/>
    <s v="Harness Revolutionary Interfaces"/>
    <x v="2"/>
    <s v="Davis, Short and Nguyen"/>
    <n v="26.49"/>
  </r>
  <r>
    <s v="ORD1837"/>
    <x v="653"/>
    <x v="1"/>
    <s v="PROD154"/>
    <x v="837"/>
    <n v="457.09"/>
    <n v="16"/>
    <x v="1"/>
    <s v="Utilize Virtual Partnerships"/>
    <x v="2"/>
    <s v="Smith, Diaz and Heath"/>
    <n v="193.02"/>
  </r>
  <r>
    <s v="ORD1838"/>
    <x v="654"/>
    <x v="0"/>
    <s v="PROD180"/>
    <x v="838"/>
    <n v="278.07"/>
    <n v="18"/>
    <x v="1"/>
    <s v="Iterate Extensible Roi"/>
    <x v="0"/>
    <s v="Hill-Kelly"/>
    <n v="180"/>
  </r>
  <r>
    <s v="ORD1839"/>
    <x v="655"/>
    <x v="3"/>
    <s v="PROD197"/>
    <x v="839"/>
    <n v="54.44"/>
    <n v="13"/>
    <x v="1"/>
    <s v="Leverage Rich Portals"/>
    <x v="0"/>
    <s v="Wilson PLC"/>
    <n v="46.35"/>
  </r>
  <r>
    <s v="ORD1840"/>
    <x v="628"/>
    <x v="3"/>
    <s v="PROD129"/>
    <x v="840"/>
    <n v="146.19999999999999"/>
    <n v="6"/>
    <x v="0"/>
    <s v="Scale Vertical Networks"/>
    <x v="2"/>
    <s v="Lam, Wood and Jacobs"/>
    <n v="133.24"/>
  </r>
  <r>
    <s v="ORD1841"/>
    <x v="324"/>
    <x v="3"/>
    <s v="PROD148"/>
    <x v="841"/>
    <n v="983.76"/>
    <n v="6"/>
    <x v="1"/>
    <s v="Empower Seamless Roi"/>
    <x v="0"/>
    <s v="Proctor Group"/>
    <n v="266.64999999999998"/>
  </r>
  <r>
    <s v="ORD1842"/>
    <x v="359"/>
    <x v="0"/>
    <s v="PROD176"/>
    <x v="842"/>
    <n v="901.84"/>
    <n v="7"/>
    <x v="2"/>
    <s v="Facilitate Integrated E-Business"/>
    <x v="0"/>
    <s v="Chang-Vargas"/>
    <n v="130.33000000000001"/>
  </r>
  <r>
    <s v="ORD1843"/>
    <x v="250"/>
    <x v="2"/>
    <s v="PROD190"/>
    <x v="843"/>
    <n v="926.99"/>
    <n v="4"/>
    <x v="1"/>
    <s v="Repurpose End-To-End Networks"/>
    <x v="0"/>
    <s v="Torres-Rush"/>
    <n v="97.02"/>
  </r>
  <r>
    <s v="ORD1844"/>
    <x v="268"/>
    <x v="1"/>
    <s v="PROD172"/>
    <x v="844"/>
    <n v="332.58"/>
    <n v="19"/>
    <x v="0"/>
    <s v="E-Enable Virtual Methodologies"/>
    <x v="0"/>
    <s v="Floyd-Love"/>
    <n v="283.64999999999998"/>
  </r>
  <r>
    <s v="ORD1845"/>
    <x v="103"/>
    <x v="1"/>
    <s v="PROD146"/>
    <x v="845"/>
    <n v="864.36"/>
    <n v="17"/>
    <x v="1"/>
    <s v="Engage Rich Web-Readiness"/>
    <x v="0"/>
    <s v="Turner Inc"/>
    <n v="81.069999999999993"/>
  </r>
  <r>
    <s v="ORD1846"/>
    <x v="656"/>
    <x v="1"/>
    <s v="PROD158"/>
    <x v="846"/>
    <n v="485.08"/>
    <n v="10"/>
    <x v="2"/>
    <s v="Brand Web-Enabled Solutions"/>
    <x v="1"/>
    <s v="Russell Group"/>
    <n v="51.67"/>
  </r>
  <r>
    <s v="ORD1847"/>
    <x v="199"/>
    <x v="1"/>
    <s v="PROD199"/>
    <x v="847"/>
    <n v="838.28"/>
    <n v="4"/>
    <x v="0"/>
    <s v="Scale Cross-Platform Web Services"/>
    <x v="2"/>
    <s v="Morrow, Brock and Lewis"/>
    <n v="115.21"/>
  </r>
  <r>
    <s v="ORD1848"/>
    <x v="406"/>
    <x v="0"/>
    <s v="PROD114"/>
    <x v="848"/>
    <n v="998.33"/>
    <n v="11"/>
    <x v="2"/>
    <s v="Orchestrate User-Centric Platforms"/>
    <x v="2"/>
    <s v="Wells Ltd"/>
    <n v="201.87"/>
  </r>
  <r>
    <s v="ORD1849"/>
    <x v="657"/>
    <x v="0"/>
    <s v="PROD193"/>
    <x v="849"/>
    <n v="118.05"/>
    <n v="15"/>
    <x v="0"/>
    <s v="Innovate Sticky Web Services"/>
    <x v="1"/>
    <s v="Friedman, Sanders and Adams"/>
    <n v="125.85"/>
  </r>
  <r>
    <s v="ORD1850"/>
    <x v="658"/>
    <x v="1"/>
    <s v="PROD185"/>
    <x v="850"/>
    <n v="254.88"/>
    <n v="14"/>
    <x v="0"/>
    <s v="Generate End-To-End Functionalities"/>
    <x v="1"/>
    <s v="Sanchez-Stewart"/>
    <n v="196.15"/>
  </r>
  <r>
    <s v="ORD1851"/>
    <x v="659"/>
    <x v="1"/>
    <s v="PROD127"/>
    <x v="851"/>
    <n v="904.41"/>
    <n v="6"/>
    <x v="2"/>
    <s v="Deliver Viral Channels"/>
    <x v="2"/>
    <s v="Parker LLC"/>
    <n v="45.41"/>
  </r>
  <r>
    <s v="ORD1852"/>
    <x v="660"/>
    <x v="3"/>
    <s v="PROD189"/>
    <x v="852"/>
    <n v="151.85"/>
    <n v="17"/>
    <x v="0"/>
    <s v="E-Enable Next-Generation Experiences"/>
    <x v="2"/>
    <s v="Sanchez-Quinn"/>
    <n v="266.93"/>
  </r>
  <r>
    <s v="ORD1853"/>
    <x v="47"/>
    <x v="2"/>
    <s v="PROD140"/>
    <x v="853"/>
    <n v="430.24"/>
    <n v="14"/>
    <x v="0"/>
    <s v="Extend Bricks-And-Clicks Architectures"/>
    <x v="2"/>
    <s v="Fuller PLC"/>
    <n v="202.99"/>
  </r>
  <r>
    <s v="ORD1854"/>
    <x v="661"/>
    <x v="3"/>
    <s v="PROD189"/>
    <x v="854"/>
    <n v="85.51"/>
    <n v="6"/>
    <x v="0"/>
    <s v="E-Enable Next-Generation Experiences"/>
    <x v="2"/>
    <s v="Sanchez-Quinn"/>
    <n v="266.93"/>
  </r>
  <r>
    <s v="ORD1855"/>
    <x v="662"/>
    <x v="1"/>
    <s v="PROD186"/>
    <x v="855"/>
    <n v="996.88"/>
    <n v="11"/>
    <x v="1"/>
    <s v="Reinvent Mission-Critical Markets"/>
    <x v="2"/>
    <s v="Gilbert-Sanders"/>
    <n v="154.21"/>
  </r>
  <r>
    <s v="ORD1856"/>
    <x v="663"/>
    <x v="0"/>
    <s v="PROD111"/>
    <x v="856"/>
    <n v="725.05"/>
    <n v="14"/>
    <x v="1"/>
    <s v="Harness Revolutionary Interfaces"/>
    <x v="2"/>
    <s v="Davis, Short and Nguyen"/>
    <n v="26.49"/>
  </r>
  <r>
    <s v="ORD1857"/>
    <x v="385"/>
    <x v="0"/>
    <s v="PROD140"/>
    <x v="857"/>
    <n v="636.61"/>
    <n v="10"/>
    <x v="2"/>
    <s v="Extend Bricks-And-Clicks Architectures"/>
    <x v="2"/>
    <s v="Fuller PLC"/>
    <n v="202.99"/>
  </r>
  <r>
    <s v="ORD1858"/>
    <x v="664"/>
    <x v="0"/>
    <s v="PROD168"/>
    <x v="858"/>
    <n v="744.51"/>
    <n v="8"/>
    <x v="1"/>
    <s v="Facilitate End-To-End Experiences"/>
    <x v="0"/>
    <s v="Pierce-Goodwin"/>
    <n v="260.52999999999997"/>
  </r>
  <r>
    <s v="ORD1859"/>
    <x v="665"/>
    <x v="3"/>
    <s v="PROD171"/>
    <x v="859"/>
    <n v="63.32"/>
    <n v="1"/>
    <x v="2"/>
    <s v="Scale 24/365 Networks"/>
    <x v="2"/>
    <s v="Kim-Hamilton"/>
    <n v="157.55000000000001"/>
  </r>
  <r>
    <s v="ORD1860"/>
    <x v="666"/>
    <x v="0"/>
    <s v="PROD108"/>
    <x v="860"/>
    <n v="849.4"/>
    <n v="7"/>
    <x v="2"/>
    <s v="Synergize World-Class Networks"/>
    <x v="1"/>
    <s v="Gomez-Lawrence"/>
    <n v="72.37"/>
  </r>
  <r>
    <s v="ORD1861"/>
    <x v="262"/>
    <x v="1"/>
    <s v="PROD148"/>
    <x v="861"/>
    <n v="709.11"/>
    <n v="18"/>
    <x v="2"/>
    <s v="Empower Seamless Roi"/>
    <x v="0"/>
    <s v="Proctor Group"/>
    <n v="266.64999999999998"/>
  </r>
  <r>
    <s v="ORD1862"/>
    <x v="268"/>
    <x v="1"/>
    <s v="PROD112"/>
    <x v="862"/>
    <n v="256.35000000000002"/>
    <n v="12"/>
    <x v="0"/>
    <s v="Seize Clicks-And-Mortar Platforms"/>
    <x v="0"/>
    <s v="Owens, Campos and Wood"/>
    <n v="271.16000000000003"/>
  </r>
  <r>
    <s v="ORD1863"/>
    <x v="667"/>
    <x v="2"/>
    <s v="PROD147"/>
    <x v="863"/>
    <n v="891.71"/>
    <n v="2"/>
    <x v="0"/>
    <s v="Brand B2C Info-Mediaries"/>
    <x v="0"/>
    <s v="Preston Ltd"/>
    <n v="13.46"/>
  </r>
  <r>
    <s v="ORD1864"/>
    <x v="259"/>
    <x v="2"/>
    <s v="PROD188"/>
    <x v="864"/>
    <n v="915.78"/>
    <n v="13"/>
    <x v="0"/>
    <s v="Transition Mission-Critical Interfaces"/>
    <x v="0"/>
    <s v="Weaver Ltd"/>
    <n v="34.64"/>
  </r>
  <r>
    <s v="ORD1865"/>
    <x v="456"/>
    <x v="3"/>
    <s v="PROD195"/>
    <x v="865"/>
    <n v="372.44"/>
    <n v="12"/>
    <x v="1"/>
    <s v="Reinvent Out-Of-The-Box Models"/>
    <x v="0"/>
    <s v="Wagner-Curtis"/>
    <n v="172.34"/>
  </r>
  <r>
    <s v="ORD1866"/>
    <x v="668"/>
    <x v="0"/>
    <s v="PROD169"/>
    <x v="866"/>
    <n v="981.94"/>
    <n v="11"/>
    <x v="2"/>
    <s v="Unleash End-To-End Web Services"/>
    <x v="0"/>
    <s v="Jones Ltd"/>
    <n v="188.02"/>
  </r>
  <r>
    <s v="ORD1867"/>
    <x v="516"/>
    <x v="3"/>
    <s v="PROD177"/>
    <x v="867"/>
    <n v="150.52000000000001"/>
    <n v="7"/>
    <x v="1"/>
    <s v="Deploy Granular Channels"/>
    <x v="2"/>
    <s v="Barnes Ltd"/>
    <n v="288.99"/>
  </r>
  <r>
    <s v="ORD1868"/>
    <x v="353"/>
    <x v="1"/>
    <s v="PROD129"/>
    <x v="868"/>
    <n v="720.12"/>
    <n v="14"/>
    <x v="2"/>
    <s v="Scale Vertical Networks"/>
    <x v="2"/>
    <s v="Lam, Wood and Jacobs"/>
    <n v="133.24"/>
  </r>
  <r>
    <s v="ORD1869"/>
    <x v="669"/>
    <x v="0"/>
    <s v="PROD195"/>
    <x v="869"/>
    <n v="413.18"/>
    <n v="7"/>
    <x v="0"/>
    <s v="Reinvent Out-Of-The-Box Models"/>
    <x v="0"/>
    <s v="Wagner-Curtis"/>
    <n v="172.34"/>
  </r>
  <r>
    <s v="ORD1870"/>
    <x v="499"/>
    <x v="0"/>
    <s v="PROD159"/>
    <x v="870"/>
    <n v="265.19"/>
    <n v="1"/>
    <x v="1"/>
    <s v="Mesh Intuitive Supply-Chains"/>
    <x v="1"/>
    <s v="Soto, Barnett and Heath"/>
    <n v="281"/>
  </r>
  <r>
    <s v="ORD1871"/>
    <x v="670"/>
    <x v="2"/>
    <s v="PROD130"/>
    <x v="871"/>
    <n v="878.66"/>
    <n v="7"/>
    <x v="0"/>
    <s v="Synthesize Wireless Initiatives"/>
    <x v="1"/>
    <s v="Mosley Ltd"/>
    <n v="162.69999999999999"/>
  </r>
  <r>
    <s v="ORD1872"/>
    <x v="671"/>
    <x v="1"/>
    <s v="PROD184"/>
    <x v="872"/>
    <n v="556.13"/>
    <n v="7"/>
    <x v="1"/>
    <s v="Embrace 24/365 Functionalities"/>
    <x v="0"/>
    <s v="Smith LLC"/>
    <n v="204.04"/>
  </r>
  <r>
    <s v="ORD1873"/>
    <x v="4"/>
    <x v="2"/>
    <s v="PROD197"/>
    <x v="873"/>
    <n v="144.36000000000001"/>
    <n v="7"/>
    <x v="0"/>
    <s v="Leverage Rich Portals"/>
    <x v="0"/>
    <s v="Wilson PLC"/>
    <n v="46.35"/>
  </r>
  <r>
    <s v="ORD1874"/>
    <x v="437"/>
    <x v="1"/>
    <s v="PROD109"/>
    <x v="874"/>
    <n v="635.79999999999995"/>
    <n v="4"/>
    <x v="0"/>
    <s v="Orchestrate E-Business Niches"/>
    <x v="2"/>
    <s v="Johnson LLC"/>
    <n v="198.99"/>
  </r>
  <r>
    <s v="ORD1875"/>
    <x v="672"/>
    <x v="2"/>
    <s v="PROD140"/>
    <x v="875"/>
    <n v="104.68"/>
    <n v="5"/>
    <x v="1"/>
    <s v="Extend Bricks-And-Clicks Architectures"/>
    <x v="2"/>
    <s v="Fuller PLC"/>
    <n v="202.99"/>
  </r>
  <r>
    <s v="ORD1876"/>
    <x v="147"/>
    <x v="3"/>
    <s v="PROD117"/>
    <x v="876"/>
    <n v="920.5"/>
    <n v="4"/>
    <x v="0"/>
    <s v="Revolutionize Efficient Niches"/>
    <x v="1"/>
    <s v="Lopez-Torres"/>
    <n v="23.02"/>
  </r>
  <r>
    <s v="ORD1877"/>
    <x v="519"/>
    <x v="1"/>
    <s v="PROD171"/>
    <x v="877"/>
    <n v="440.96"/>
    <n v="4"/>
    <x v="2"/>
    <s v="Scale 24/365 Networks"/>
    <x v="2"/>
    <s v="Kim-Hamilton"/>
    <n v="157.55000000000001"/>
  </r>
  <r>
    <s v="ORD1878"/>
    <x v="673"/>
    <x v="1"/>
    <s v="PROD151"/>
    <x v="878"/>
    <n v="804.67"/>
    <n v="16"/>
    <x v="1"/>
    <s v="Re-Contextualize Viral Markets"/>
    <x v="1"/>
    <s v="Meadows-Barber"/>
    <n v="177.52"/>
  </r>
  <r>
    <s v="ORD1879"/>
    <x v="609"/>
    <x v="0"/>
    <s v="PROD176"/>
    <x v="879"/>
    <n v="320.38"/>
    <n v="8"/>
    <x v="0"/>
    <s v="Facilitate Integrated E-Business"/>
    <x v="0"/>
    <s v="Chang-Vargas"/>
    <n v="130.33000000000001"/>
  </r>
  <r>
    <s v="ORD1880"/>
    <x v="207"/>
    <x v="2"/>
    <s v="PROD142"/>
    <x v="880"/>
    <n v="673.42"/>
    <n v="20"/>
    <x v="1"/>
    <s v="Target Bricks-And-Clicks Channels"/>
    <x v="1"/>
    <s v="Dunn, Christensen and Meyer"/>
    <n v="126.86"/>
  </r>
  <r>
    <s v="ORD1881"/>
    <x v="68"/>
    <x v="0"/>
    <s v="PROD135"/>
    <x v="881"/>
    <n v="641.16"/>
    <n v="9"/>
    <x v="1"/>
    <s v="Optimize 24/365 E-Services"/>
    <x v="0"/>
    <s v="Chase Ltd"/>
    <n v="100.35"/>
  </r>
  <r>
    <s v="ORD1882"/>
    <x v="674"/>
    <x v="1"/>
    <s v="PROD147"/>
    <x v="882"/>
    <n v="599.30999999999995"/>
    <n v="3"/>
    <x v="1"/>
    <s v="Brand B2C Info-Mediaries"/>
    <x v="0"/>
    <s v="Preston Ltd"/>
    <n v="13.46"/>
  </r>
  <r>
    <s v="ORD1883"/>
    <x v="675"/>
    <x v="0"/>
    <s v="PROD111"/>
    <x v="883"/>
    <n v="914.14"/>
    <n v="14"/>
    <x v="2"/>
    <s v="Harness Revolutionary Interfaces"/>
    <x v="2"/>
    <s v="Davis, Short and Nguyen"/>
    <n v="26.49"/>
  </r>
  <r>
    <s v="ORD1884"/>
    <x v="487"/>
    <x v="2"/>
    <s v="PROD136"/>
    <x v="884"/>
    <n v="156.32"/>
    <n v="2"/>
    <x v="0"/>
    <s v="Evolve Innovative Web Services"/>
    <x v="2"/>
    <s v="Bush Inc"/>
    <n v="87.75"/>
  </r>
  <r>
    <s v="ORD1885"/>
    <x v="676"/>
    <x v="3"/>
    <s v="PROD129"/>
    <x v="885"/>
    <n v="263.07"/>
    <n v="18"/>
    <x v="2"/>
    <s v="Scale Vertical Networks"/>
    <x v="2"/>
    <s v="Lam, Wood and Jacobs"/>
    <n v="133.24"/>
  </r>
  <r>
    <s v="ORD1886"/>
    <x v="279"/>
    <x v="3"/>
    <s v="PROD103"/>
    <x v="886"/>
    <n v="373.87"/>
    <n v="18"/>
    <x v="1"/>
    <s v="Monetize Collaborative Metrics"/>
    <x v="1"/>
    <s v="Ramirez-Brown"/>
    <n v="286.04000000000002"/>
  </r>
  <r>
    <s v="ORD1887"/>
    <x v="677"/>
    <x v="1"/>
    <s v="PROD191"/>
    <x v="887"/>
    <n v="620.79999999999995"/>
    <n v="6"/>
    <x v="2"/>
    <s v="Synergize Frictionless Synergies"/>
    <x v="2"/>
    <s v="Hester and Sons"/>
    <n v="289.06"/>
  </r>
  <r>
    <s v="ORD1888"/>
    <x v="678"/>
    <x v="2"/>
    <s v="PROD132"/>
    <x v="888"/>
    <n v="796.95"/>
    <n v="11"/>
    <x v="2"/>
    <s v="Synergize End-To-End Roi"/>
    <x v="1"/>
    <s v="Evans-Smith"/>
    <n v="159.85"/>
  </r>
  <r>
    <s v="ORD1889"/>
    <x v="679"/>
    <x v="3"/>
    <s v="PROD135"/>
    <x v="889"/>
    <n v="956.49"/>
    <n v="12"/>
    <x v="2"/>
    <s v="Optimize 24/365 E-Services"/>
    <x v="0"/>
    <s v="Chase Ltd"/>
    <n v="100.35"/>
  </r>
  <r>
    <s v="ORD1890"/>
    <x v="680"/>
    <x v="3"/>
    <s v="PROD171"/>
    <x v="890"/>
    <n v="728.11"/>
    <n v="2"/>
    <x v="2"/>
    <s v="Scale 24/365 Networks"/>
    <x v="2"/>
    <s v="Kim-Hamilton"/>
    <n v="157.55000000000001"/>
  </r>
  <r>
    <s v="ORD1891"/>
    <x v="257"/>
    <x v="3"/>
    <s v="PROD167"/>
    <x v="891"/>
    <n v="186.62"/>
    <n v="17"/>
    <x v="0"/>
    <s v="Grow Synergistic Infrastructures"/>
    <x v="2"/>
    <s v="Adams-Carter"/>
    <n v="113.17"/>
  </r>
  <r>
    <s v="ORD1892"/>
    <x v="681"/>
    <x v="0"/>
    <s v="PROD102"/>
    <x v="892"/>
    <n v="886.32"/>
    <n v="19"/>
    <x v="0"/>
    <s v="Optimize Transparent E-Markets"/>
    <x v="0"/>
    <s v="Lee, Tyler and Blevins"/>
    <n v="111.22"/>
  </r>
  <r>
    <s v="ORD1893"/>
    <x v="494"/>
    <x v="3"/>
    <s v="PROD161"/>
    <x v="893"/>
    <n v="456.8"/>
    <n v="11"/>
    <x v="0"/>
    <s v="Synergize E-Business Deliverables"/>
    <x v="1"/>
    <s v="Crawford, Warren and Williams"/>
    <n v="125.93"/>
  </r>
  <r>
    <s v="ORD1894"/>
    <x v="682"/>
    <x v="3"/>
    <s v="PROD191"/>
    <x v="894"/>
    <n v="794.14"/>
    <n v="20"/>
    <x v="1"/>
    <s v="Synergize Frictionless Synergies"/>
    <x v="2"/>
    <s v="Hester and Sons"/>
    <n v="289.06"/>
  </r>
  <r>
    <s v="ORD1895"/>
    <x v="683"/>
    <x v="0"/>
    <s v="PROD193"/>
    <x v="895"/>
    <n v="134.55000000000001"/>
    <n v="11"/>
    <x v="1"/>
    <s v="Innovate Sticky Web Services"/>
    <x v="1"/>
    <s v="Friedman, Sanders and Adams"/>
    <n v="125.85"/>
  </r>
  <r>
    <s v="ORD1896"/>
    <x v="98"/>
    <x v="0"/>
    <s v="PROD101"/>
    <x v="896"/>
    <n v="621.34"/>
    <n v="9"/>
    <x v="1"/>
    <s v="Harness Proactive Eyeballs"/>
    <x v="1"/>
    <s v="Moran and Sons"/>
    <n v="58.01"/>
  </r>
  <r>
    <s v="ORD1897"/>
    <x v="684"/>
    <x v="0"/>
    <s v="PROD137"/>
    <x v="897"/>
    <n v="357.67"/>
    <n v="3"/>
    <x v="2"/>
    <s v="Optimize Collaborative Initiatives"/>
    <x v="1"/>
    <s v="Adkins Ltd"/>
    <n v="34.46"/>
  </r>
  <r>
    <s v="ORD1898"/>
    <x v="685"/>
    <x v="0"/>
    <s v="PROD161"/>
    <x v="898"/>
    <n v="290.43"/>
    <n v="9"/>
    <x v="0"/>
    <s v="Synergize E-Business Deliverables"/>
    <x v="1"/>
    <s v="Crawford, Warren and Williams"/>
    <n v="125.93"/>
  </r>
  <r>
    <s v="ORD1899"/>
    <x v="318"/>
    <x v="0"/>
    <s v="PROD168"/>
    <x v="899"/>
    <n v="912.52"/>
    <n v="15"/>
    <x v="0"/>
    <s v="Facilitate End-To-End Experiences"/>
    <x v="0"/>
    <s v="Pierce-Goodwin"/>
    <n v="260.52999999999997"/>
  </r>
  <r>
    <s v="ORD1900"/>
    <x v="686"/>
    <x v="1"/>
    <s v="PROD107"/>
    <x v="900"/>
    <n v="811.34"/>
    <n v="19"/>
    <x v="1"/>
    <s v="Utilize Back-End Models"/>
    <x v="2"/>
    <s v="Lewis-Holden"/>
    <n v="241.53"/>
  </r>
  <r>
    <s v="ORD1901"/>
    <x v="356"/>
    <x v="1"/>
    <s v="PROD108"/>
    <x v="901"/>
    <n v="925.97"/>
    <n v="5"/>
    <x v="0"/>
    <s v="Synergize World-Class Networks"/>
    <x v="1"/>
    <s v="Gomez-Lawrence"/>
    <n v="72.37"/>
  </r>
  <r>
    <s v="ORD1902"/>
    <x v="687"/>
    <x v="1"/>
    <s v="PROD179"/>
    <x v="902"/>
    <n v="906.47"/>
    <n v="13"/>
    <x v="2"/>
    <s v="Target Viral Methodologies"/>
    <x v="1"/>
    <s v="Alvarez, Myers and Walter"/>
    <n v="149.26"/>
  </r>
  <r>
    <s v="ORD1903"/>
    <x v="688"/>
    <x v="3"/>
    <s v="PROD147"/>
    <x v="903"/>
    <n v="973.59"/>
    <n v="8"/>
    <x v="2"/>
    <s v="Brand B2C Info-Mediaries"/>
    <x v="0"/>
    <s v="Preston Ltd"/>
    <n v="13.46"/>
  </r>
  <r>
    <s v="ORD1904"/>
    <x v="451"/>
    <x v="2"/>
    <s v="PROD185"/>
    <x v="904"/>
    <n v="502.89"/>
    <n v="10"/>
    <x v="2"/>
    <s v="Generate End-To-End Functionalities"/>
    <x v="1"/>
    <s v="Sanchez-Stewart"/>
    <n v="196.15"/>
  </r>
  <r>
    <s v="ORD1905"/>
    <x v="689"/>
    <x v="3"/>
    <s v="PROD110"/>
    <x v="905"/>
    <n v="731.16"/>
    <n v="18"/>
    <x v="1"/>
    <s v="E-Enable Holistic Supply-Chains"/>
    <x v="2"/>
    <s v="Lin-Mcdaniel"/>
    <n v="160.33000000000001"/>
  </r>
  <r>
    <s v="ORD1906"/>
    <x v="690"/>
    <x v="1"/>
    <s v="PROD195"/>
    <x v="906"/>
    <n v="981.43"/>
    <n v="1"/>
    <x v="1"/>
    <s v="Reinvent Out-Of-The-Box Models"/>
    <x v="0"/>
    <s v="Wagner-Curtis"/>
    <n v="172.34"/>
  </r>
  <r>
    <s v="ORD1907"/>
    <x v="691"/>
    <x v="1"/>
    <s v="PROD141"/>
    <x v="907"/>
    <n v="560.91999999999996"/>
    <n v="9"/>
    <x v="1"/>
    <s v="Re-Contextualize Integrated Info-Mediaries"/>
    <x v="1"/>
    <s v="Jones-Schroeder"/>
    <n v="26.02"/>
  </r>
  <r>
    <s v="ORD1908"/>
    <x v="40"/>
    <x v="0"/>
    <s v="PROD154"/>
    <x v="908"/>
    <n v="231.21"/>
    <n v="5"/>
    <x v="2"/>
    <s v="Utilize Virtual Partnerships"/>
    <x v="2"/>
    <s v="Smith, Diaz and Heath"/>
    <n v="193.02"/>
  </r>
  <r>
    <s v="ORD1909"/>
    <x v="692"/>
    <x v="1"/>
    <s v="PROD157"/>
    <x v="909"/>
    <n v="870.16"/>
    <n v="1"/>
    <x v="0"/>
    <s v="Implement Rich Platforms"/>
    <x v="1"/>
    <s v="Parker, Anderson and Salazar"/>
    <n v="53.59"/>
  </r>
  <r>
    <s v="ORD1910"/>
    <x v="693"/>
    <x v="0"/>
    <s v="PROD140"/>
    <x v="910"/>
    <n v="360.54"/>
    <n v="19"/>
    <x v="0"/>
    <s v="Extend Bricks-And-Clicks Architectures"/>
    <x v="2"/>
    <s v="Fuller PLC"/>
    <n v="202.99"/>
  </r>
  <r>
    <s v="ORD1911"/>
    <x v="694"/>
    <x v="2"/>
    <s v="PROD170"/>
    <x v="911"/>
    <n v="175.01"/>
    <n v="12"/>
    <x v="0"/>
    <s v="Deliver Sticky Networks"/>
    <x v="2"/>
    <s v="Massey LLC"/>
    <n v="272.33"/>
  </r>
  <r>
    <s v="ORD1912"/>
    <x v="314"/>
    <x v="3"/>
    <s v="PROD168"/>
    <x v="912"/>
    <n v="986.21"/>
    <n v="10"/>
    <x v="2"/>
    <s v="Facilitate End-To-End Experiences"/>
    <x v="0"/>
    <s v="Pierce-Goodwin"/>
    <n v="260.52999999999997"/>
  </r>
  <r>
    <s v="ORD1913"/>
    <x v="695"/>
    <x v="1"/>
    <s v="PROD124"/>
    <x v="913"/>
    <n v="110.04"/>
    <n v="17"/>
    <x v="1"/>
    <s v="Incubate Real-Time E-Tailers"/>
    <x v="1"/>
    <s v="Johnson-Riley"/>
    <n v="86.67"/>
  </r>
  <r>
    <s v="ORD1914"/>
    <x v="696"/>
    <x v="2"/>
    <s v="PROD188"/>
    <x v="914"/>
    <n v="579.1"/>
    <n v="19"/>
    <x v="0"/>
    <s v="Transition Mission-Critical Interfaces"/>
    <x v="0"/>
    <s v="Weaver Ltd"/>
    <n v="34.64"/>
  </r>
  <r>
    <s v="ORD1915"/>
    <x v="697"/>
    <x v="0"/>
    <s v="PROD170"/>
    <x v="915"/>
    <n v="537.34"/>
    <n v="3"/>
    <x v="2"/>
    <s v="Deliver Sticky Networks"/>
    <x v="2"/>
    <s v="Massey LLC"/>
    <n v="272.33"/>
  </r>
  <r>
    <s v="ORD1916"/>
    <x v="698"/>
    <x v="2"/>
    <s v="PROD135"/>
    <x v="916"/>
    <n v="340"/>
    <n v="18"/>
    <x v="1"/>
    <s v="Optimize 24/365 E-Services"/>
    <x v="0"/>
    <s v="Chase Ltd"/>
    <n v="100.35"/>
  </r>
  <r>
    <s v="ORD1917"/>
    <x v="393"/>
    <x v="0"/>
    <s v="PROD112"/>
    <x v="917"/>
    <n v="628.69000000000005"/>
    <n v="11"/>
    <x v="2"/>
    <s v="Seize Clicks-And-Mortar Platforms"/>
    <x v="0"/>
    <s v="Owens, Campos and Wood"/>
    <n v="271.16000000000003"/>
  </r>
  <r>
    <s v="ORD1918"/>
    <x v="699"/>
    <x v="1"/>
    <s v="PROD169"/>
    <x v="918"/>
    <n v="634.25"/>
    <n v="17"/>
    <x v="2"/>
    <s v="Unleash End-To-End Web Services"/>
    <x v="0"/>
    <s v="Jones Ltd"/>
    <n v="188.02"/>
  </r>
  <r>
    <s v="ORD1919"/>
    <x v="598"/>
    <x v="2"/>
    <s v="PROD133"/>
    <x v="919"/>
    <n v="238.06"/>
    <n v="9"/>
    <x v="0"/>
    <s v="Re-Intermediate Seamless Applications"/>
    <x v="0"/>
    <s v="Welch-Reed"/>
    <n v="45.82"/>
  </r>
  <r>
    <s v="ORD1920"/>
    <x v="700"/>
    <x v="1"/>
    <s v="PROD163"/>
    <x v="920"/>
    <n v="163.66"/>
    <n v="18"/>
    <x v="1"/>
    <s v="Grow Back-End Supply-Chains"/>
    <x v="1"/>
    <s v="Green LLC"/>
    <n v="140.08000000000001"/>
  </r>
  <r>
    <s v="ORD1921"/>
    <x v="701"/>
    <x v="1"/>
    <s v="PROD162"/>
    <x v="921"/>
    <n v="125.66"/>
    <n v="18"/>
    <x v="2"/>
    <s v="Reinvent Visionary Niches"/>
    <x v="2"/>
    <s v="Huber-Richmond"/>
    <n v="219.81"/>
  </r>
  <r>
    <s v="ORD1922"/>
    <x v="702"/>
    <x v="2"/>
    <s v="PROD180"/>
    <x v="922"/>
    <n v="179.89"/>
    <n v="6"/>
    <x v="0"/>
    <s v="Iterate Extensible Roi"/>
    <x v="0"/>
    <s v="Hill-Kelly"/>
    <n v="180"/>
  </r>
  <r>
    <s v="ORD1923"/>
    <x v="703"/>
    <x v="1"/>
    <s v="PROD152"/>
    <x v="923"/>
    <n v="606.91"/>
    <n v="9"/>
    <x v="0"/>
    <s v="Reinvent Frictionless Roi"/>
    <x v="2"/>
    <s v="Bridges, Castillo and Rodriguez"/>
    <n v="253.89"/>
  </r>
  <r>
    <s v="ORD1924"/>
    <x v="704"/>
    <x v="0"/>
    <s v="PROD109"/>
    <x v="924"/>
    <n v="276.13"/>
    <n v="15"/>
    <x v="0"/>
    <s v="Orchestrate E-Business Niches"/>
    <x v="2"/>
    <s v="Johnson LLC"/>
    <n v="198.99"/>
  </r>
  <r>
    <s v="ORD1925"/>
    <x v="705"/>
    <x v="2"/>
    <s v="PROD173"/>
    <x v="925"/>
    <n v="532.41"/>
    <n v="3"/>
    <x v="1"/>
    <s v="Whiteboard Sticky Content"/>
    <x v="2"/>
    <s v="Wolfe Group"/>
    <n v="82.16"/>
  </r>
  <r>
    <s v="ORD1926"/>
    <x v="692"/>
    <x v="3"/>
    <s v="PROD153"/>
    <x v="926"/>
    <n v="263.33999999999997"/>
    <n v="6"/>
    <x v="2"/>
    <s v="Seize Plug-And-Play Web-Readiness"/>
    <x v="1"/>
    <s v="Joseph, Mayer and Carr"/>
    <n v="102.73"/>
  </r>
  <r>
    <s v="ORD1927"/>
    <x v="706"/>
    <x v="1"/>
    <s v="PROD198"/>
    <x v="927"/>
    <n v="511.92"/>
    <n v="5"/>
    <x v="1"/>
    <s v="Visualize Dynamic E-Commerce"/>
    <x v="2"/>
    <s v="Jones LLC"/>
    <n v="92.61"/>
  </r>
  <r>
    <s v="ORD1928"/>
    <x v="707"/>
    <x v="2"/>
    <s v="PROD186"/>
    <x v="928"/>
    <n v="306.44"/>
    <n v="13"/>
    <x v="2"/>
    <s v="Reinvent Mission-Critical Markets"/>
    <x v="2"/>
    <s v="Gilbert-Sanders"/>
    <n v="154.21"/>
  </r>
  <r>
    <s v="ORD1929"/>
    <x v="708"/>
    <x v="1"/>
    <s v="PROD126"/>
    <x v="929"/>
    <n v="961.55"/>
    <n v="1"/>
    <x v="0"/>
    <s v="Streamline Innovative Architectures"/>
    <x v="2"/>
    <s v="Price, Valentine and Lutz"/>
    <n v="291.14999999999998"/>
  </r>
  <r>
    <s v="ORD1930"/>
    <x v="347"/>
    <x v="3"/>
    <s v="PROD117"/>
    <x v="930"/>
    <n v="140.44"/>
    <n v="4"/>
    <x v="1"/>
    <s v="Revolutionize Efficient Niches"/>
    <x v="1"/>
    <s v="Lopez-Torres"/>
    <n v="23.02"/>
  </r>
  <r>
    <s v="ORD1931"/>
    <x v="6"/>
    <x v="2"/>
    <s v="PROD158"/>
    <x v="931"/>
    <n v="145.22999999999999"/>
    <n v="16"/>
    <x v="2"/>
    <s v="Brand Web-Enabled Solutions"/>
    <x v="1"/>
    <s v="Russell Group"/>
    <n v="51.67"/>
  </r>
  <r>
    <s v="ORD1932"/>
    <x v="101"/>
    <x v="0"/>
    <s v="PROD124"/>
    <x v="932"/>
    <n v="921.66"/>
    <n v="8"/>
    <x v="2"/>
    <s v="Incubate Real-Time E-Tailers"/>
    <x v="1"/>
    <s v="Johnson-Riley"/>
    <n v="86.67"/>
  </r>
  <r>
    <s v="ORD1933"/>
    <x v="709"/>
    <x v="0"/>
    <s v="PROD111"/>
    <x v="933"/>
    <n v="957.79"/>
    <n v="17"/>
    <x v="1"/>
    <s v="Harness Revolutionary Interfaces"/>
    <x v="2"/>
    <s v="Davis, Short and Nguyen"/>
    <n v="26.49"/>
  </r>
  <r>
    <s v="ORD1934"/>
    <x v="9"/>
    <x v="3"/>
    <s v="PROD129"/>
    <x v="934"/>
    <n v="273.52"/>
    <n v="1"/>
    <x v="2"/>
    <s v="Scale Vertical Networks"/>
    <x v="2"/>
    <s v="Lam, Wood and Jacobs"/>
    <n v="133.24"/>
  </r>
  <r>
    <s v="ORD1935"/>
    <x v="233"/>
    <x v="1"/>
    <s v="PROD119"/>
    <x v="935"/>
    <n v="420.58"/>
    <n v="18"/>
    <x v="1"/>
    <s v="Generate Front-End Functionalities"/>
    <x v="0"/>
    <s v="Morales-Brown"/>
    <n v="299.77"/>
  </r>
  <r>
    <s v="ORD1936"/>
    <x v="710"/>
    <x v="2"/>
    <s v="PROD143"/>
    <x v="936"/>
    <n v="837.31"/>
    <n v="1"/>
    <x v="1"/>
    <s v="E-Enable Synergistic Vortals"/>
    <x v="1"/>
    <s v="Guzman Group"/>
    <n v="278.43"/>
  </r>
  <r>
    <s v="ORD1937"/>
    <x v="515"/>
    <x v="3"/>
    <s v="PROD146"/>
    <x v="937"/>
    <n v="297.89"/>
    <n v="17"/>
    <x v="0"/>
    <s v="Engage Rich Web-Readiness"/>
    <x v="0"/>
    <s v="Turner Inc"/>
    <n v="81.069999999999993"/>
  </r>
  <r>
    <s v="ORD1938"/>
    <x v="711"/>
    <x v="1"/>
    <s v="PROD121"/>
    <x v="938"/>
    <n v="519.16"/>
    <n v="15"/>
    <x v="1"/>
    <s v="Whiteboard B2B Content"/>
    <x v="0"/>
    <s v="Romero PLC"/>
    <n v="93.81"/>
  </r>
  <r>
    <s v="ORD1939"/>
    <x v="712"/>
    <x v="3"/>
    <s v="PROD187"/>
    <x v="939"/>
    <n v="228.38"/>
    <n v="20"/>
    <x v="0"/>
    <s v="Whiteboard Compelling Experiences"/>
    <x v="2"/>
    <s v="Carrillo, Carr and Ball"/>
    <n v="206.54"/>
  </r>
  <r>
    <s v="ORD1940"/>
    <x v="646"/>
    <x v="2"/>
    <s v="PROD175"/>
    <x v="940"/>
    <n v="923.52"/>
    <n v="19"/>
    <x v="0"/>
    <s v="Empower Bleeding-Edge Action-Items"/>
    <x v="2"/>
    <s v="Gray, Hayes and Banks"/>
    <n v="204.26"/>
  </r>
  <r>
    <s v="ORD1941"/>
    <x v="713"/>
    <x v="2"/>
    <s v="PROD115"/>
    <x v="941"/>
    <n v="282.42"/>
    <n v="17"/>
    <x v="2"/>
    <s v="Morph World-Class Synergies"/>
    <x v="1"/>
    <s v="Bryant Ltd"/>
    <n v="20.69"/>
  </r>
  <r>
    <s v="ORD1942"/>
    <x v="126"/>
    <x v="0"/>
    <s v="PROD198"/>
    <x v="942"/>
    <n v="285.17"/>
    <n v="19"/>
    <x v="2"/>
    <s v="Visualize Dynamic E-Commerce"/>
    <x v="2"/>
    <s v="Jones LLC"/>
    <n v="92.61"/>
  </r>
  <r>
    <s v="ORD1943"/>
    <x v="714"/>
    <x v="3"/>
    <s v="PROD126"/>
    <x v="943"/>
    <n v="761.58"/>
    <n v="14"/>
    <x v="1"/>
    <s v="Streamline Innovative Architectures"/>
    <x v="2"/>
    <s v="Price, Valentine and Lutz"/>
    <n v="291.14999999999998"/>
  </r>
  <r>
    <s v="ORD1944"/>
    <x v="715"/>
    <x v="3"/>
    <s v="PROD103"/>
    <x v="944"/>
    <n v="768.16"/>
    <n v="1"/>
    <x v="2"/>
    <s v="Monetize Collaborative Metrics"/>
    <x v="1"/>
    <s v="Ramirez-Brown"/>
    <n v="286.04000000000002"/>
  </r>
  <r>
    <s v="ORD1945"/>
    <x v="192"/>
    <x v="3"/>
    <s v="PROD138"/>
    <x v="945"/>
    <n v="251.16"/>
    <n v="12"/>
    <x v="2"/>
    <s v="Deliver Viral Eyeballs"/>
    <x v="0"/>
    <s v="Estes, Chan and Thomas"/>
    <n v="16.89"/>
  </r>
  <r>
    <s v="ORD1946"/>
    <x v="565"/>
    <x v="0"/>
    <s v="PROD119"/>
    <x v="946"/>
    <n v="558.6"/>
    <n v="4"/>
    <x v="2"/>
    <s v="Generate Front-End Functionalities"/>
    <x v="0"/>
    <s v="Morales-Brown"/>
    <n v="299.77"/>
  </r>
  <r>
    <s v="ORD1947"/>
    <x v="688"/>
    <x v="1"/>
    <s v="PROD127"/>
    <x v="947"/>
    <n v="108.01"/>
    <n v="8"/>
    <x v="2"/>
    <s v="Deliver Viral Channels"/>
    <x v="2"/>
    <s v="Parker LLC"/>
    <n v="45.41"/>
  </r>
  <r>
    <s v="ORD1948"/>
    <x v="679"/>
    <x v="3"/>
    <s v="PROD154"/>
    <x v="948"/>
    <n v="833.97"/>
    <n v="18"/>
    <x v="2"/>
    <s v="Utilize Virtual Partnerships"/>
    <x v="2"/>
    <s v="Smith, Diaz and Heath"/>
    <n v="193.02"/>
  </r>
  <r>
    <s v="ORD1949"/>
    <x v="716"/>
    <x v="3"/>
    <s v="PROD127"/>
    <x v="949"/>
    <n v="649.44000000000005"/>
    <n v="14"/>
    <x v="2"/>
    <s v="Deliver Viral Channels"/>
    <x v="2"/>
    <s v="Parker LLC"/>
    <n v="45.41"/>
  </r>
  <r>
    <s v="ORD1950"/>
    <x v="717"/>
    <x v="1"/>
    <s v="PROD144"/>
    <x v="950"/>
    <n v="828.61"/>
    <n v="5"/>
    <x v="0"/>
    <s v="Expedite Synergistic Web-Readiness"/>
    <x v="1"/>
    <s v="Dunlap, Carpenter and Monroe"/>
    <n v="289.66000000000003"/>
  </r>
  <r>
    <s v="ORD1951"/>
    <x v="290"/>
    <x v="2"/>
    <s v="PROD185"/>
    <x v="951"/>
    <n v="511.13"/>
    <n v="5"/>
    <x v="0"/>
    <s v="Generate End-To-End Functionalities"/>
    <x v="1"/>
    <s v="Sanchez-Stewart"/>
    <n v="196.15"/>
  </r>
  <r>
    <s v="ORD1952"/>
    <x v="313"/>
    <x v="3"/>
    <s v="PROD192"/>
    <x v="952"/>
    <n v="840.1"/>
    <n v="18"/>
    <x v="2"/>
    <s v="Drive Compelling E-Services"/>
    <x v="0"/>
    <s v="Morris-Villanueva"/>
    <n v="27.22"/>
  </r>
  <r>
    <s v="ORD1953"/>
    <x v="718"/>
    <x v="0"/>
    <s v="PROD155"/>
    <x v="953"/>
    <n v="48.63"/>
    <n v="14"/>
    <x v="2"/>
    <s v="Incentivize User-Centric Mindshare"/>
    <x v="1"/>
    <s v="Becker, Wright and Wong"/>
    <n v="38.51"/>
  </r>
  <r>
    <s v="ORD1954"/>
    <x v="719"/>
    <x v="0"/>
    <s v="PROD130"/>
    <x v="954"/>
    <n v="40.71"/>
    <n v="17"/>
    <x v="0"/>
    <s v="Synthesize Wireless Initiatives"/>
    <x v="1"/>
    <s v="Mosley Ltd"/>
    <n v="162.69999999999999"/>
  </r>
  <r>
    <s v="ORD1955"/>
    <x v="720"/>
    <x v="3"/>
    <s v="PROD158"/>
    <x v="955"/>
    <n v="392.27"/>
    <n v="19"/>
    <x v="1"/>
    <s v="Brand Web-Enabled Solutions"/>
    <x v="1"/>
    <s v="Russell Group"/>
    <n v="51.67"/>
  </r>
  <r>
    <s v="ORD1956"/>
    <x v="420"/>
    <x v="1"/>
    <s v="PROD187"/>
    <x v="956"/>
    <n v="221.48"/>
    <n v="19"/>
    <x v="0"/>
    <s v="Whiteboard Compelling Experiences"/>
    <x v="2"/>
    <s v="Carrillo, Carr and Ball"/>
    <n v="206.54"/>
  </r>
  <r>
    <s v="ORD1957"/>
    <x v="721"/>
    <x v="0"/>
    <s v="PROD189"/>
    <x v="957"/>
    <n v="312.88"/>
    <n v="17"/>
    <x v="2"/>
    <s v="E-Enable Next-Generation Experiences"/>
    <x v="2"/>
    <s v="Sanchez-Quinn"/>
    <n v="266.93"/>
  </r>
  <r>
    <s v="ORD1958"/>
    <x v="600"/>
    <x v="0"/>
    <s v="PROD177"/>
    <x v="958"/>
    <n v="916.25"/>
    <n v="14"/>
    <x v="0"/>
    <s v="Deploy Granular Channels"/>
    <x v="2"/>
    <s v="Barnes Ltd"/>
    <n v="288.99"/>
  </r>
  <r>
    <s v="ORD1959"/>
    <x v="722"/>
    <x v="0"/>
    <s v="PROD134"/>
    <x v="959"/>
    <n v="619.49"/>
    <n v="8"/>
    <x v="2"/>
    <s v="Utilize Ubiquitous Synergies"/>
    <x v="1"/>
    <s v="Kramer, Huang and Shaw"/>
    <n v="295.89999999999998"/>
  </r>
  <r>
    <s v="ORD1960"/>
    <x v="353"/>
    <x v="2"/>
    <s v="PROD187"/>
    <x v="837"/>
    <n v="716.83"/>
    <n v="15"/>
    <x v="1"/>
    <s v="Whiteboard Compelling Experiences"/>
    <x v="2"/>
    <s v="Carrillo, Carr and Ball"/>
    <n v="206.54"/>
  </r>
  <r>
    <s v="ORD1961"/>
    <x v="489"/>
    <x v="0"/>
    <s v="PROD174"/>
    <x v="960"/>
    <n v="754.94"/>
    <n v="2"/>
    <x v="0"/>
    <s v="Disintermediate Scalable Bandwidth"/>
    <x v="1"/>
    <s v="Levy PLC"/>
    <n v="19.86"/>
  </r>
  <r>
    <s v="ORD1962"/>
    <x v="144"/>
    <x v="2"/>
    <s v="PROD154"/>
    <x v="961"/>
    <n v="222.8"/>
    <n v="14"/>
    <x v="2"/>
    <s v="Utilize Virtual Partnerships"/>
    <x v="2"/>
    <s v="Smith, Diaz and Heath"/>
    <n v="193.02"/>
  </r>
  <r>
    <s v="ORD1963"/>
    <x v="326"/>
    <x v="2"/>
    <s v="PROD103"/>
    <x v="962"/>
    <n v="259.07"/>
    <n v="5"/>
    <x v="0"/>
    <s v="Monetize Collaborative Metrics"/>
    <x v="1"/>
    <s v="Ramirez-Brown"/>
    <n v="286.04000000000002"/>
  </r>
  <r>
    <s v="ORD1964"/>
    <x v="120"/>
    <x v="3"/>
    <s v="PROD116"/>
    <x v="963"/>
    <n v="930.54"/>
    <n v="10"/>
    <x v="0"/>
    <s v="Synergize Cross-Platform Vortals"/>
    <x v="2"/>
    <s v="Edwards Group"/>
    <n v="87.18"/>
  </r>
  <r>
    <s v="ORD1965"/>
    <x v="723"/>
    <x v="1"/>
    <s v="PROD116"/>
    <x v="964"/>
    <n v="53.41"/>
    <n v="16"/>
    <x v="1"/>
    <s v="Synergize Cross-Platform Vortals"/>
    <x v="2"/>
    <s v="Edwards Group"/>
    <n v="87.18"/>
  </r>
  <r>
    <s v="ORD1966"/>
    <x v="169"/>
    <x v="2"/>
    <s v="PROD142"/>
    <x v="965"/>
    <n v="272.37"/>
    <n v="11"/>
    <x v="1"/>
    <s v="Target Bricks-And-Clicks Channels"/>
    <x v="1"/>
    <s v="Dunn, Christensen and Meyer"/>
    <n v="126.86"/>
  </r>
  <r>
    <s v="ORD1967"/>
    <x v="284"/>
    <x v="1"/>
    <s v="PROD143"/>
    <x v="966"/>
    <n v="244.31"/>
    <n v="5"/>
    <x v="1"/>
    <s v="E-Enable Synergistic Vortals"/>
    <x v="1"/>
    <s v="Guzman Group"/>
    <n v="278.43"/>
  </r>
  <r>
    <s v="ORD1968"/>
    <x v="724"/>
    <x v="2"/>
    <s v="PROD177"/>
    <x v="967"/>
    <n v="310.27999999999997"/>
    <n v="3"/>
    <x v="1"/>
    <s v="Deploy Granular Channels"/>
    <x v="2"/>
    <s v="Barnes Ltd"/>
    <n v="288.99"/>
  </r>
  <r>
    <s v="ORD1969"/>
    <x v="725"/>
    <x v="3"/>
    <s v="PROD108"/>
    <x v="968"/>
    <n v="26.38"/>
    <n v="6"/>
    <x v="1"/>
    <s v="Synergize World-Class Networks"/>
    <x v="1"/>
    <s v="Gomez-Lawrence"/>
    <n v="72.37"/>
  </r>
  <r>
    <s v="ORD1970"/>
    <x v="49"/>
    <x v="3"/>
    <s v="PROD179"/>
    <x v="969"/>
    <n v="292.92"/>
    <n v="13"/>
    <x v="0"/>
    <s v="Target Viral Methodologies"/>
    <x v="1"/>
    <s v="Alvarez, Myers and Walter"/>
    <n v="149.26"/>
  </r>
  <r>
    <s v="ORD1971"/>
    <x v="46"/>
    <x v="3"/>
    <s v="PROD191"/>
    <x v="970"/>
    <n v="900.09"/>
    <n v="1"/>
    <x v="0"/>
    <s v="Synergize Frictionless Synergies"/>
    <x v="2"/>
    <s v="Hester and Sons"/>
    <n v="289.06"/>
  </r>
  <r>
    <s v="ORD1972"/>
    <x v="726"/>
    <x v="3"/>
    <s v="PROD108"/>
    <x v="971"/>
    <n v="196.75"/>
    <n v="3"/>
    <x v="1"/>
    <s v="Synergize World-Class Networks"/>
    <x v="1"/>
    <s v="Gomez-Lawrence"/>
    <n v="72.37"/>
  </r>
  <r>
    <s v="ORD1973"/>
    <x v="727"/>
    <x v="1"/>
    <s v="PROD168"/>
    <x v="972"/>
    <n v="211.16"/>
    <n v="13"/>
    <x v="2"/>
    <s v="Facilitate End-To-End Experiences"/>
    <x v="0"/>
    <s v="Pierce-Goodwin"/>
    <n v="260.52999999999997"/>
  </r>
  <r>
    <s v="ORD1974"/>
    <x v="590"/>
    <x v="1"/>
    <s v="PROD145"/>
    <x v="973"/>
    <n v="542.63"/>
    <n v="9"/>
    <x v="0"/>
    <s v="Innovate Strategic Systems"/>
    <x v="0"/>
    <s v="Mcfarland, Parker and Armstrong"/>
    <n v="70.239999999999995"/>
  </r>
  <r>
    <s v="ORD1975"/>
    <x v="728"/>
    <x v="0"/>
    <s v="PROD187"/>
    <x v="974"/>
    <n v="901.96"/>
    <n v="3"/>
    <x v="1"/>
    <s v="Whiteboard Compelling Experiences"/>
    <x v="2"/>
    <s v="Carrillo, Carr and Ball"/>
    <n v="206.54"/>
  </r>
  <r>
    <s v="ORD1976"/>
    <x v="729"/>
    <x v="2"/>
    <s v="PROD167"/>
    <x v="975"/>
    <n v="423.17"/>
    <n v="10"/>
    <x v="0"/>
    <s v="Grow Synergistic Infrastructures"/>
    <x v="2"/>
    <s v="Adams-Carter"/>
    <n v="113.17"/>
  </r>
  <r>
    <s v="ORD1977"/>
    <x v="416"/>
    <x v="2"/>
    <s v="PROD190"/>
    <x v="976"/>
    <n v="443.27"/>
    <n v="17"/>
    <x v="1"/>
    <s v="Repurpose End-To-End Networks"/>
    <x v="0"/>
    <s v="Torres-Rush"/>
    <n v="97.02"/>
  </r>
  <r>
    <s v="ORD1978"/>
    <x v="261"/>
    <x v="0"/>
    <s v="PROD114"/>
    <x v="977"/>
    <n v="481.54"/>
    <n v="4"/>
    <x v="2"/>
    <s v="Orchestrate User-Centric Platforms"/>
    <x v="2"/>
    <s v="Wells Ltd"/>
    <n v="201.87"/>
  </r>
  <r>
    <s v="ORD1979"/>
    <x v="730"/>
    <x v="2"/>
    <s v="PROD135"/>
    <x v="978"/>
    <n v="205.66"/>
    <n v="17"/>
    <x v="0"/>
    <s v="Optimize 24/365 E-Services"/>
    <x v="0"/>
    <s v="Chase Ltd"/>
    <n v="100.35"/>
  </r>
  <r>
    <s v="ORD1980"/>
    <x v="731"/>
    <x v="0"/>
    <s v="PROD157"/>
    <x v="979"/>
    <n v="258.86"/>
    <n v="16"/>
    <x v="1"/>
    <s v="Implement Rich Platforms"/>
    <x v="1"/>
    <s v="Parker, Anderson and Salazar"/>
    <n v="53.59"/>
  </r>
  <r>
    <s v="ORD1981"/>
    <x v="113"/>
    <x v="0"/>
    <s v="PROD192"/>
    <x v="980"/>
    <n v="134.59"/>
    <n v="11"/>
    <x v="1"/>
    <s v="Drive Compelling E-Services"/>
    <x v="0"/>
    <s v="Morris-Villanueva"/>
    <n v="27.22"/>
  </r>
  <r>
    <s v="ORD1982"/>
    <x v="732"/>
    <x v="3"/>
    <s v="PROD176"/>
    <x v="981"/>
    <n v="743.15"/>
    <n v="7"/>
    <x v="2"/>
    <s v="Facilitate Integrated E-Business"/>
    <x v="0"/>
    <s v="Chang-Vargas"/>
    <n v="130.33000000000001"/>
  </r>
  <r>
    <s v="ORD1983"/>
    <x v="733"/>
    <x v="2"/>
    <s v="PROD180"/>
    <x v="982"/>
    <n v="285.51"/>
    <n v="16"/>
    <x v="1"/>
    <s v="Iterate Extensible Roi"/>
    <x v="0"/>
    <s v="Hill-Kelly"/>
    <n v="180"/>
  </r>
  <r>
    <s v="ORD1984"/>
    <x v="95"/>
    <x v="3"/>
    <s v="PROD169"/>
    <x v="983"/>
    <n v="469.47"/>
    <n v="1"/>
    <x v="1"/>
    <s v="Unleash End-To-End Web Services"/>
    <x v="0"/>
    <s v="Jones Ltd"/>
    <n v="188.02"/>
  </r>
  <r>
    <s v="ORD1985"/>
    <x v="734"/>
    <x v="1"/>
    <s v="PROD157"/>
    <x v="984"/>
    <n v="816.94"/>
    <n v="1"/>
    <x v="1"/>
    <s v="Implement Rich Platforms"/>
    <x v="1"/>
    <s v="Parker, Anderson and Salazar"/>
    <n v="53.59"/>
  </r>
  <r>
    <s v="ORD1986"/>
    <x v="667"/>
    <x v="1"/>
    <s v="PROD114"/>
    <x v="985"/>
    <n v="731.26"/>
    <n v="17"/>
    <x v="0"/>
    <s v="Orchestrate User-Centric Platforms"/>
    <x v="2"/>
    <s v="Wells Ltd"/>
    <n v="201.87"/>
  </r>
  <r>
    <s v="ORD1987"/>
    <x v="735"/>
    <x v="1"/>
    <s v="PROD104"/>
    <x v="986"/>
    <n v="299.14999999999998"/>
    <n v="4"/>
    <x v="2"/>
    <s v="Implement Clicks-And-Mortar Partnerships"/>
    <x v="1"/>
    <s v="Smith Inc"/>
    <n v="195.53"/>
  </r>
  <r>
    <s v="ORD1988"/>
    <x v="736"/>
    <x v="0"/>
    <s v="PROD145"/>
    <x v="987"/>
    <n v="209.1"/>
    <n v="11"/>
    <x v="0"/>
    <s v="Innovate Strategic Systems"/>
    <x v="0"/>
    <s v="Mcfarland, Parker and Armstrong"/>
    <n v="70.239999999999995"/>
  </r>
  <r>
    <s v="ORD1989"/>
    <x v="210"/>
    <x v="3"/>
    <s v="PROD101"/>
    <x v="988"/>
    <n v="590.53"/>
    <n v="1"/>
    <x v="2"/>
    <s v="Harness Proactive Eyeballs"/>
    <x v="1"/>
    <s v="Moran and Sons"/>
    <n v="58.01"/>
  </r>
  <r>
    <s v="ORD1990"/>
    <x v="737"/>
    <x v="1"/>
    <s v="PROD116"/>
    <x v="989"/>
    <n v="643.78"/>
    <n v="5"/>
    <x v="0"/>
    <s v="Synergize Cross-Platform Vortals"/>
    <x v="2"/>
    <s v="Edwards Group"/>
    <n v="87.18"/>
  </r>
  <r>
    <s v="ORD1991"/>
    <x v="47"/>
    <x v="3"/>
    <s v="PROD137"/>
    <x v="990"/>
    <n v="755.11"/>
    <n v="17"/>
    <x v="2"/>
    <s v="Optimize Collaborative Initiatives"/>
    <x v="1"/>
    <s v="Adkins Ltd"/>
    <n v="34.46"/>
  </r>
  <r>
    <s v="ORD1992"/>
    <x v="520"/>
    <x v="1"/>
    <s v="PROD170"/>
    <x v="991"/>
    <n v="225.73"/>
    <n v="15"/>
    <x v="1"/>
    <s v="Deliver Sticky Networks"/>
    <x v="2"/>
    <s v="Massey LLC"/>
    <n v="272.33"/>
  </r>
  <r>
    <s v="ORD1993"/>
    <x v="242"/>
    <x v="0"/>
    <s v="PROD166"/>
    <x v="992"/>
    <n v="677.16"/>
    <n v="15"/>
    <x v="0"/>
    <s v="Monetize Wireless Functionalities"/>
    <x v="2"/>
    <s v="Robinson, Rodriguez and Hernandez"/>
    <n v="162.22"/>
  </r>
  <r>
    <s v="ORD1994"/>
    <x v="738"/>
    <x v="3"/>
    <s v="PROD110"/>
    <x v="993"/>
    <n v="76.989999999999995"/>
    <n v="8"/>
    <x v="0"/>
    <s v="E-Enable Holistic Supply-Chains"/>
    <x v="2"/>
    <s v="Lin-Mcdaniel"/>
    <n v="160.33000000000001"/>
  </r>
  <r>
    <s v="ORD1995"/>
    <x v="459"/>
    <x v="3"/>
    <s v="PROD117"/>
    <x v="994"/>
    <n v="997.33"/>
    <n v="7"/>
    <x v="1"/>
    <s v="Revolutionize Efficient Niches"/>
    <x v="1"/>
    <s v="Lopez-Torres"/>
    <n v="23.02"/>
  </r>
  <r>
    <s v="ORD1996"/>
    <x v="739"/>
    <x v="1"/>
    <s v="PROD106"/>
    <x v="995"/>
    <n v="87.92"/>
    <n v="13"/>
    <x v="2"/>
    <s v="Synergize End-To-End Supply-Chains"/>
    <x v="0"/>
    <s v="Higgins-Espinoza"/>
    <n v="279.8"/>
  </r>
  <r>
    <s v="ORD1997"/>
    <x v="362"/>
    <x v="2"/>
    <s v="PROD133"/>
    <x v="996"/>
    <n v="712.63"/>
    <n v="17"/>
    <x v="1"/>
    <s v="Re-Intermediate Seamless Applications"/>
    <x v="0"/>
    <s v="Welch-Reed"/>
    <n v="45.82"/>
  </r>
  <r>
    <s v="ORD1998"/>
    <x v="545"/>
    <x v="3"/>
    <s v="PROD137"/>
    <x v="997"/>
    <n v="203.21"/>
    <n v="14"/>
    <x v="0"/>
    <s v="Optimize Collaborative Initiatives"/>
    <x v="1"/>
    <s v="Adkins Ltd"/>
    <n v="34.46"/>
  </r>
  <r>
    <s v="ORD1999"/>
    <x v="740"/>
    <x v="2"/>
    <s v="PROD109"/>
    <x v="998"/>
    <n v="94.19"/>
    <n v="5"/>
    <x v="2"/>
    <s v="Orchestrate E-Business Niches"/>
    <x v="2"/>
    <s v="Johnson LLC"/>
    <n v="198.99"/>
  </r>
  <r>
    <s v="ORD2000"/>
    <x v="554"/>
    <x v="1"/>
    <s v="PROD133"/>
    <x v="999"/>
    <n v="265.13"/>
    <n v="20"/>
    <x v="0"/>
    <s v="Re-Intermediate Seamless Applications"/>
    <x v="0"/>
    <s v="Welch-Reed"/>
    <n v="45.82"/>
  </r>
  <r>
    <s v="ORD2001"/>
    <x v="741"/>
    <x v="0"/>
    <s v="PROD195"/>
    <x v="1000"/>
    <n v="886.87"/>
    <n v="13"/>
    <x v="0"/>
    <s v="Reinvent Out-Of-The-Box Models"/>
    <x v="0"/>
    <s v="Wagner-Curtis"/>
    <n v="172.34"/>
  </r>
  <r>
    <s v="ORD2002"/>
    <x v="103"/>
    <x v="1"/>
    <s v="PROD110"/>
    <x v="1001"/>
    <n v="135.75"/>
    <n v="17"/>
    <x v="2"/>
    <s v="E-Enable Holistic Supply-Chains"/>
    <x v="2"/>
    <s v="Lin-Mcdaniel"/>
    <n v="160.33000000000001"/>
  </r>
  <r>
    <s v="ORD2003"/>
    <x v="29"/>
    <x v="1"/>
    <s v="PROD154"/>
    <x v="1002"/>
    <n v="819.15"/>
    <n v="6"/>
    <x v="2"/>
    <s v="Utilize Virtual Partnerships"/>
    <x v="2"/>
    <s v="Smith, Diaz and Heath"/>
    <n v="193.02"/>
  </r>
  <r>
    <s v="ORD2004"/>
    <x v="742"/>
    <x v="0"/>
    <s v="PROD109"/>
    <x v="1003"/>
    <n v="19.28"/>
    <n v="13"/>
    <x v="1"/>
    <s v="Orchestrate E-Business Niches"/>
    <x v="2"/>
    <s v="Johnson LLC"/>
    <n v="198.99"/>
  </r>
  <r>
    <s v="ORD2005"/>
    <x v="743"/>
    <x v="0"/>
    <s v="PROD133"/>
    <x v="1004"/>
    <n v="915.71"/>
    <n v="12"/>
    <x v="2"/>
    <s v="Re-Intermediate Seamless Applications"/>
    <x v="0"/>
    <s v="Welch-Reed"/>
    <n v="45.82"/>
  </r>
  <r>
    <s v="ORD2006"/>
    <x v="744"/>
    <x v="0"/>
    <s v="PROD179"/>
    <x v="1005"/>
    <n v="622.63"/>
    <n v="8"/>
    <x v="0"/>
    <s v="Target Viral Methodologies"/>
    <x v="1"/>
    <s v="Alvarez, Myers and Walter"/>
    <n v="149.26"/>
  </r>
  <r>
    <s v="ORD2007"/>
    <x v="702"/>
    <x v="2"/>
    <s v="PROD183"/>
    <x v="1006"/>
    <n v="958.81"/>
    <n v="8"/>
    <x v="0"/>
    <s v="Incentivize Front-End Mindshare"/>
    <x v="1"/>
    <s v="Phillips-Tran"/>
    <n v="196.86"/>
  </r>
  <r>
    <s v="ORD2008"/>
    <x v="745"/>
    <x v="0"/>
    <s v="PROD197"/>
    <x v="1007"/>
    <n v="791.55"/>
    <n v="11"/>
    <x v="1"/>
    <s v="Leverage Rich Portals"/>
    <x v="0"/>
    <s v="Wilson PLC"/>
    <n v="46.35"/>
  </r>
  <r>
    <s v="ORD2009"/>
    <x v="746"/>
    <x v="0"/>
    <s v="PROD149"/>
    <x v="1008"/>
    <n v="718.1"/>
    <n v="4"/>
    <x v="1"/>
    <s v="Envisioneer B2C Web-Readiness"/>
    <x v="1"/>
    <s v="Kemp Group"/>
    <n v="97.23"/>
  </r>
  <r>
    <s v="ORD2010"/>
    <x v="464"/>
    <x v="2"/>
    <s v="PROD141"/>
    <x v="1009"/>
    <n v="89.15"/>
    <n v="4"/>
    <x v="0"/>
    <s v="Re-Contextualize Integrated Info-Mediaries"/>
    <x v="1"/>
    <s v="Jones-Schroeder"/>
    <n v="26.02"/>
  </r>
  <r>
    <s v="ORD2011"/>
    <x v="342"/>
    <x v="3"/>
    <s v="PROD170"/>
    <x v="1010"/>
    <n v="735.14"/>
    <n v="2"/>
    <x v="1"/>
    <s v="Deliver Sticky Networks"/>
    <x v="2"/>
    <s v="Massey LLC"/>
    <n v="272.33"/>
  </r>
  <r>
    <s v="ORD2012"/>
    <x v="543"/>
    <x v="0"/>
    <s v="PROD150"/>
    <x v="1011"/>
    <n v="114.97"/>
    <n v="7"/>
    <x v="1"/>
    <s v="Evolve Intuitive Bandwidth"/>
    <x v="0"/>
    <s v="Rogers Group"/>
    <n v="131.63"/>
  </r>
  <r>
    <s v="ORD2013"/>
    <x v="709"/>
    <x v="0"/>
    <s v="PROD134"/>
    <x v="1012"/>
    <n v="359.7"/>
    <n v="16"/>
    <x v="0"/>
    <s v="Utilize Ubiquitous Synergies"/>
    <x v="1"/>
    <s v="Kramer, Huang and Shaw"/>
    <n v="295.89999999999998"/>
  </r>
  <r>
    <s v="ORD2014"/>
    <x v="56"/>
    <x v="3"/>
    <s v="PROD152"/>
    <x v="1013"/>
    <n v="916.19"/>
    <n v="12"/>
    <x v="0"/>
    <s v="Reinvent Frictionless Roi"/>
    <x v="2"/>
    <s v="Bridges, Castillo and Rodriguez"/>
    <n v="253.89"/>
  </r>
  <r>
    <s v="ORD2015"/>
    <x v="747"/>
    <x v="2"/>
    <s v="PROD118"/>
    <x v="1014"/>
    <n v="677.21"/>
    <n v="14"/>
    <x v="0"/>
    <s v="Engineer Real-Time Architectures"/>
    <x v="2"/>
    <s v="James and Sons"/>
    <n v="127.23"/>
  </r>
  <r>
    <s v="ORD2016"/>
    <x v="748"/>
    <x v="2"/>
    <s v="PROD109"/>
    <x v="1015"/>
    <n v="184.96"/>
    <n v="15"/>
    <x v="0"/>
    <s v="Orchestrate E-Business Niches"/>
    <x v="2"/>
    <s v="Johnson LLC"/>
    <n v="198.99"/>
  </r>
  <r>
    <s v="ORD2017"/>
    <x v="298"/>
    <x v="2"/>
    <s v="PROD120"/>
    <x v="1016"/>
    <n v="604.57000000000005"/>
    <n v="12"/>
    <x v="0"/>
    <s v="Mesh B2B Platforms"/>
    <x v="2"/>
    <s v="Stevens, Walton and Riddle"/>
    <n v="236.57"/>
  </r>
  <r>
    <s v="ORD2018"/>
    <x v="746"/>
    <x v="1"/>
    <s v="PROD197"/>
    <x v="1017"/>
    <n v="493.75"/>
    <n v="5"/>
    <x v="0"/>
    <s v="Leverage Rich Portals"/>
    <x v="0"/>
    <s v="Wilson PLC"/>
    <n v="46.35"/>
  </r>
  <r>
    <s v="ORD2019"/>
    <x v="749"/>
    <x v="2"/>
    <s v="PROD114"/>
    <x v="1018"/>
    <n v="771.15"/>
    <n v="6"/>
    <x v="2"/>
    <s v="Orchestrate User-Centric Platforms"/>
    <x v="2"/>
    <s v="Wells Ltd"/>
    <n v="201.87"/>
  </r>
  <r>
    <s v="ORD2020"/>
    <x v="655"/>
    <x v="3"/>
    <s v="PROD154"/>
    <x v="1019"/>
    <n v="964.91"/>
    <n v="13"/>
    <x v="2"/>
    <s v="Utilize Virtual Partnerships"/>
    <x v="2"/>
    <s v="Smith, Diaz and Heath"/>
    <n v="193.02"/>
  </r>
  <r>
    <s v="ORD2021"/>
    <x v="750"/>
    <x v="2"/>
    <s v="PROD163"/>
    <x v="1020"/>
    <n v="408.55"/>
    <n v="4"/>
    <x v="0"/>
    <s v="Grow Back-End Supply-Chains"/>
    <x v="1"/>
    <s v="Green LLC"/>
    <n v="140.08000000000001"/>
  </r>
  <r>
    <s v="ORD2022"/>
    <x v="751"/>
    <x v="0"/>
    <s v="PROD142"/>
    <x v="1021"/>
    <n v="74.849999999999994"/>
    <n v="16"/>
    <x v="0"/>
    <s v="Target Bricks-And-Clicks Channels"/>
    <x v="1"/>
    <s v="Dunn, Christensen and Meyer"/>
    <n v="126.86"/>
  </r>
  <r>
    <s v="ORD2023"/>
    <x v="752"/>
    <x v="3"/>
    <s v="PROD159"/>
    <x v="1022"/>
    <n v="385.76"/>
    <n v="20"/>
    <x v="2"/>
    <s v="Mesh Intuitive Supply-Chains"/>
    <x v="1"/>
    <s v="Soto, Barnett and Heath"/>
    <n v="281"/>
  </r>
  <r>
    <s v="ORD2024"/>
    <x v="753"/>
    <x v="0"/>
    <s v="PROD151"/>
    <x v="1023"/>
    <n v="518.75"/>
    <n v="6"/>
    <x v="1"/>
    <s v="Re-Contextualize Viral Markets"/>
    <x v="1"/>
    <s v="Meadows-Barber"/>
    <n v="177.52"/>
  </r>
  <r>
    <s v="ORD2025"/>
    <x v="754"/>
    <x v="1"/>
    <s v="PROD121"/>
    <x v="1024"/>
    <n v="679.43"/>
    <n v="14"/>
    <x v="1"/>
    <s v="Whiteboard B2B Content"/>
    <x v="0"/>
    <s v="Romero PLC"/>
    <n v="93.81"/>
  </r>
  <r>
    <s v="ORD2026"/>
    <x v="755"/>
    <x v="1"/>
    <s v="PROD115"/>
    <x v="1025"/>
    <n v="412.09"/>
    <n v="4"/>
    <x v="1"/>
    <s v="Morph World-Class Synergies"/>
    <x v="1"/>
    <s v="Bryant Ltd"/>
    <n v="20.69"/>
  </r>
  <r>
    <s v="ORD2027"/>
    <x v="166"/>
    <x v="0"/>
    <s v="PROD179"/>
    <x v="1026"/>
    <n v="502.7"/>
    <n v="19"/>
    <x v="2"/>
    <s v="Target Viral Methodologies"/>
    <x v="1"/>
    <s v="Alvarez, Myers and Walter"/>
    <n v="149.26"/>
  </r>
  <r>
    <s v="ORD2028"/>
    <x v="756"/>
    <x v="2"/>
    <s v="PROD191"/>
    <x v="1027"/>
    <n v="498.29"/>
    <n v="15"/>
    <x v="2"/>
    <s v="Synergize Frictionless Synergies"/>
    <x v="2"/>
    <s v="Hester and Sons"/>
    <n v="289.06"/>
  </r>
  <r>
    <s v="ORD2029"/>
    <x v="757"/>
    <x v="2"/>
    <s v="PROD189"/>
    <x v="1028"/>
    <n v="637.54"/>
    <n v="16"/>
    <x v="2"/>
    <s v="E-Enable Next-Generation Experiences"/>
    <x v="2"/>
    <s v="Sanchez-Quinn"/>
    <n v="266.93"/>
  </r>
  <r>
    <s v="ORD2030"/>
    <x v="346"/>
    <x v="2"/>
    <s v="PROD134"/>
    <x v="1029"/>
    <n v="450.33"/>
    <n v="12"/>
    <x v="0"/>
    <s v="Utilize Ubiquitous Synergies"/>
    <x v="1"/>
    <s v="Kramer, Huang and Shaw"/>
    <n v="295.89999999999998"/>
  </r>
  <r>
    <s v="ORD2031"/>
    <x v="492"/>
    <x v="1"/>
    <s v="PROD115"/>
    <x v="1030"/>
    <n v="468.46"/>
    <n v="18"/>
    <x v="0"/>
    <s v="Morph World-Class Synergies"/>
    <x v="1"/>
    <s v="Bryant Ltd"/>
    <n v="20.69"/>
  </r>
  <r>
    <s v="ORD2032"/>
    <x v="758"/>
    <x v="0"/>
    <s v="PROD102"/>
    <x v="1031"/>
    <n v="451.71"/>
    <n v="6"/>
    <x v="0"/>
    <s v="Optimize Transparent E-Markets"/>
    <x v="0"/>
    <s v="Lee, Tyler and Blevins"/>
    <n v="111.22"/>
  </r>
  <r>
    <s v="ORD2033"/>
    <x v="759"/>
    <x v="2"/>
    <s v="PROD116"/>
    <x v="1032"/>
    <n v="697.78"/>
    <n v="6"/>
    <x v="1"/>
    <s v="Synergize Cross-Platform Vortals"/>
    <x v="2"/>
    <s v="Edwards Group"/>
    <n v="87.18"/>
  </r>
  <r>
    <s v="ORD2034"/>
    <x v="760"/>
    <x v="1"/>
    <s v="PROD140"/>
    <x v="1033"/>
    <n v="396.37"/>
    <n v="6"/>
    <x v="0"/>
    <s v="Extend Bricks-And-Clicks Architectures"/>
    <x v="2"/>
    <s v="Fuller PLC"/>
    <n v="202.99"/>
  </r>
  <r>
    <s v="ORD2035"/>
    <x v="761"/>
    <x v="0"/>
    <s v="PROD121"/>
    <x v="1034"/>
    <n v="918.69"/>
    <n v="19"/>
    <x v="2"/>
    <s v="Whiteboard B2B Content"/>
    <x v="0"/>
    <s v="Romero PLC"/>
    <n v="93.81"/>
  </r>
  <r>
    <s v="ORD2036"/>
    <x v="740"/>
    <x v="0"/>
    <s v="PROD117"/>
    <x v="1035"/>
    <n v="908.23"/>
    <n v="14"/>
    <x v="0"/>
    <s v="Revolutionize Efficient Niches"/>
    <x v="1"/>
    <s v="Lopez-Torres"/>
    <n v="23.02"/>
  </r>
  <r>
    <s v="ORD2037"/>
    <x v="155"/>
    <x v="2"/>
    <s v="PROD135"/>
    <x v="1036"/>
    <n v="939.5"/>
    <n v="15"/>
    <x v="1"/>
    <s v="Optimize 24/365 E-Services"/>
    <x v="0"/>
    <s v="Chase Ltd"/>
    <n v="100.35"/>
  </r>
  <r>
    <s v="ORD2038"/>
    <x v="762"/>
    <x v="3"/>
    <s v="PROD144"/>
    <x v="1037"/>
    <n v="760.23"/>
    <n v="14"/>
    <x v="2"/>
    <s v="Expedite Synergistic Web-Readiness"/>
    <x v="1"/>
    <s v="Dunlap, Carpenter and Monroe"/>
    <n v="289.66000000000003"/>
  </r>
  <r>
    <s v="ORD2039"/>
    <x v="77"/>
    <x v="1"/>
    <s v="PROD150"/>
    <x v="1038"/>
    <n v="796.73"/>
    <n v="12"/>
    <x v="2"/>
    <s v="Evolve Intuitive Bandwidth"/>
    <x v="0"/>
    <s v="Rogers Group"/>
    <n v="131.63"/>
  </r>
  <r>
    <s v="ORD2040"/>
    <x v="752"/>
    <x v="1"/>
    <s v="PROD155"/>
    <x v="1039"/>
    <n v="480.11"/>
    <n v="1"/>
    <x v="2"/>
    <s v="Incentivize User-Centric Mindshare"/>
    <x v="1"/>
    <s v="Becker, Wright and Wong"/>
    <n v="38.51"/>
  </r>
  <r>
    <s v="ORD2041"/>
    <x v="763"/>
    <x v="0"/>
    <s v="PROD143"/>
    <x v="1040"/>
    <n v="295.85000000000002"/>
    <n v="9"/>
    <x v="1"/>
    <s v="E-Enable Synergistic Vortals"/>
    <x v="1"/>
    <s v="Guzman Group"/>
    <n v="278.43"/>
  </r>
  <r>
    <s v="ORD2042"/>
    <x v="764"/>
    <x v="0"/>
    <s v="PROD144"/>
    <x v="1041"/>
    <n v="413.53"/>
    <n v="4"/>
    <x v="2"/>
    <s v="Expedite Synergistic Web-Readiness"/>
    <x v="1"/>
    <s v="Dunlap, Carpenter and Monroe"/>
    <n v="289.66000000000003"/>
  </r>
  <r>
    <s v="ORD2043"/>
    <x v="765"/>
    <x v="0"/>
    <s v="PROD191"/>
    <x v="1042"/>
    <n v="130.74"/>
    <n v="13"/>
    <x v="0"/>
    <s v="Synergize Frictionless Synergies"/>
    <x v="2"/>
    <s v="Hester and Sons"/>
    <n v="289.06"/>
  </r>
  <r>
    <s v="ORD2044"/>
    <x v="383"/>
    <x v="2"/>
    <s v="PROD156"/>
    <x v="1043"/>
    <n v="589.96"/>
    <n v="12"/>
    <x v="0"/>
    <s v="Empower Killer Info-Mediaries"/>
    <x v="2"/>
    <s v="Jones Ltd"/>
    <n v="213.24"/>
  </r>
  <r>
    <s v="ORD2045"/>
    <x v="766"/>
    <x v="1"/>
    <s v="PROD150"/>
    <x v="1044"/>
    <n v="457.16"/>
    <n v="16"/>
    <x v="2"/>
    <s v="Evolve Intuitive Bandwidth"/>
    <x v="0"/>
    <s v="Rogers Group"/>
    <n v="131.63"/>
  </r>
  <r>
    <s v="ORD2046"/>
    <x v="767"/>
    <x v="1"/>
    <s v="PROD191"/>
    <x v="1045"/>
    <n v="930.77"/>
    <n v="9"/>
    <x v="1"/>
    <s v="Synergize Frictionless Synergies"/>
    <x v="2"/>
    <s v="Hester and Sons"/>
    <n v="289.06"/>
  </r>
  <r>
    <s v="ORD2047"/>
    <x v="768"/>
    <x v="2"/>
    <s v="PROD163"/>
    <x v="1046"/>
    <n v="19.5"/>
    <n v="19"/>
    <x v="2"/>
    <s v="Grow Back-End Supply-Chains"/>
    <x v="1"/>
    <s v="Green LLC"/>
    <n v="140.08000000000001"/>
  </r>
  <r>
    <s v="ORD2048"/>
    <x v="358"/>
    <x v="3"/>
    <s v="PROD120"/>
    <x v="1047"/>
    <n v="986.58"/>
    <n v="14"/>
    <x v="0"/>
    <s v="Mesh B2B Platforms"/>
    <x v="2"/>
    <s v="Stevens, Walton and Riddle"/>
    <n v="236.57"/>
  </r>
  <r>
    <s v="ORD2049"/>
    <x v="507"/>
    <x v="0"/>
    <s v="PROD172"/>
    <x v="1048"/>
    <n v="589.77"/>
    <n v="6"/>
    <x v="0"/>
    <s v="E-Enable Virtual Methodologies"/>
    <x v="0"/>
    <s v="Floyd-Love"/>
    <n v="283.64999999999998"/>
  </r>
  <r>
    <s v="ORD2050"/>
    <x v="769"/>
    <x v="2"/>
    <s v="PROD114"/>
    <x v="1049"/>
    <n v="793.39"/>
    <n v="18"/>
    <x v="2"/>
    <s v="Orchestrate User-Centric Platforms"/>
    <x v="2"/>
    <s v="Wells Ltd"/>
    <n v="201.87"/>
  </r>
  <r>
    <s v="ORD2051"/>
    <x v="128"/>
    <x v="1"/>
    <s v="PROD137"/>
    <x v="1050"/>
    <n v="42.56"/>
    <n v="13"/>
    <x v="2"/>
    <s v="Optimize Collaborative Initiatives"/>
    <x v="1"/>
    <s v="Adkins Ltd"/>
    <n v="34.46"/>
  </r>
  <r>
    <s v="ORD2052"/>
    <x v="770"/>
    <x v="0"/>
    <s v="PROD150"/>
    <x v="1051"/>
    <n v="898.33"/>
    <n v="19"/>
    <x v="0"/>
    <s v="Evolve Intuitive Bandwidth"/>
    <x v="0"/>
    <s v="Rogers Group"/>
    <n v="131.63"/>
  </r>
  <r>
    <s v="ORD2053"/>
    <x v="484"/>
    <x v="2"/>
    <s v="PROD141"/>
    <x v="1052"/>
    <n v="150.04"/>
    <n v="16"/>
    <x v="0"/>
    <s v="Re-Contextualize Integrated Info-Mediaries"/>
    <x v="1"/>
    <s v="Jones-Schroeder"/>
    <n v="26.02"/>
  </r>
  <r>
    <s v="ORD2054"/>
    <x v="584"/>
    <x v="1"/>
    <s v="PROD126"/>
    <x v="1053"/>
    <n v="685.11"/>
    <n v="4"/>
    <x v="0"/>
    <s v="Streamline Innovative Architectures"/>
    <x v="2"/>
    <s v="Price, Valentine and Lutz"/>
    <n v="291.14999999999998"/>
  </r>
  <r>
    <s v="ORD2055"/>
    <x v="771"/>
    <x v="3"/>
    <s v="PROD180"/>
    <x v="1054"/>
    <n v="929.24"/>
    <n v="3"/>
    <x v="0"/>
    <s v="Iterate Extensible Roi"/>
    <x v="0"/>
    <s v="Hill-Kelly"/>
    <n v="180"/>
  </r>
  <r>
    <s v="ORD2056"/>
    <x v="298"/>
    <x v="0"/>
    <s v="PROD193"/>
    <x v="1055"/>
    <n v="633.39"/>
    <n v="17"/>
    <x v="0"/>
    <s v="Innovate Sticky Web Services"/>
    <x v="1"/>
    <s v="Friedman, Sanders and Adams"/>
    <n v="125.85"/>
  </r>
  <r>
    <s v="ORD2057"/>
    <x v="772"/>
    <x v="3"/>
    <s v="PROD184"/>
    <x v="1056"/>
    <n v="890.83"/>
    <n v="16"/>
    <x v="0"/>
    <s v="Embrace 24/365 Functionalities"/>
    <x v="0"/>
    <s v="Smith LLC"/>
    <n v="204.04"/>
  </r>
  <r>
    <s v="ORD2058"/>
    <x v="309"/>
    <x v="2"/>
    <s v="PROD109"/>
    <x v="1057"/>
    <n v="786.38"/>
    <n v="5"/>
    <x v="1"/>
    <s v="Orchestrate E-Business Niches"/>
    <x v="2"/>
    <s v="Johnson LLC"/>
    <n v="198.99"/>
  </r>
  <r>
    <s v="ORD2059"/>
    <x v="531"/>
    <x v="1"/>
    <s v="PROD111"/>
    <x v="1058"/>
    <n v="878.01"/>
    <n v="13"/>
    <x v="2"/>
    <s v="Harness Revolutionary Interfaces"/>
    <x v="2"/>
    <s v="Davis, Short and Nguyen"/>
    <n v="26.49"/>
  </r>
  <r>
    <s v="ORD2060"/>
    <x v="773"/>
    <x v="0"/>
    <s v="PROD189"/>
    <x v="1059"/>
    <n v="57.43"/>
    <n v="5"/>
    <x v="1"/>
    <s v="E-Enable Next-Generation Experiences"/>
    <x v="2"/>
    <s v="Sanchez-Quinn"/>
    <n v="266.93"/>
  </r>
  <r>
    <s v="ORD2061"/>
    <x v="664"/>
    <x v="0"/>
    <s v="PROD158"/>
    <x v="1060"/>
    <n v="445.82"/>
    <n v="2"/>
    <x v="1"/>
    <s v="Brand Web-Enabled Solutions"/>
    <x v="1"/>
    <s v="Russell Group"/>
    <n v="51.67"/>
  </r>
  <r>
    <s v="ORD2062"/>
    <x v="313"/>
    <x v="2"/>
    <s v="PROD168"/>
    <x v="1061"/>
    <n v="529.12"/>
    <n v="9"/>
    <x v="0"/>
    <s v="Facilitate End-To-End Experiences"/>
    <x v="0"/>
    <s v="Pierce-Goodwin"/>
    <n v="260.52999999999997"/>
  </r>
  <r>
    <s v="ORD2063"/>
    <x v="652"/>
    <x v="0"/>
    <s v="PROD180"/>
    <x v="1062"/>
    <n v="638.79"/>
    <n v="9"/>
    <x v="2"/>
    <s v="Iterate Extensible Roi"/>
    <x v="0"/>
    <s v="Hill-Kelly"/>
    <n v="180"/>
  </r>
  <r>
    <s v="ORD2064"/>
    <x v="693"/>
    <x v="2"/>
    <s v="PROD118"/>
    <x v="1063"/>
    <n v="206.99"/>
    <n v="12"/>
    <x v="1"/>
    <s v="Engineer Real-Time Architectures"/>
    <x v="2"/>
    <s v="James and Sons"/>
    <n v="127.23"/>
  </r>
  <r>
    <s v="ORD2065"/>
    <x v="276"/>
    <x v="0"/>
    <s v="PROD109"/>
    <x v="1064"/>
    <n v="330.09"/>
    <n v="12"/>
    <x v="2"/>
    <s v="Orchestrate E-Business Niches"/>
    <x v="2"/>
    <s v="Johnson LLC"/>
    <n v="198.99"/>
  </r>
  <r>
    <s v="ORD2066"/>
    <x v="774"/>
    <x v="3"/>
    <s v="PROD138"/>
    <x v="1065"/>
    <n v="456.79"/>
    <n v="17"/>
    <x v="2"/>
    <s v="Deliver Viral Eyeballs"/>
    <x v="0"/>
    <s v="Estes, Chan and Thomas"/>
    <n v="16.89"/>
  </r>
  <r>
    <s v="ORD2067"/>
    <x v="775"/>
    <x v="0"/>
    <s v="PROD137"/>
    <x v="1066"/>
    <n v="204.46"/>
    <n v="3"/>
    <x v="1"/>
    <s v="Optimize Collaborative Initiatives"/>
    <x v="1"/>
    <s v="Adkins Ltd"/>
    <n v="34.46"/>
  </r>
  <r>
    <s v="ORD2068"/>
    <x v="776"/>
    <x v="0"/>
    <s v="PROD169"/>
    <x v="1067"/>
    <n v="925.33"/>
    <n v="13"/>
    <x v="1"/>
    <s v="Unleash End-To-End Web Services"/>
    <x v="0"/>
    <s v="Jones Ltd"/>
    <n v="188.02"/>
  </r>
  <r>
    <s v="ORD2069"/>
    <x v="368"/>
    <x v="0"/>
    <s v="PROD143"/>
    <x v="1068"/>
    <n v="293.72000000000003"/>
    <n v="6"/>
    <x v="0"/>
    <s v="E-Enable Synergistic Vortals"/>
    <x v="1"/>
    <s v="Guzman Group"/>
    <n v="278.43"/>
  </r>
  <r>
    <s v="ORD2070"/>
    <x v="760"/>
    <x v="3"/>
    <s v="PROD177"/>
    <x v="1069"/>
    <n v="149.03"/>
    <n v="19"/>
    <x v="1"/>
    <s v="Deploy Granular Channels"/>
    <x v="2"/>
    <s v="Barnes Ltd"/>
    <n v="288.99"/>
  </r>
  <r>
    <s v="ORD2071"/>
    <x v="421"/>
    <x v="0"/>
    <s v="PROD196"/>
    <x v="1070"/>
    <n v="549.12"/>
    <n v="10"/>
    <x v="0"/>
    <s v="Strategize E-Business Content"/>
    <x v="1"/>
    <s v="Patterson LLC"/>
    <n v="294.02"/>
  </r>
  <r>
    <s v="ORD2072"/>
    <x v="148"/>
    <x v="1"/>
    <s v="PROD125"/>
    <x v="1071"/>
    <n v="797.24"/>
    <n v="20"/>
    <x v="2"/>
    <s v="Leverage Cutting-Edge Vortals"/>
    <x v="1"/>
    <s v="Robinson, Garrett and Chavez"/>
    <n v="117.3"/>
  </r>
  <r>
    <s v="ORD2073"/>
    <x v="664"/>
    <x v="0"/>
    <s v="PROD153"/>
    <x v="1072"/>
    <n v="83.43"/>
    <n v="16"/>
    <x v="0"/>
    <s v="Seize Plug-And-Play Web-Readiness"/>
    <x v="1"/>
    <s v="Joseph, Mayer and Carr"/>
    <n v="102.73"/>
  </r>
  <r>
    <s v="ORD2074"/>
    <x v="777"/>
    <x v="1"/>
    <s v="PROD160"/>
    <x v="1073"/>
    <n v="836.72"/>
    <n v="4"/>
    <x v="1"/>
    <s v="Deliver Extensible Partnerships"/>
    <x v="2"/>
    <s v="Martin, Paul and Salazar"/>
    <n v="43.76"/>
  </r>
  <r>
    <s v="ORD2075"/>
    <x v="778"/>
    <x v="0"/>
    <s v="PROD130"/>
    <x v="1074"/>
    <n v="864.19"/>
    <n v="14"/>
    <x v="2"/>
    <s v="Synthesize Wireless Initiatives"/>
    <x v="1"/>
    <s v="Mosley Ltd"/>
    <n v="162.69999999999999"/>
  </r>
  <r>
    <s v="ORD2076"/>
    <x v="779"/>
    <x v="1"/>
    <s v="PROD163"/>
    <x v="1075"/>
    <n v="435.64"/>
    <n v="15"/>
    <x v="2"/>
    <s v="Grow Back-End Supply-Chains"/>
    <x v="1"/>
    <s v="Green LLC"/>
    <n v="140.08000000000001"/>
  </r>
  <r>
    <s v="ORD2077"/>
    <x v="15"/>
    <x v="1"/>
    <s v="PROD188"/>
    <x v="1076"/>
    <n v="668.17"/>
    <n v="20"/>
    <x v="1"/>
    <s v="Transition Mission-Critical Interfaces"/>
    <x v="0"/>
    <s v="Weaver Ltd"/>
    <n v="34.64"/>
  </r>
  <r>
    <s v="ORD2078"/>
    <x v="780"/>
    <x v="3"/>
    <s v="PROD138"/>
    <x v="1077"/>
    <n v="344.42"/>
    <n v="13"/>
    <x v="1"/>
    <s v="Deliver Viral Eyeballs"/>
    <x v="0"/>
    <s v="Estes, Chan and Thomas"/>
    <n v="16.89"/>
  </r>
  <r>
    <s v="ORD2079"/>
    <x v="781"/>
    <x v="3"/>
    <s v="PROD197"/>
    <x v="1078"/>
    <n v="432.93"/>
    <n v="5"/>
    <x v="2"/>
    <s v="Leverage Rich Portals"/>
    <x v="0"/>
    <s v="Wilson PLC"/>
    <n v="46.35"/>
  </r>
  <r>
    <s v="ORD2080"/>
    <x v="79"/>
    <x v="3"/>
    <s v="PROD140"/>
    <x v="1079"/>
    <n v="375.6"/>
    <n v="20"/>
    <x v="1"/>
    <s v="Extend Bricks-And-Clicks Architectures"/>
    <x v="2"/>
    <s v="Fuller PLC"/>
    <n v="202.99"/>
  </r>
  <r>
    <s v="ORD2081"/>
    <x v="782"/>
    <x v="2"/>
    <s v="PROD128"/>
    <x v="1080"/>
    <n v="646.91"/>
    <n v="10"/>
    <x v="0"/>
    <s v="Brand Distributed Info-Mediaries"/>
    <x v="2"/>
    <s v="Garcia Ltd"/>
    <n v="114.48"/>
  </r>
  <r>
    <s v="ORD2082"/>
    <x v="783"/>
    <x v="0"/>
    <s v="PROD118"/>
    <x v="1081"/>
    <n v="353.44"/>
    <n v="16"/>
    <x v="0"/>
    <s v="Engineer Real-Time Architectures"/>
    <x v="2"/>
    <s v="James and Sons"/>
    <n v="127.23"/>
  </r>
  <r>
    <s v="ORD2083"/>
    <x v="5"/>
    <x v="3"/>
    <s v="PROD182"/>
    <x v="1082"/>
    <n v="547.91"/>
    <n v="20"/>
    <x v="0"/>
    <s v="Strategize Best-Of-Breed Web-Readiness"/>
    <x v="0"/>
    <s v="Morris, King and Ayers"/>
    <n v="220.16"/>
  </r>
  <r>
    <s v="ORD2084"/>
    <x v="784"/>
    <x v="1"/>
    <s v="PROD104"/>
    <x v="1083"/>
    <n v="946"/>
    <n v="18"/>
    <x v="2"/>
    <s v="Implement Clicks-And-Mortar Partnerships"/>
    <x v="1"/>
    <s v="Smith Inc"/>
    <n v="195.53"/>
  </r>
  <r>
    <s v="ORD2085"/>
    <x v="785"/>
    <x v="3"/>
    <s v="PROD161"/>
    <x v="1084"/>
    <n v="838.69"/>
    <n v="6"/>
    <x v="2"/>
    <s v="Synergize E-Business Deliverables"/>
    <x v="1"/>
    <s v="Crawford, Warren and Williams"/>
    <n v="125.93"/>
  </r>
  <r>
    <s v="ORD2086"/>
    <x v="537"/>
    <x v="2"/>
    <s v="PROD133"/>
    <x v="1085"/>
    <n v="71.34"/>
    <n v="8"/>
    <x v="0"/>
    <s v="Re-Intermediate Seamless Applications"/>
    <x v="0"/>
    <s v="Welch-Reed"/>
    <n v="45.82"/>
  </r>
  <r>
    <s v="ORD2087"/>
    <x v="786"/>
    <x v="3"/>
    <s v="PROD116"/>
    <x v="1086"/>
    <n v="350.03"/>
    <n v="3"/>
    <x v="2"/>
    <s v="Synergize Cross-Platform Vortals"/>
    <x v="2"/>
    <s v="Edwards Group"/>
    <n v="87.18"/>
  </r>
  <r>
    <s v="ORD2088"/>
    <x v="327"/>
    <x v="0"/>
    <s v="PROD195"/>
    <x v="1087"/>
    <n v="440.23"/>
    <n v="13"/>
    <x v="1"/>
    <s v="Reinvent Out-Of-The-Box Models"/>
    <x v="0"/>
    <s v="Wagner-Curtis"/>
    <n v="172.34"/>
  </r>
  <r>
    <s v="ORD2089"/>
    <x v="190"/>
    <x v="3"/>
    <s v="PROD142"/>
    <x v="1088"/>
    <n v="807.02"/>
    <n v="15"/>
    <x v="2"/>
    <s v="Target Bricks-And-Clicks Channels"/>
    <x v="1"/>
    <s v="Dunn, Christensen and Meyer"/>
    <n v="126.86"/>
  </r>
  <r>
    <s v="ORD2090"/>
    <x v="787"/>
    <x v="2"/>
    <s v="PROD176"/>
    <x v="1089"/>
    <n v="158.22999999999999"/>
    <n v="15"/>
    <x v="0"/>
    <s v="Facilitate Integrated E-Business"/>
    <x v="0"/>
    <s v="Chang-Vargas"/>
    <n v="130.33000000000001"/>
  </r>
  <r>
    <s v="ORD2091"/>
    <x v="124"/>
    <x v="3"/>
    <s v="PROD151"/>
    <x v="1090"/>
    <n v="18.38"/>
    <n v="5"/>
    <x v="0"/>
    <s v="Re-Contextualize Viral Markets"/>
    <x v="1"/>
    <s v="Meadows-Barber"/>
    <n v="177.52"/>
  </r>
  <r>
    <s v="ORD2092"/>
    <x v="775"/>
    <x v="0"/>
    <s v="PROD159"/>
    <x v="1091"/>
    <n v="74.14"/>
    <n v="10"/>
    <x v="1"/>
    <s v="Mesh Intuitive Supply-Chains"/>
    <x v="1"/>
    <s v="Soto, Barnett and Heath"/>
    <n v="281"/>
  </r>
  <r>
    <s v="ORD2093"/>
    <x v="411"/>
    <x v="2"/>
    <s v="PROD118"/>
    <x v="1092"/>
    <n v="750.01"/>
    <n v="20"/>
    <x v="1"/>
    <s v="Engineer Real-Time Architectures"/>
    <x v="2"/>
    <s v="James and Sons"/>
    <n v="127.23"/>
  </r>
  <r>
    <s v="ORD2094"/>
    <x v="788"/>
    <x v="3"/>
    <s v="PROD131"/>
    <x v="1093"/>
    <n v="282.01"/>
    <n v="11"/>
    <x v="2"/>
    <s v="Scale Bleeding-Edge Schemas"/>
    <x v="1"/>
    <s v="Frazier-Schneider"/>
    <n v="54.8"/>
  </r>
  <r>
    <s v="ORD2095"/>
    <x v="723"/>
    <x v="0"/>
    <s v="PROD143"/>
    <x v="1094"/>
    <n v="220.96"/>
    <n v="7"/>
    <x v="0"/>
    <s v="E-Enable Synergistic Vortals"/>
    <x v="1"/>
    <s v="Guzman Group"/>
    <n v="278.43"/>
  </r>
  <r>
    <s v="ORD2096"/>
    <x v="789"/>
    <x v="3"/>
    <s v="PROD107"/>
    <x v="1095"/>
    <n v="124.14"/>
    <n v="13"/>
    <x v="0"/>
    <s v="Utilize Back-End Models"/>
    <x v="2"/>
    <s v="Lewis-Holden"/>
    <n v="241.53"/>
  </r>
  <r>
    <s v="ORD2097"/>
    <x v="790"/>
    <x v="1"/>
    <s v="PROD187"/>
    <x v="1096"/>
    <n v="854.96"/>
    <n v="20"/>
    <x v="1"/>
    <s v="Whiteboard Compelling Experiences"/>
    <x v="2"/>
    <s v="Carrillo, Carr and Ball"/>
    <n v="206.54"/>
  </r>
  <r>
    <s v="ORD2098"/>
    <x v="791"/>
    <x v="0"/>
    <s v="PROD100"/>
    <x v="1097"/>
    <n v="574.08000000000004"/>
    <n v="10"/>
    <x v="2"/>
    <s v="Synthesize Scalable Portals"/>
    <x v="2"/>
    <s v="Singh, Villa and Flynn"/>
    <n v="298.57"/>
  </r>
  <r>
    <s v="ORD2099"/>
    <x v="449"/>
    <x v="3"/>
    <s v="PROD111"/>
    <x v="1098"/>
    <n v="824.67"/>
    <n v="10"/>
    <x v="2"/>
    <s v="Harness Revolutionary Interfaces"/>
    <x v="2"/>
    <s v="Davis, Short and Nguyen"/>
    <n v="26.49"/>
  </r>
  <r>
    <s v="ORD2100"/>
    <x v="792"/>
    <x v="3"/>
    <s v="PROD125"/>
    <x v="1099"/>
    <n v="891.31"/>
    <n v="7"/>
    <x v="2"/>
    <s v="Leverage Cutting-Edge Vortals"/>
    <x v="1"/>
    <s v="Robinson, Garrett and Chavez"/>
    <n v="117.3"/>
  </r>
  <r>
    <s v="ORD2101"/>
    <x v="334"/>
    <x v="2"/>
    <s v="PROD115"/>
    <x v="1100"/>
    <n v="213.99"/>
    <n v="11"/>
    <x v="0"/>
    <s v="Morph World-Class Synergies"/>
    <x v="1"/>
    <s v="Bryant Ltd"/>
    <n v="20.69"/>
  </r>
  <r>
    <s v="ORD2102"/>
    <x v="310"/>
    <x v="0"/>
    <s v="PROD102"/>
    <x v="1101"/>
    <n v="334.36"/>
    <n v="5"/>
    <x v="1"/>
    <s v="Optimize Transparent E-Markets"/>
    <x v="0"/>
    <s v="Lee, Tyler and Blevins"/>
    <n v="111.22"/>
  </r>
  <r>
    <s v="ORD2103"/>
    <x v="202"/>
    <x v="0"/>
    <s v="PROD182"/>
    <x v="1102"/>
    <n v="904.21"/>
    <n v="5"/>
    <x v="1"/>
    <s v="Strategize Best-Of-Breed Web-Readiness"/>
    <x v="0"/>
    <s v="Morris, King and Ayers"/>
    <n v="220.16"/>
  </r>
  <r>
    <s v="ORD2104"/>
    <x v="4"/>
    <x v="3"/>
    <s v="PROD110"/>
    <x v="1103"/>
    <n v="361.58"/>
    <n v="5"/>
    <x v="1"/>
    <s v="E-Enable Holistic Supply-Chains"/>
    <x v="2"/>
    <s v="Lin-Mcdaniel"/>
    <n v="160.33000000000001"/>
  </r>
  <r>
    <s v="ORD2105"/>
    <x v="784"/>
    <x v="2"/>
    <s v="PROD118"/>
    <x v="1104"/>
    <n v="200.08"/>
    <n v="3"/>
    <x v="0"/>
    <s v="Engineer Real-Time Architectures"/>
    <x v="2"/>
    <s v="James and Sons"/>
    <n v="127.23"/>
  </r>
  <r>
    <s v="ORD2106"/>
    <x v="507"/>
    <x v="2"/>
    <s v="PROD110"/>
    <x v="1105"/>
    <n v="914.42"/>
    <n v="5"/>
    <x v="1"/>
    <s v="E-Enable Holistic Supply-Chains"/>
    <x v="2"/>
    <s v="Lin-Mcdaniel"/>
    <n v="160.33000000000001"/>
  </r>
  <r>
    <s v="ORD2107"/>
    <x v="793"/>
    <x v="3"/>
    <s v="PROD151"/>
    <x v="1106"/>
    <n v="514.79"/>
    <n v="4"/>
    <x v="1"/>
    <s v="Re-Contextualize Viral Markets"/>
    <x v="1"/>
    <s v="Meadows-Barber"/>
    <n v="177.52"/>
  </r>
  <r>
    <s v="ORD2108"/>
    <x v="794"/>
    <x v="3"/>
    <s v="PROD145"/>
    <x v="1107"/>
    <n v="443.39"/>
    <n v="12"/>
    <x v="0"/>
    <s v="Innovate Strategic Systems"/>
    <x v="0"/>
    <s v="Mcfarland, Parker and Armstrong"/>
    <n v="70.239999999999995"/>
  </r>
  <r>
    <s v="ORD2109"/>
    <x v="523"/>
    <x v="0"/>
    <s v="PROD194"/>
    <x v="1108"/>
    <n v="777.79"/>
    <n v="8"/>
    <x v="1"/>
    <s v="Leverage Scalable Interfaces"/>
    <x v="0"/>
    <s v="Kaufman-Jones"/>
    <n v="73.33"/>
  </r>
  <r>
    <s v="ORD2110"/>
    <x v="349"/>
    <x v="0"/>
    <s v="PROD189"/>
    <x v="1109"/>
    <n v="784.31"/>
    <n v="17"/>
    <x v="1"/>
    <s v="E-Enable Next-Generation Experiences"/>
    <x v="2"/>
    <s v="Sanchez-Quinn"/>
    <n v="266.93"/>
  </r>
  <r>
    <s v="ORD2111"/>
    <x v="795"/>
    <x v="3"/>
    <s v="PROD183"/>
    <x v="1110"/>
    <n v="130.47"/>
    <n v="3"/>
    <x v="1"/>
    <s v="Incentivize Front-End Mindshare"/>
    <x v="1"/>
    <s v="Phillips-Tran"/>
    <n v="196.86"/>
  </r>
  <r>
    <s v="ORD2112"/>
    <x v="796"/>
    <x v="1"/>
    <s v="PROD191"/>
    <x v="1111"/>
    <n v="591.36"/>
    <n v="10"/>
    <x v="1"/>
    <s v="Synergize Frictionless Synergies"/>
    <x v="2"/>
    <s v="Hester and Sons"/>
    <n v="289.06"/>
  </r>
  <r>
    <s v="ORD2113"/>
    <x v="797"/>
    <x v="1"/>
    <s v="PROD134"/>
    <x v="1112"/>
    <n v="691.52"/>
    <n v="4"/>
    <x v="0"/>
    <s v="Utilize Ubiquitous Synergies"/>
    <x v="1"/>
    <s v="Kramer, Huang and Shaw"/>
    <n v="295.89999999999998"/>
  </r>
  <r>
    <s v="ORD2114"/>
    <x v="798"/>
    <x v="3"/>
    <s v="PROD143"/>
    <x v="1113"/>
    <n v="535.32000000000005"/>
    <n v="4"/>
    <x v="0"/>
    <s v="E-Enable Synergistic Vortals"/>
    <x v="1"/>
    <s v="Guzman Group"/>
    <n v="278.43"/>
  </r>
  <r>
    <s v="ORD2115"/>
    <x v="799"/>
    <x v="3"/>
    <s v="PROD199"/>
    <x v="1114"/>
    <n v="69.64"/>
    <n v="16"/>
    <x v="1"/>
    <s v="Scale Cross-Platform Web Services"/>
    <x v="2"/>
    <s v="Morrow, Brock and Lewis"/>
    <n v="115.21"/>
  </r>
  <r>
    <s v="ORD2116"/>
    <x v="47"/>
    <x v="0"/>
    <s v="PROD129"/>
    <x v="1115"/>
    <n v="841.79"/>
    <n v="18"/>
    <x v="0"/>
    <s v="Scale Vertical Networks"/>
    <x v="2"/>
    <s v="Lam, Wood and Jacobs"/>
    <n v="133.24"/>
  </r>
  <r>
    <s v="ORD2117"/>
    <x v="784"/>
    <x v="0"/>
    <s v="PROD140"/>
    <x v="1116"/>
    <n v="754.79"/>
    <n v="17"/>
    <x v="0"/>
    <s v="Extend Bricks-And-Clicks Architectures"/>
    <x v="2"/>
    <s v="Fuller PLC"/>
    <n v="202.99"/>
  </r>
  <r>
    <s v="ORD2118"/>
    <x v="255"/>
    <x v="3"/>
    <s v="PROD177"/>
    <x v="1117"/>
    <n v="174.24"/>
    <n v="15"/>
    <x v="1"/>
    <s v="Deploy Granular Channels"/>
    <x v="2"/>
    <s v="Barnes Ltd"/>
    <n v="288.99"/>
  </r>
  <r>
    <s v="ORD2119"/>
    <x v="800"/>
    <x v="2"/>
    <s v="PROD157"/>
    <x v="1118"/>
    <n v="14.43"/>
    <n v="17"/>
    <x v="1"/>
    <s v="Implement Rich Platforms"/>
    <x v="1"/>
    <s v="Parker, Anderson and Salazar"/>
    <n v="53.59"/>
  </r>
  <r>
    <s v="ORD2120"/>
    <x v="801"/>
    <x v="3"/>
    <s v="PROD134"/>
    <x v="1119"/>
    <n v="721.13"/>
    <n v="20"/>
    <x v="0"/>
    <s v="Utilize Ubiquitous Synergies"/>
    <x v="1"/>
    <s v="Kramer, Huang and Shaw"/>
    <n v="295.89999999999998"/>
  </r>
  <r>
    <s v="ORD2121"/>
    <x v="510"/>
    <x v="1"/>
    <s v="PROD160"/>
    <x v="1120"/>
    <n v="300.66000000000003"/>
    <n v="15"/>
    <x v="2"/>
    <s v="Deliver Extensible Partnerships"/>
    <x v="2"/>
    <s v="Martin, Paul and Salazar"/>
    <n v="43.76"/>
  </r>
  <r>
    <s v="ORD2122"/>
    <x v="802"/>
    <x v="1"/>
    <s v="PROD123"/>
    <x v="1121"/>
    <n v="170.42"/>
    <n v="10"/>
    <x v="0"/>
    <s v="Redefine Real-Time Convergence"/>
    <x v="1"/>
    <s v="Hayes, Peters and Douglas"/>
    <n v="78.260000000000005"/>
  </r>
  <r>
    <s v="ORD2123"/>
    <x v="803"/>
    <x v="0"/>
    <s v="PROD108"/>
    <x v="1122"/>
    <n v="540.41"/>
    <n v="9"/>
    <x v="1"/>
    <s v="Synergize World-Class Networks"/>
    <x v="1"/>
    <s v="Gomez-Lawrence"/>
    <n v="72.37"/>
  </r>
  <r>
    <s v="ORD2124"/>
    <x v="804"/>
    <x v="1"/>
    <s v="PROD115"/>
    <x v="1123"/>
    <n v="349.76"/>
    <n v="14"/>
    <x v="2"/>
    <s v="Morph World-Class Synergies"/>
    <x v="1"/>
    <s v="Bryant Ltd"/>
    <n v="20.69"/>
  </r>
  <r>
    <s v="ORD2125"/>
    <x v="601"/>
    <x v="1"/>
    <s v="PROD114"/>
    <x v="1124"/>
    <n v="26.93"/>
    <n v="4"/>
    <x v="1"/>
    <s v="Orchestrate User-Centric Platforms"/>
    <x v="2"/>
    <s v="Wells Ltd"/>
    <n v="201.87"/>
  </r>
  <r>
    <s v="ORD2126"/>
    <x v="805"/>
    <x v="2"/>
    <s v="PROD148"/>
    <x v="1125"/>
    <n v="664.49"/>
    <n v="9"/>
    <x v="1"/>
    <s v="Empower Seamless Roi"/>
    <x v="0"/>
    <s v="Proctor Group"/>
    <n v="266.64999999999998"/>
  </r>
  <r>
    <s v="ORD2127"/>
    <x v="806"/>
    <x v="0"/>
    <s v="PROD179"/>
    <x v="1126"/>
    <n v="251.86"/>
    <n v="5"/>
    <x v="0"/>
    <s v="Target Viral Methodologies"/>
    <x v="1"/>
    <s v="Alvarez, Myers and Walter"/>
    <n v="149.26"/>
  </r>
  <r>
    <s v="ORD2128"/>
    <x v="746"/>
    <x v="1"/>
    <s v="PROD136"/>
    <x v="1127"/>
    <n v="293.93"/>
    <n v="13"/>
    <x v="1"/>
    <s v="Evolve Innovative Web Services"/>
    <x v="2"/>
    <s v="Bush Inc"/>
    <n v="87.75"/>
  </r>
  <r>
    <s v="ORD2129"/>
    <x v="807"/>
    <x v="1"/>
    <s v="PROD136"/>
    <x v="1128"/>
    <n v="866.04"/>
    <n v="11"/>
    <x v="1"/>
    <s v="Evolve Innovative Web Services"/>
    <x v="2"/>
    <s v="Bush Inc"/>
    <n v="87.75"/>
  </r>
  <r>
    <s v="ORD2130"/>
    <x v="808"/>
    <x v="0"/>
    <s v="PROD174"/>
    <x v="1129"/>
    <n v="336.33"/>
    <n v="17"/>
    <x v="0"/>
    <s v="Disintermediate Scalable Bandwidth"/>
    <x v="1"/>
    <s v="Levy PLC"/>
    <n v="19.86"/>
  </r>
  <r>
    <s v="ORD2131"/>
    <x v="603"/>
    <x v="0"/>
    <s v="PROD105"/>
    <x v="1130"/>
    <n v="368.91"/>
    <n v="4"/>
    <x v="0"/>
    <s v="Transform Holistic Functionalities"/>
    <x v="0"/>
    <s v="Ruiz Ltd"/>
    <n v="179.27"/>
  </r>
  <r>
    <s v="ORD2132"/>
    <x v="406"/>
    <x v="3"/>
    <s v="PROD188"/>
    <x v="1131"/>
    <n v="840.24"/>
    <n v="19"/>
    <x v="2"/>
    <s v="Transition Mission-Critical Interfaces"/>
    <x v="0"/>
    <s v="Weaver Ltd"/>
    <n v="34.64"/>
  </r>
  <r>
    <s v="ORD2133"/>
    <x v="288"/>
    <x v="1"/>
    <s v="PROD191"/>
    <x v="1132"/>
    <n v="394.59"/>
    <n v="11"/>
    <x v="0"/>
    <s v="Synergize Frictionless Synergies"/>
    <x v="2"/>
    <s v="Hester and Sons"/>
    <n v="289.06"/>
  </r>
  <r>
    <s v="ORD2134"/>
    <x v="19"/>
    <x v="0"/>
    <s v="PROD101"/>
    <x v="1133"/>
    <n v="332.92"/>
    <n v="17"/>
    <x v="0"/>
    <s v="Harness Proactive Eyeballs"/>
    <x v="1"/>
    <s v="Moran and Sons"/>
    <n v="58.01"/>
  </r>
  <r>
    <s v="ORD2135"/>
    <x v="809"/>
    <x v="1"/>
    <s v="PROD170"/>
    <x v="1134"/>
    <n v="666.57"/>
    <n v="5"/>
    <x v="1"/>
    <s v="Deliver Sticky Networks"/>
    <x v="2"/>
    <s v="Massey LLC"/>
    <n v="272.33"/>
  </r>
  <r>
    <s v="ORD2136"/>
    <x v="810"/>
    <x v="1"/>
    <s v="PROD110"/>
    <x v="1135"/>
    <n v="431.71"/>
    <n v="11"/>
    <x v="2"/>
    <s v="E-Enable Holistic Supply-Chains"/>
    <x v="2"/>
    <s v="Lin-Mcdaniel"/>
    <n v="160.33000000000001"/>
  </r>
  <r>
    <s v="ORD2137"/>
    <x v="316"/>
    <x v="1"/>
    <s v="PROD120"/>
    <x v="1136"/>
    <n v="860.94"/>
    <n v="20"/>
    <x v="2"/>
    <s v="Mesh B2B Platforms"/>
    <x v="2"/>
    <s v="Stevens, Walton and Riddle"/>
    <n v="236.57"/>
  </r>
  <r>
    <s v="ORD2138"/>
    <x v="811"/>
    <x v="3"/>
    <s v="PROD142"/>
    <x v="1137"/>
    <n v="686.54"/>
    <n v="13"/>
    <x v="2"/>
    <s v="Target Bricks-And-Clicks Channels"/>
    <x v="1"/>
    <s v="Dunn, Christensen and Meyer"/>
    <n v="126.86"/>
  </r>
  <r>
    <s v="ORD2139"/>
    <x v="812"/>
    <x v="0"/>
    <s v="PROD110"/>
    <x v="1138"/>
    <n v="341.02"/>
    <n v="5"/>
    <x v="2"/>
    <s v="E-Enable Holistic Supply-Chains"/>
    <x v="2"/>
    <s v="Lin-Mcdaniel"/>
    <n v="160.33000000000001"/>
  </r>
  <r>
    <s v="ORD2140"/>
    <x v="689"/>
    <x v="0"/>
    <s v="PROD176"/>
    <x v="1139"/>
    <n v="97.25"/>
    <n v="14"/>
    <x v="0"/>
    <s v="Facilitate Integrated E-Business"/>
    <x v="0"/>
    <s v="Chang-Vargas"/>
    <n v="130.33000000000001"/>
  </r>
  <r>
    <s v="ORD2141"/>
    <x v="813"/>
    <x v="2"/>
    <s v="PROD193"/>
    <x v="1140"/>
    <n v="794.14"/>
    <n v="7"/>
    <x v="2"/>
    <s v="Innovate Sticky Web Services"/>
    <x v="1"/>
    <s v="Friedman, Sanders and Adams"/>
    <n v="125.85"/>
  </r>
  <r>
    <s v="ORD2142"/>
    <x v="669"/>
    <x v="0"/>
    <s v="PROD101"/>
    <x v="1141"/>
    <n v="143.13999999999999"/>
    <n v="12"/>
    <x v="0"/>
    <s v="Harness Proactive Eyeballs"/>
    <x v="1"/>
    <s v="Moran and Sons"/>
    <n v="58.01"/>
  </r>
  <r>
    <s v="ORD2143"/>
    <x v="814"/>
    <x v="1"/>
    <s v="PROD100"/>
    <x v="1142"/>
    <n v="89.14"/>
    <n v="9"/>
    <x v="2"/>
    <s v="Synthesize Scalable Portals"/>
    <x v="2"/>
    <s v="Singh, Villa and Flynn"/>
    <n v="298.57"/>
  </r>
  <r>
    <s v="ORD2144"/>
    <x v="264"/>
    <x v="3"/>
    <s v="PROD111"/>
    <x v="1143"/>
    <n v="10.83"/>
    <n v="10"/>
    <x v="0"/>
    <s v="Harness Revolutionary Interfaces"/>
    <x v="2"/>
    <s v="Davis, Short and Nguyen"/>
    <n v="26.49"/>
  </r>
  <r>
    <s v="ORD2145"/>
    <x v="815"/>
    <x v="3"/>
    <s v="PROD153"/>
    <x v="1144"/>
    <n v="911.58"/>
    <n v="15"/>
    <x v="0"/>
    <s v="Seize Plug-And-Play Web-Readiness"/>
    <x v="1"/>
    <s v="Joseph, Mayer and Carr"/>
    <n v="102.73"/>
  </r>
  <r>
    <s v="ORD2146"/>
    <x v="731"/>
    <x v="0"/>
    <s v="PROD115"/>
    <x v="1145"/>
    <n v="518.95000000000005"/>
    <n v="10"/>
    <x v="2"/>
    <s v="Morph World-Class Synergies"/>
    <x v="1"/>
    <s v="Bryant Ltd"/>
    <n v="20.69"/>
  </r>
  <r>
    <s v="ORD2147"/>
    <x v="660"/>
    <x v="0"/>
    <s v="PROD102"/>
    <x v="1146"/>
    <n v="213.98"/>
    <n v="10"/>
    <x v="0"/>
    <s v="Optimize Transparent E-Markets"/>
    <x v="0"/>
    <s v="Lee, Tyler and Blevins"/>
    <n v="111.22"/>
  </r>
  <r>
    <s v="ORD2148"/>
    <x v="816"/>
    <x v="1"/>
    <s v="PROD139"/>
    <x v="1147"/>
    <n v="184.32"/>
    <n v="10"/>
    <x v="2"/>
    <s v="Re-Contextualize Viral Mindshare"/>
    <x v="1"/>
    <s v="Carter-Lane"/>
    <n v="142.25"/>
  </r>
  <r>
    <s v="ORD2149"/>
    <x v="817"/>
    <x v="0"/>
    <s v="PROD187"/>
    <x v="1148"/>
    <n v="228.77"/>
    <n v="8"/>
    <x v="1"/>
    <s v="Whiteboard Compelling Experiences"/>
    <x v="2"/>
    <s v="Carrillo, Carr and Ball"/>
    <n v="206.54"/>
  </r>
  <r>
    <s v="ORD2150"/>
    <x v="777"/>
    <x v="3"/>
    <s v="PROD121"/>
    <x v="1149"/>
    <n v="41.74"/>
    <n v="12"/>
    <x v="1"/>
    <s v="Whiteboard B2B Content"/>
    <x v="0"/>
    <s v="Romero PLC"/>
    <n v="93.81"/>
  </r>
  <r>
    <s v="ORD2151"/>
    <x v="637"/>
    <x v="3"/>
    <s v="PROD117"/>
    <x v="1150"/>
    <n v="253.26"/>
    <n v="3"/>
    <x v="0"/>
    <s v="Revolutionize Efficient Niches"/>
    <x v="1"/>
    <s v="Lopez-Torres"/>
    <n v="23.02"/>
  </r>
  <r>
    <s v="ORD2152"/>
    <x v="312"/>
    <x v="2"/>
    <s v="PROD102"/>
    <x v="1151"/>
    <n v="289.45999999999998"/>
    <n v="3"/>
    <x v="1"/>
    <s v="Optimize Transparent E-Markets"/>
    <x v="0"/>
    <s v="Lee, Tyler and Blevins"/>
    <n v="111.22"/>
  </r>
  <r>
    <s v="ORD2153"/>
    <x v="818"/>
    <x v="2"/>
    <s v="PROD177"/>
    <x v="1152"/>
    <n v="740.86"/>
    <n v="8"/>
    <x v="1"/>
    <s v="Deploy Granular Channels"/>
    <x v="2"/>
    <s v="Barnes Ltd"/>
    <n v="288.99"/>
  </r>
  <r>
    <s v="ORD2154"/>
    <x v="819"/>
    <x v="3"/>
    <s v="PROD105"/>
    <x v="1153"/>
    <n v="890.63"/>
    <n v="6"/>
    <x v="0"/>
    <s v="Transform Holistic Functionalities"/>
    <x v="0"/>
    <s v="Ruiz Ltd"/>
    <n v="179.27"/>
  </r>
  <r>
    <s v="ORD2155"/>
    <x v="820"/>
    <x v="1"/>
    <s v="PROD120"/>
    <x v="1154"/>
    <n v="89.55"/>
    <n v="10"/>
    <x v="1"/>
    <s v="Mesh B2B Platforms"/>
    <x v="2"/>
    <s v="Stevens, Walton and Riddle"/>
    <n v="236.57"/>
  </r>
  <r>
    <s v="ORD2156"/>
    <x v="821"/>
    <x v="3"/>
    <s v="PROD178"/>
    <x v="1155"/>
    <n v="533.96"/>
    <n v="1"/>
    <x v="0"/>
    <s v="Monetize Value-Added Niches"/>
    <x v="0"/>
    <s v="Foster, Velazquez and Lee"/>
    <n v="171.51"/>
  </r>
  <r>
    <s v="ORD2157"/>
    <x v="822"/>
    <x v="0"/>
    <s v="PROD147"/>
    <x v="1156"/>
    <n v="127.76"/>
    <n v="20"/>
    <x v="1"/>
    <s v="Brand B2C Info-Mediaries"/>
    <x v="0"/>
    <s v="Preston Ltd"/>
    <n v="13.46"/>
  </r>
  <r>
    <s v="ORD2158"/>
    <x v="823"/>
    <x v="1"/>
    <s v="PROD122"/>
    <x v="1157"/>
    <n v="938.72"/>
    <n v="20"/>
    <x v="1"/>
    <s v="Empower Dot-Com Deliverables"/>
    <x v="1"/>
    <s v="Davis LLC"/>
    <n v="250.66"/>
  </r>
  <r>
    <s v="ORD2159"/>
    <x v="824"/>
    <x v="2"/>
    <s v="PROD130"/>
    <x v="1158"/>
    <n v="402.51"/>
    <n v="14"/>
    <x v="0"/>
    <s v="Synthesize Wireless Initiatives"/>
    <x v="1"/>
    <s v="Mosley Ltd"/>
    <n v="162.69999999999999"/>
  </r>
  <r>
    <s v="ORD2160"/>
    <x v="825"/>
    <x v="3"/>
    <s v="PROD113"/>
    <x v="1159"/>
    <n v="170.64"/>
    <n v="3"/>
    <x v="0"/>
    <s v="Envisioneer B2B Users"/>
    <x v="0"/>
    <s v="Rogers Group"/>
    <n v="239.16"/>
  </r>
  <r>
    <s v="ORD2161"/>
    <x v="613"/>
    <x v="2"/>
    <s v="PROD148"/>
    <x v="516"/>
    <n v="599.86"/>
    <n v="17"/>
    <x v="2"/>
    <s v="Empower Seamless Roi"/>
    <x v="0"/>
    <s v="Proctor Group"/>
    <n v="266.64999999999998"/>
  </r>
  <r>
    <s v="ORD2162"/>
    <x v="671"/>
    <x v="2"/>
    <s v="PROD125"/>
    <x v="1160"/>
    <n v="10.36"/>
    <n v="2"/>
    <x v="1"/>
    <s v="Leverage Cutting-Edge Vortals"/>
    <x v="1"/>
    <s v="Robinson, Garrett and Chavez"/>
    <n v="117.3"/>
  </r>
  <r>
    <s v="ORD2163"/>
    <x v="826"/>
    <x v="2"/>
    <s v="PROD172"/>
    <x v="1161"/>
    <n v="125.64"/>
    <n v="4"/>
    <x v="0"/>
    <s v="E-Enable Virtual Methodologies"/>
    <x v="0"/>
    <s v="Floyd-Love"/>
    <n v="283.64999999999998"/>
  </r>
  <r>
    <s v="ORD2164"/>
    <x v="456"/>
    <x v="0"/>
    <s v="PROD162"/>
    <x v="1162"/>
    <n v="745.59"/>
    <n v="5"/>
    <x v="0"/>
    <s v="Reinvent Visionary Niches"/>
    <x v="2"/>
    <s v="Huber-Richmond"/>
    <n v="219.81"/>
  </r>
  <r>
    <s v="ORD2165"/>
    <x v="827"/>
    <x v="3"/>
    <s v="PROD181"/>
    <x v="1163"/>
    <n v="199.75"/>
    <n v="7"/>
    <x v="1"/>
    <s v="Extend Bricks-And-Clicks Niches"/>
    <x v="0"/>
    <s v="Hernandez-Rios"/>
    <n v="65.989999999999995"/>
  </r>
  <r>
    <s v="ORD2166"/>
    <x v="376"/>
    <x v="0"/>
    <s v="PROD135"/>
    <x v="1164"/>
    <n v="161.25"/>
    <n v="10"/>
    <x v="0"/>
    <s v="Optimize 24/365 E-Services"/>
    <x v="0"/>
    <s v="Chase Ltd"/>
    <n v="100.35"/>
  </r>
  <r>
    <s v="ORD2167"/>
    <x v="828"/>
    <x v="2"/>
    <s v="PROD139"/>
    <x v="340"/>
    <n v="597.71"/>
    <n v="13"/>
    <x v="0"/>
    <s v="Re-Contextualize Viral Mindshare"/>
    <x v="1"/>
    <s v="Carter-Lane"/>
    <n v="142.25"/>
  </r>
  <r>
    <s v="ORD2168"/>
    <x v="112"/>
    <x v="0"/>
    <s v="PROD119"/>
    <x v="1165"/>
    <n v="702.36"/>
    <n v="3"/>
    <x v="2"/>
    <s v="Generate Front-End Functionalities"/>
    <x v="0"/>
    <s v="Morales-Brown"/>
    <n v="299.77"/>
  </r>
  <r>
    <s v="ORD2169"/>
    <x v="829"/>
    <x v="2"/>
    <s v="PROD128"/>
    <x v="1166"/>
    <n v="95.84"/>
    <n v="1"/>
    <x v="0"/>
    <s v="Brand Distributed Info-Mediaries"/>
    <x v="2"/>
    <s v="Garcia Ltd"/>
    <n v="114.48"/>
  </r>
  <r>
    <s v="ORD2170"/>
    <x v="47"/>
    <x v="2"/>
    <s v="PROD186"/>
    <x v="1167"/>
    <n v="331.77"/>
    <n v="5"/>
    <x v="0"/>
    <s v="Reinvent Mission-Critical Markets"/>
    <x v="2"/>
    <s v="Gilbert-Sanders"/>
    <n v="154.21"/>
  </r>
  <r>
    <s v="ORD2171"/>
    <x v="830"/>
    <x v="2"/>
    <s v="PROD150"/>
    <x v="1168"/>
    <n v="26.73"/>
    <n v="10"/>
    <x v="2"/>
    <s v="Evolve Intuitive Bandwidth"/>
    <x v="0"/>
    <s v="Rogers Group"/>
    <n v="131.63"/>
  </r>
  <r>
    <s v="ORD2172"/>
    <x v="831"/>
    <x v="0"/>
    <s v="PROD199"/>
    <x v="1169"/>
    <n v="718.16"/>
    <n v="1"/>
    <x v="2"/>
    <s v="Scale Cross-Platform Web Services"/>
    <x v="2"/>
    <s v="Morrow, Brock and Lewis"/>
    <n v="115.21"/>
  </r>
  <r>
    <s v="ORD2173"/>
    <x v="832"/>
    <x v="3"/>
    <s v="PROD162"/>
    <x v="1170"/>
    <n v="321.02999999999997"/>
    <n v="12"/>
    <x v="1"/>
    <s v="Reinvent Visionary Niches"/>
    <x v="2"/>
    <s v="Huber-Richmond"/>
    <n v="219.81"/>
  </r>
  <r>
    <s v="ORD2174"/>
    <x v="833"/>
    <x v="1"/>
    <s v="PROD174"/>
    <x v="1171"/>
    <n v="664.45"/>
    <n v="2"/>
    <x v="1"/>
    <s v="Disintermediate Scalable Bandwidth"/>
    <x v="1"/>
    <s v="Levy PLC"/>
    <n v="19.86"/>
  </r>
  <r>
    <s v="ORD2175"/>
    <x v="834"/>
    <x v="2"/>
    <s v="PROD116"/>
    <x v="1172"/>
    <n v="529.25"/>
    <n v="8"/>
    <x v="0"/>
    <s v="Synergize Cross-Platform Vortals"/>
    <x v="2"/>
    <s v="Edwards Group"/>
    <n v="87.18"/>
  </r>
  <r>
    <s v="ORD2176"/>
    <x v="236"/>
    <x v="2"/>
    <s v="PROD112"/>
    <x v="1173"/>
    <n v="455.16"/>
    <n v="9"/>
    <x v="1"/>
    <s v="Seize Clicks-And-Mortar Platforms"/>
    <x v="0"/>
    <s v="Owens, Campos and Wood"/>
    <n v="271.16000000000003"/>
  </r>
  <r>
    <s v="ORD2177"/>
    <x v="835"/>
    <x v="3"/>
    <s v="PROD167"/>
    <x v="1174"/>
    <n v="479.72"/>
    <n v="8"/>
    <x v="1"/>
    <s v="Grow Synergistic Infrastructures"/>
    <x v="2"/>
    <s v="Adams-Carter"/>
    <n v="113.17"/>
  </r>
  <r>
    <s v="ORD2178"/>
    <x v="277"/>
    <x v="1"/>
    <s v="PROD108"/>
    <x v="1175"/>
    <n v="801.17"/>
    <n v="10"/>
    <x v="1"/>
    <s v="Synergize World-Class Networks"/>
    <x v="1"/>
    <s v="Gomez-Lawrence"/>
    <n v="72.37"/>
  </r>
  <r>
    <s v="ORD2179"/>
    <x v="553"/>
    <x v="3"/>
    <s v="PROD163"/>
    <x v="1176"/>
    <n v="879.04"/>
    <n v="18"/>
    <x v="2"/>
    <s v="Grow Back-End Supply-Chains"/>
    <x v="1"/>
    <s v="Green LLC"/>
    <n v="140.08000000000001"/>
  </r>
  <r>
    <s v="ORD2180"/>
    <x v="139"/>
    <x v="2"/>
    <s v="PROD142"/>
    <x v="1177"/>
    <n v="382.78"/>
    <n v="15"/>
    <x v="2"/>
    <s v="Target Bricks-And-Clicks Channels"/>
    <x v="1"/>
    <s v="Dunn, Christensen and Meyer"/>
    <n v="126.86"/>
  </r>
  <r>
    <s v="ORD2181"/>
    <x v="836"/>
    <x v="2"/>
    <s v="PROD196"/>
    <x v="1178"/>
    <n v="56.2"/>
    <n v="13"/>
    <x v="2"/>
    <s v="Strategize E-Business Content"/>
    <x v="1"/>
    <s v="Patterson LLC"/>
    <n v="294.02"/>
  </r>
  <r>
    <s v="ORD2182"/>
    <x v="837"/>
    <x v="2"/>
    <s v="PROD184"/>
    <x v="1179"/>
    <n v="91.89"/>
    <n v="8"/>
    <x v="2"/>
    <s v="Embrace 24/365 Functionalities"/>
    <x v="0"/>
    <s v="Smith LLC"/>
    <n v="204.04"/>
  </r>
  <r>
    <s v="ORD2183"/>
    <x v="99"/>
    <x v="0"/>
    <s v="PROD135"/>
    <x v="1180"/>
    <n v="684.97"/>
    <n v="13"/>
    <x v="2"/>
    <s v="Optimize 24/365 E-Services"/>
    <x v="0"/>
    <s v="Chase Ltd"/>
    <n v="100.35"/>
  </r>
  <r>
    <s v="ORD2184"/>
    <x v="422"/>
    <x v="1"/>
    <s v="PROD166"/>
    <x v="1181"/>
    <n v="850.22"/>
    <n v="4"/>
    <x v="2"/>
    <s v="Monetize Wireless Functionalities"/>
    <x v="2"/>
    <s v="Robinson, Rodriguez and Hernandez"/>
    <n v="162.22"/>
  </r>
  <r>
    <s v="ORD2185"/>
    <x v="730"/>
    <x v="2"/>
    <s v="PROD115"/>
    <x v="1182"/>
    <n v="86.77"/>
    <n v="5"/>
    <x v="2"/>
    <s v="Morph World-Class Synergies"/>
    <x v="1"/>
    <s v="Bryant Ltd"/>
    <n v="20.69"/>
  </r>
  <r>
    <s v="ORD2186"/>
    <x v="838"/>
    <x v="0"/>
    <s v="PROD127"/>
    <x v="1183"/>
    <n v="460.82"/>
    <n v="11"/>
    <x v="1"/>
    <s v="Deliver Viral Channels"/>
    <x v="2"/>
    <s v="Parker LLC"/>
    <n v="45.41"/>
  </r>
  <r>
    <s v="ORD2187"/>
    <x v="717"/>
    <x v="3"/>
    <s v="PROD126"/>
    <x v="1184"/>
    <n v="121.14"/>
    <n v="14"/>
    <x v="1"/>
    <s v="Streamline Innovative Architectures"/>
    <x v="2"/>
    <s v="Price, Valentine and Lutz"/>
    <n v="291.14999999999998"/>
  </r>
  <r>
    <s v="ORD2188"/>
    <x v="839"/>
    <x v="1"/>
    <s v="PROD168"/>
    <x v="1185"/>
    <n v="263.66000000000003"/>
    <n v="5"/>
    <x v="0"/>
    <s v="Facilitate End-To-End Experiences"/>
    <x v="0"/>
    <s v="Pierce-Goodwin"/>
    <n v="260.52999999999997"/>
  </r>
  <r>
    <s v="ORD2189"/>
    <x v="765"/>
    <x v="1"/>
    <s v="PROD147"/>
    <x v="1186"/>
    <n v="856.14"/>
    <n v="5"/>
    <x v="0"/>
    <s v="Brand B2C Info-Mediaries"/>
    <x v="0"/>
    <s v="Preston Ltd"/>
    <n v="13.46"/>
  </r>
  <r>
    <s v="ORD2190"/>
    <x v="840"/>
    <x v="0"/>
    <s v="PROD128"/>
    <x v="1187"/>
    <n v="77.91"/>
    <n v="2"/>
    <x v="1"/>
    <s v="Brand Distributed Info-Mediaries"/>
    <x v="2"/>
    <s v="Garcia Ltd"/>
    <n v="114.48"/>
  </r>
  <r>
    <s v="ORD2191"/>
    <x v="841"/>
    <x v="2"/>
    <s v="PROD169"/>
    <x v="1188"/>
    <n v="522.70000000000005"/>
    <n v="1"/>
    <x v="2"/>
    <s v="Unleash End-To-End Web Services"/>
    <x v="0"/>
    <s v="Jones Ltd"/>
    <n v="188.02"/>
  </r>
  <r>
    <s v="ORD2192"/>
    <x v="842"/>
    <x v="3"/>
    <s v="PROD114"/>
    <x v="1189"/>
    <n v="37.74"/>
    <n v="16"/>
    <x v="2"/>
    <s v="Orchestrate User-Centric Platforms"/>
    <x v="2"/>
    <s v="Wells Ltd"/>
    <n v="201.87"/>
  </r>
  <r>
    <s v="ORD2193"/>
    <x v="262"/>
    <x v="1"/>
    <s v="PROD176"/>
    <x v="1190"/>
    <n v="995.02"/>
    <n v="8"/>
    <x v="0"/>
    <s v="Facilitate Integrated E-Business"/>
    <x v="0"/>
    <s v="Chang-Vargas"/>
    <n v="130.33000000000001"/>
  </r>
  <r>
    <s v="ORD2194"/>
    <x v="843"/>
    <x v="1"/>
    <s v="PROD148"/>
    <x v="1191"/>
    <n v="264.14999999999998"/>
    <n v="18"/>
    <x v="2"/>
    <s v="Empower Seamless Roi"/>
    <x v="0"/>
    <s v="Proctor Group"/>
    <n v="266.64999999999998"/>
  </r>
  <r>
    <s v="ORD2195"/>
    <x v="828"/>
    <x v="0"/>
    <s v="PROD123"/>
    <x v="1192"/>
    <n v="511.62"/>
    <n v="19"/>
    <x v="2"/>
    <s v="Redefine Real-Time Convergence"/>
    <x v="1"/>
    <s v="Hayes, Peters and Douglas"/>
    <n v="78.260000000000005"/>
  </r>
  <r>
    <s v="ORD2196"/>
    <x v="844"/>
    <x v="1"/>
    <s v="PROD182"/>
    <x v="1193"/>
    <n v="442.7"/>
    <n v="15"/>
    <x v="0"/>
    <s v="Strategize Best-Of-Breed Web-Readiness"/>
    <x v="0"/>
    <s v="Morris, King and Ayers"/>
    <n v="220.16"/>
  </r>
  <r>
    <s v="ORD2197"/>
    <x v="208"/>
    <x v="2"/>
    <s v="PROD173"/>
    <x v="1194"/>
    <n v="146.38"/>
    <n v="14"/>
    <x v="1"/>
    <s v="Whiteboard Sticky Content"/>
    <x v="2"/>
    <s v="Wolfe Group"/>
    <n v="82.16"/>
  </r>
  <r>
    <s v="ORD2198"/>
    <x v="83"/>
    <x v="2"/>
    <s v="PROD188"/>
    <x v="1195"/>
    <n v="736.08"/>
    <n v="6"/>
    <x v="0"/>
    <s v="Transition Mission-Critical Interfaces"/>
    <x v="0"/>
    <s v="Weaver Ltd"/>
    <n v="34.64"/>
  </r>
  <r>
    <s v="ORD2199"/>
    <x v="845"/>
    <x v="3"/>
    <s v="PROD176"/>
    <x v="1196"/>
    <n v="186.42"/>
    <n v="2"/>
    <x v="0"/>
    <s v="Facilitate Integrated E-Business"/>
    <x v="0"/>
    <s v="Chang-Vargas"/>
    <n v="130.33000000000001"/>
  </r>
  <r>
    <s v="ORD2200"/>
    <x v="77"/>
    <x v="1"/>
    <s v="PROD176"/>
    <x v="1197"/>
    <n v="254.69"/>
    <n v="19"/>
    <x v="1"/>
    <s v="Facilitate Integrated E-Business"/>
    <x v="0"/>
    <s v="Chang-Vargas"/>
    <n v="130.33000000000001"/>
  </r>
  <r>
    <s v="ORD2201"/>
    <x v="733"/>
    <x v="3"/>
    <s v="PROD193"/>
    <x v="1198"/>
    <n v="685.21"/>
    <n v="6"/>
    <x v="2"/>
    <s v="Innovate Sticky Web Services"/>
    <x v="1"/>
    <s v="Friedman, Sanders and Adams"/>
    <n v="125.85"/>
  </r>
  <r>
    <s v="ORD2202"/>
    <x v="33"/>
    <x v="3"/>
    <s v="PROD157"/>
    <x v="1199"/>
    <n v="841.71"/>
    <n v="16"/>
    <x v="0"/>
    <s v="Implement Rich Platforms"/>
    <x v="1"/>
    <s v="Parker, Anderson and Salazar"/>
    <n v="53.59"/>
  </r>
  <r>
    <s v="ORD2203"/>
    <x v="822"/>
    <x v="0"/>
    <s v="PROD151"/>
    <x v="1200"/>
    <n v="328.75"/>
    <n v="1"/>
    <x v="1"/>
    <s v="Re-Contextualize Viral Markets"/>
    <x v="1"/>
    <s v="Meadows-Barber"/>
    <n v="177.52"/>
  </r>
  <r>
    <s v="ORD2204"/>
    <x v="846"/>
    <x v="0"/>
    <s v="PROD165"/>
    <x v="1201"/>
    <n v="991.2"/>
    <n v="9"/>
    <x v="0"/>
    <s v="Benchmark Cross-Platform Markets"/>
    <x v="2"/>
    <s v="Murphy, Mathews and Wilson"/>
    <n v="78.88"/>
  </r>
  <r>
    <s v="ORD2205"/>
    <x v="847"/>
    <x v="2"/>
    <s v="PROD168"/>
    <x v="1202"/>
    <n v="283.23"/>
    <n v="6"/>
    <x v="0"/>
    <s v="Facilitate End-To-End Experiences"/>
    <x v="0"/>
    <s v="Pierce-Goodwin"/>
    <n v="260.52999999999997"/>
  </r>
  <r>
    <s v="ORD2206"/>
    <x v="848"/>
    <x v="1"/>
    <s v="PROD125"/>
    <x v="1203"/>
    <n v="537.32000000000005"/>
    <n v="12"/>
    <x v="2"/>
    <s v="Leverage Cutting-Edge Vortals"/>
    <x v="1"/>
    <s v="Robinson, Garrett and Chavez"/>
    <n v="117.3"/>
  </r>
  <r>
    <s v="ORD2207"/>
    <x v="801"/>
    <x v="3"/>
    <s v="PROD113"/>
    <x v="1204"/>
    <n v="755.42"/>
    <n v="14"/>
    <x v="1"/>
    <s v="Envisioneer B2B Users"/>
    <x v="0"/>
    <s v="Rogers Group"/>
    <n v="239.16"/>
  </r>
  <r>
    <s v="ORD2208"/>
    <x v="726"/>
    <x v="0"/>
    <s v="PROD162"/>
    <x v="1205"/>
    <n v="664.74"/>
    <n v="14"/>
    <x v="0"/>
    <s v="Reinvent Visionary Niches"/>
    <x v="2"/>
    <s v="Huber-Richmond"/>
    <n v="219.81"/>
  </r>
  <r>
    <s v="ORD2209"/>
    <x v="791"/>
    <x v="3"/>
    <s v="PROD119"/>
    <x v="1206"/>
    <n v="326.13"/>
    <n v="7"/>
    <x v="1"/>
    <s v="Generate Front-End Functionalities"/>
    <x v="0"/>
    <s v="Morales-Brown"/>
    <n v="299.77"/>
  </r>
  <r>
    <s v="ORD2210"/>
    <x v="849"/>
    <x v="2"/>
    <s v="PROD146"/>
    <x v="1207"/>
    <n v="531.16999999999996"/>
    <n v="8"/>
    <x v="1"/>
    <s v="Engage Rich Web-Readiness"/>
    <x v="0"/>
    <s v="Turner Inc"/>
    <n v="81.069999999999993"/>
  </r>
  <r>
    <s v="ORD2211"/>
    <x v="516"/>
    <x v="1"/>
    <s v="PROD197"/>
    <x v="1208"/>
    <n v="699.16"/>
    <n v="4"/>
    <x v="1"/>
    <s v="Leverage Rich Portals"/>
    <x v="0"/>
    <s v="Wilson PLC"/>
    <n v="46.35"/>
  </r>
  <r>
    <s v="ORD2212"/>
    <x v="850"/>
    <x v="0"/>
    <s v="PROD119"/>
    <x v="1209"/>
    <n v="557.05999999999995"/>
    <n v="6"/>
    <x v="1"/>
    <s v="Generate Front-End Functionalities"/>
    <x v="0"/>
    <s v="Morales-Brown"/>
    <n v="299.77"/>
  </r>
  <r>
    <s v="ORD2213"/>
    <x v="851"/>
    <x v="0"/>
    <s v="PROD173"/>
    <x v="1210"/>
    <n v="280.19"/>
    <n v="18"/>
    <x v="1"/>
    <s v="Whiteboard Sticky Content"/>
    <x v="2"/>
    <s v="Wolfe Group"/>
    <n v="82.16"/>
  </r>
  <r>
    <s v="ORD2214"/>
    <x v="852"/>
    <x v="2"/>
    <s v="PROD136"/>
    <x v="1211"/>
    <n v="664.48"/>
    <n v="15"/>
    <x v="0"/>
    <s v="Evolve Innovative Web Services"/>
    <x v="2"/>
    <s v="Bush Inc"/>
    <n v="87.75"/>
  </r>
  <r>
    <s v="ORD2215"/>
    <x v="853"/>
    <x v="3"/>
    <s v="PROD142"/>
    <x v="1212"/>
    <n v="385.05"/>
    <n v="13"/>
    <x v="1"/>
    <s v="Target Bricks-And-Clicks Channels"/>
    <x v="1"/>
    <s v="Dunn, Christensen and Meyer"/>
    <n v="126.86"/>
  </r>
  <r>
    <s v="ORD2216"/>
    <x v="854"/>
    <x v="0"/>
    <s v="PROD112"/>
    <x v="1213"/>
    <n v="87.31"/>
    <n v="14"/>
    <x v="0"/>
    <s v="Seize Clicks-And-Mortar Platforms"/>
    <x v="0"/>
    <s v="Owens, Campos and Wood"/>
    <n v="271.16000000000003"/>
  </r>
  <r>
    <s v="ORD2217"/>
    <x v="855"/>
    <x v="3"/>
    <s v="PROD108"/>
    <x v="1214"/>
    <n v="612.34"/>
    <n v="12"/>
    <x v="0"/>
    <s v="Synergize World-Class Networks"/>
    <x v="1"/>
    <s v="Gomez-Lawrence"/>
    <n v="72.37"/>
  </r>
  <r>
    <s v="ORD2218"/>
    <x v="556"/>
    <x v="2"/>
    <s v="PROD127"/>
    <x v="1215"/>
    <n v="559.67999999999995"/>
    <n v="11"/>
    <x v="1"/>
    <s v="Deliver Viral Channels"/>
    <x v="2"/>
    <s v="Parker LLC"/>
    <n v="45.41"/>
  </r>
  <r>
    <s v="ORD2219"/>
    <x v="856"/>
    <x v="1"/>
    <s v="PROD166"/>
    <x v="1216"/>
    <n v="351.11"/>
    <n v="15"/>
    <x v="1"/>
    <s v="Monetize Wireless Functionalities"/>
    <x v="2"/>
    <s v="Robinson, Rodriguez and Hernandez"/>
    <n v="162.22"/>
  </r>
  <r>
    <s v="ORD2220"/>
    <x v="44"/>
    <x v="1"/>
    <s v="PROD170"/>
    <x v="1217"/>
    <n v="458.49"/>
    <n v="1"/>
    <x v="1"/>
    <s v="Deliver Sticky Networks"/>
    <x v="2"/>
    <s v="Massey LLC"/>
    <n v="272.33"/>
  </r>
  <r>
    <s v="ORD2221"/>
    <x v="857"/>
    <x v="3"/>
    <s v="PROD105"/>
    <x v="1218"/>
    <n v="320.95999999999998"/>
    <n v="16"/>
    <x v="0"/>
    <s v="Transform Holistic Functionalities"/>
    <x v="0"/>
    <s v="Ruiz Ltd"/>
    <n v="179.27"/>
  </r>
  <r>
    <s v="ORD2222"/>
    <x v="428"/>
    <x v="0"/>
    <s v="PROD113"/>
    <x v="1219"/>
    <n v="210.7"/>
    <n v="15"/>
    <x v="0"/>
    <s v="Envisioneer B2B Users"/>
    <x v="0"/>
    <s v="Rogers Group"/>
    <n v="239.16"/>
  </r>
  <r>
    <s v="ORD2223"/>
    <x v="858"/>
    <x v="0"/>
    <s v="PROD107"/>
    <x v="1220"/>
    <n v="437.4"/>
    <n v="11"/>
    <x v="1"/>
    <s v="Utilize Back-End Models"/>
    <x v="2"/>
    <s v="Lewis-Holden"/>
    <n v="241.53"/>
  </r>
  <r>
    <s v="ORD2224"/>
    <x v="859"/>
    <x v="0"/>
    <s v="PROD194"/>
    <x v="1221"/>
    <n v="340.03"/>
    <n v="18"/>
    <x v="0"/>
    <s v="Leverage Scalable Interfaces"/>
    <x v="0"/>
    <s v="Kaufman-Jones"/>
    <n v="73.33"/>
  </r>
  <r>
    <s v="ORD2225"/>
    <x v="860"/>
    <x v="1"/>
    <s v="PROD136"/>
    <x v="1222"/>
    <n v="299.98"/>
    <n v="9"/>
    <x v="0"/>
    <s v="Evolve Innovative Web Services"/>
    <x v="2"/>
    <s v="Bush Inc"/>
    <n v="87.75"/>
  </r>
  <r>
    <s v="ORD2226"/>
    <x v="861"/>
    <x v="0"/>
    <s v="PROD181"/>
    <x v="1223"/>
    <n v="939.43"/>
    <n v="17"/>
    <x v="2"/>
    <s v="Extend Bricks-And-Clicks Niches"/>
    <x v="0"/>
    <s v="Hernandez-Rios"/>
    <n v="65.989999999999995"/>
  </r>
  <r>
    <s v="ORD2227"/>
    <x v="862"/>
    <x v="0"/>
    <s v="PROD103"/>
    <x v="1224"/>
    <n v="869.48"/>
    <n v="13"/>
    <x v="1"/>
    <s v="Monetize Collaborative Metrics"/>
    <x v="1"/>
    <s v="Ramirez-Brown"/>
    <n v="286.04000000000002"/>
  </r>
  <r>
    <s v="ORD2228"/>
    <x v="863"/>
    <x v="2"/>
    <s v="PROD134"/>
    <x v="1225"/>
    <n v="584.35"/>
    <n v="18"/>
    <x v="2"/>
    <s v="Utilize Ubiquitous Synergies"/>
    <x v="1"/>
    <s v="Kramer, Huang and Shaw"/>
    <n v="295.89999999999998"/>
  </r>
  <r>
    <s v="ORD2229"/>
    <x v="796"/>
    <x v="2"/>
    <s v="PROD104"/>
    <x v="1226"/>
    <n v="549.99"/>
    <n v="5"/>
    <x v="1"/>
    <s v="Implement Clicks-And-Mortar Partnerships"/>
    <x v="1"/>
    <s v="Smith Inc"/>
    <n v="195.53"/>
  </r>
  <r>
    <s v="ORD2230"/>
    <x v="356"/>
    <x v="2"/>
    <s v="PROD191"/>
    <x v="1227"/>
    <n v="347.15"/>
    <n v="10"/>
    <x v="0"/>
    <s v="Synergize Frictionless Synergies"/>
    <x v="2"/>
    <s v="Hester and Sons"/>
    <n v="289.06"/>
  </r>
  <r>
    <s v="ORD2231"/>
    <x v="479"/>
    <x v="2"/>
    <s v="PROD120"/>
    <x v="1228"/>
    <n v="780.01"/>
    <n v="3"/>
    <x v="0"/>
    <s v="Mesh B2B Platforms"/>
    <x v="2"/>
    <s v="Stevens, Walton and Riddle"/>
    <n v="236.57"/>
  </r>
  <r>
    <s v="ORD2232"/>
    <x v="134"/>
    <x v="3"/>
    <s v="PROD148"/>
    <x v="1229"/>
    <n v="791.89"/>
    <n v="9"/>
    <x v="0"/>
    <s v="Empower Seamless Roi"/>
    <x v="0"/>
    <s v="Proctor Group"/>
    <n v="266.64999999999998"/>
  </r>
  <r>
    <s v="ORD2233"/>
    <x v="743"/>
    <x v="0"/>
    <s v="PROD189"/>
    <x v="1230"/>
    <n v="804.52"/>
    <n v="8"/>
    <x v="2"/>
    <s v="E-Enable Next-Generation Experiences"/>
    <x v="2"/>
    <s v="Sanchez-Quinn"/>
    <n v="266.93"/>
  </r>
  <r>
    <s v="ORD2234"/>
    <x v="864"/>
    <x v="2"/>
    <s v="PROD184"/>
    <x v="1231"/>
    <n v="231.45"/>
    <n v="13"/>
    <x v="1"/>
    <s v="Embrace 24/365 Functionalities"/>
    <x v="0"/>
    <s v="Smith LLC"/>
    <n v="204.04"/>
  </r>
  <r>
    <s v="ORD2235"/>
    <x v="865"/>
    <x v="1"/>
    <s v="PROD187"/>
    <x v="1232"/>
    <n v="965.32"/>
    <n v="8"/>
    <x v="1"/>
    <s v="Whiteboard Compelling Experiences"/>
    <x v="2"/>
    <s v="Carrillo, Carr and Ball"/>
    <n v="206.54"/>
  </r>
  <r>
    <s v="ORD2236"/>
    <x v="866"/>
    <x v="0"/>
    <s v="PROD140"/>
    <x v="1233"/>
    <n v="842.11"/>
    <n v="16"/>
    <x v="1"/>
    <s v="Extend Bricks-And-Clicks Architectures"/>
    <x v="2"/>
    <s v="Fuller PLC"/>
    <n v="202.99"/>
  </r>
  <r>
    <s v="ORD2237"/>
    <x v="867"/>
    <x v="2"/>
    <s v="PROD133"/>
    <x v="1234"/>
    <n v="345.32"/>
    <n v="17"/>
    <x v="0"/>
    <s v="Re-Intermediate Seamless Applications"/>
    <x v="0"/>
    <s v="Welch-Reed"/>
    <n v="45.82"/>
  </r>
  <r>
    <s v="ORD2238"/>
    <x v="868"/>
    <x v="1"/>
    <s v="PROD160"/>
    <x v="1235"/>
    <n v="905.59"/>
    <n v="4"/>
    <x v="2"/>
    <s v="Deliver Extensible Partnerships"/>
    <x v="2"/>
    <s v="Martin, Paul and Salazar"/>
    <n v="43.76"/>
  </r>
  <r>
    <s v="ORD2239"/>
    <x v="869"/>
    <x v="2"/>
    <s v="PROD180"/>
    <x v="1236"/>
    <n v="680.23"/>
    <n v="20"/>
    <x v="0"/>
    <s v="Iterate Extensible Roi"/>
    <x v="0"/>
    <s v="Hill-Kelly"/>
    <n v="180"/>
  </r>
  <r>
    <s v="ORD2240"/>
    <x v="142"/>
    <x v="0"/>
    <s v="PROD189"/>
    <x v="1237"/>
    <n v="66.510000000000005"/>
    <n v="20"/>
    <x v="2"/>
    <s v="E-Enable Next-Generation Experiences"/>
    <x v="2"/>
    <s v="Sanchez-Quinn"/>
    <n v="266.93"/>
  </r>
  <r>
    <s v="ORD2241"/>
    <x v="870"/>
    <x v="2"/>
    <s v="PROD182"/>
    <x v="1238"/>
    <n v="155.53"/>
    <n v="17"/>
    <x v="1"/>
    <s v="Strategize Best-Of-Breed Web-Readiness"/>
    <x v="0"/>
    <s v="Morris, King and Ayers"/>
    <n v="220.16"/>
  </r>
  <r>
    <s v="ORD2242"/>
    <x v="679"/>
    <x v="1"/>
    <s v="PROD140"/>
    <x v="1239"/>
    <n v="47.34"/>
    <n v="16"/>
    <x v="1"/>
    <s v="Extend Bricks-And-Clicks Architectures"/>
    <x v="2"/>
    <s v="Fuller PLC"/>
    <n v="202.99"/>
  </r>
  <r>
    <s v="ORD2243"/>
    <x v="871"/>
    <x v="1"/>
    <s v="PROD151"/>
    <x v="1240"/>
    <n v="969.09"/>
    <n v="4"/>
    <x v="1"/>
    <s v="Re-Contextualize Viral Markets"/>
    <x v="1"/>
    <s v="Meadows-Barber"/>
    <n v="177.52"/>
  </r>
  <r>
    <s v="ORD2244"/>
    <x v="872"/>
    <x v="2"/>
    <s v="PROD184"/>
    <x v="1241"/>
    <n v="842.94"/>
    <n v="4"/>
    <x v="0"/>
    <s v="Embrace 24/365 Functionalities"/>
    <x v="0"/>
    <s v="Smith LLC"/>
    <n v="204.04"/>
  </r>
  <r>
    <s v="ORD2245"/>
    <x v="666"/>
    <x v="0"/>
    <s v="PROD125"/>
    <x v="1242"/>
    <n v="929.92"/>
    <n v="19"/>
    <x v="0"/>
    <s v="Leverage Cutting-Edge Vortals"/>
    <x v="1"/>
    <s v="Robinson, Garrett and Chavez"/>
    <n v="117.3"/>
  </r>
  <r>
    <s v="ORD2246"/>
    <x v="873"/>
    <x v="2"/>
    <s v="PROD115"/>
    <x v="1243"/>
    <n v="393.58"/>
    <n v="17"/>
    <x v="2"/>
    <s v="Morph World-Class Synergies"/>
    <x v="1"/>
    <s v="Bryant Ltd"/>
    <n v="20.69"/>
  </r>
  <r>
    <s v="ORD2247"/>
    <x v="178"/>
    <x v="1"/>
    <s v="PROD136"/>
    <x v="1244"/>
    <n v="290.97000000000003"/>
    <n v="13"/>
    <x v="0"/>
    <s v="Evolve Innovative Web Services"/>
    <x v="2"/>
    <s v="Bush Inc"/>
    <n v="87.75"/>
  </r>
  <r>
    <s v="ORD2248"/>
    <x v="114"/>
    <x v="0"/>
    <s v="PROD194"/>
    <x v="1245"/>
    <n v="631.30999999999995"/>
    <n v="19"/>
    <x v="2"/>
    <s v="Leverage Scalable Interfaces"/>
    <x v="0"/>
    <s v="Kaufman-Jones"/>
    <n v="73.33"/>
  </r>
  <r>
    <s v="ORD2249"/>
    <x v="874"/>
    <x v="0"/>
    <s v="PROD189"/>
    <x v="1246"/>
    <n v="667.57"/>
    <n v="8"/>
    <x v="2"/>
    <s v="E-Enable Next-Generation Experiences"/>
    <x v="2"/>
    <s v="Sanchez-Quinn"/>
    <n v="266.93"/>
  </r>
  <r>
    <s v="ORD2250"/>
    <x v="195"/>
    <x v="0"/>
    <s v="PROD146"/>
    <x v="1247"/>
    <n v="543.79999999999995"/>
    <n v="10"/>
    <x v="1"/>
    <s v="Engage Rich Web-Readiness"/>
    <x v="0"/>
    <s v="Turner Inc"/>
    <n v="81.069999999999993"/>
  </r>
  <r>
    <s v="ORD2251"/>
    <x v="875"/>
    <x v="0"/>
    <s v="PROD169"/>
    <x v="1248"/>
    <n v="927.69"/>
    <n v="1"/>
    <x v="0"/>
    <s v="Unleash End-To-End Web Services"/>
    <x v="0"/>
    <s v="Jones Ltd"/>
    <n v="188.02"/>
  </r>
  <r>
    <s v="ORD2252"/>
    <x v="259"/>
    <x v="2"/>
    <s v="PROD192"/>
    <x v="1249"/>
    <n v="182.11"/>
    <n v="16"/>
    <x v="1"/>
    <s v="Drive Compelling E-Services"/>
    <x v="0"/>
    <s v="Morris-Villanueva"/>
    <n v="27.22"/>
  </r>
  <r>
    <s v="ORD2253"/>
    <x v="876"/>
    <x v="1"/>
    <s v="PROD156"/>
    <x v="1250"/>
    <n v="89.28"/>
    <n v="11"/>
    <x v="2"/>
    <s v="Empower Killer Info-Mediaries"/>
    <x v="2"/>
    <s v="Jones Ltd"/>
    <n v="213.24"/>
  </r>
  <r>
    <s v="ORD2254"/>
    <x v="689"/>
    <x v="1"/>
    <s v="PROD193"/>
    <x v="1251"/>
    <n v="50.54"/>
    <n v="10"/>
    <x v="0"/>
    <s v="Innovate Sticky Web Services"/>
    <x v="1"/>
    <s v="Friedman, Sanders and Adams"/>
    <n v="125.85"/>
  </r>
  <r>
    <s v="ORD2255"/>
    <x v="206"/>
    <x v="1"/>
    <s v="PROD114"/>
    <x v="1252"/>
    <n v="907.76"/>
    <n v="6"/>
    <x v="2"/>
    <s v="Orchestrate User-Centric Platforms"/>
    <x v="2"/>
    <s v="Wells Ltd"/>
    <n v="201.87"/>
  </r>
  <r>
    <s v="ORD2256"/>
    <x v="493"/>
    <x v="3"/>
    <s v="PROD191"/>
    <x v="1253"/>
    <n v="564.54"/>
    <n v="20"/>
    <x v="0"/>
    <s v="Synergize Frictionless Synergies"/>
    <x v="2"/>
    <s v="Hester and Sons"/>
    <n v="289.06"/>
  </r>
  <r>
    <s v="ORD2257"/>
    <x v="142"/>
    <x v="3"/>
    <s v="PROD127"/>
    <x v="1254"/>
    <n v="939.23"/>
    <n v="6"/>
    <x v="2"/>
    <s v="Deliver Viral Channels"/>
    <x v="2"/>
    <s v="Parker LLC"/>
    <n v="45.41"/>
  </r>
  <r>
    <s v="ORD2258"/>
    <x v="877"/>
    <x v="3"/>
    <s v="PROD182"/>
    <x v="1255"/>
    <n v="626.26"/>
    <n v="16"/>
    <x v="2"/>
    <s v="Strategize Best-Of-Breed Web-Readiness"/>
    <x v="0"/>
    <s v="Morris, King and Ayers"/>
    <n v="220.16"/>
  </r>
  <r>
    <s v="ORD2259"/>
    <x v="34"/>
    <x v="3"/>
    <s v="PROD157"/>
    <x v="1256"/>
    <n v="255.79"/>
    <n v="17"/>
    <x v="0"/>
    <s v="Implement Rich Platforms"/>
    <x v="1"/>
    <s v="Parker, Anderson and Salazar"/>
    <n v="53.59"/>
  </r>
  <r>
    <s v="ORD2260"/>
    <x v="878"/>
    <x v="1"/>
    <s v="PROD196"/>
    <x v="1257"/>
    <n v="124.66"/>
    <n v="15"/>
    <x v="1"/>
    <s v="Strategize E-Business Content"/>
    <x v="1"/>
    <s v="Patterson LLC"/>
    <n v="294.02"/>
  </r>
  <r>
    <s v="ORD2261"/>
    <x v="447"/>
    <x v="0"/>
    <s v="PROD190"/>
    <x v="1258"/>
    <n v="930.28"/>
    <n v="15"/>
    <x v="1"/>
    <s v="Repurpose End-To-End Networks"/>
    <x v="0"/>
    <s v="Torres-Rush"/>
    <n v="97.02"/>
  </r>
  <r>
    <s v="ORD2262"/>
    <x v="800"/>
    <x v="0"/>
    <s v="PROD178"/>
    <x v="1259"/>
    <n v="773.49"/>
    <n v="16"/>
    <x v="1"/>
    <s v="Monetize Value-Added Niches"/>
    <x v="0"/>
    <s v="Foster, Velazquez and Lee"/>
    <n v="171.51"/>
  </r>
  <r>
    <s v="ORD2263"/>
    <x v="387"/>
    <x v="1"/>
    <s v="PROD107"/>
    <x v="1260"/>
    <n v="693.3"/>
    <n v="4"/>
    <x v="0"/>
    <s v="Utilize Back-End Models"/>
    <x v="2"/>
    <s v="Lewis-Holden"/>
    <n v="241.53"/>
  </r>
  <r>
    <s v="ORD2264"/>
    <x v="69"/>
    <x v="0"/>
    <s v="PROD124"/>
    <x v="1261"/>
    <n v="665.04"/>
    <n v="16"/>
    <x v="2"/>
    <s v="Incubate Real-Time E-Tailers"/>
    <x v="1"/>
    <s v="Johnson-Riley"/>
    <n v="86.67"/>
  </r>
  <r>
    <s v="ORD2265"/>
    <x v="879"/>
    <x v="2"/>
    <s v="PROD187"/>
    <x v="1262"/>
    <n v="574.5"/>
    <n v="11"/>
    <x v="2"/>
    <s v="Whiteboard Compelling Experiences"/>
    <x v="2"/>
    <s v="Carrillo, Carr and Ball"/>
    <n v="206.54"/>
  </r>
  <r>
    <s v="ORD2266"/>
    <x v="239"/>
    <x v="1"/>
    <s v="PROD120"/>
    <x v="1263"/>
    <n v="187.22"/>
    <n v="11"/>
    <x v="0"/>
    <s v="Mesh B2B Platforms"/>
    <x v="2"/>
    <s v="Stevens, Walton and Riddle"/>
    <n v="236.57"/>
  </r>
  <r>
    <s v="ORD2267"/>
    <x v="880"/>
    <x v="3"/>
    <s v="PROD130"/>
    <x v="1264"/>
    <n v="659.89"/>
    <n v="19"/>
    <x v="0"/>
    <s v="Synthesize Wireless Initiatives"/>
    <x v="1"/>
    <s v="Mosley Ltd"/>
    <n v="162.69999999999999"/>
  </r>
  <r>
    <s v="ORD2268"/>
    <x v="167"/>
    <x v="3"/>
    <s v="PROD101"/>
    <x v="1265"/>
    <n v="151.18"/>
    <n v="9"/>
    <x v="0"/>
    <s v="Harness Proactive Eyeballs"/>
    <x v="1"/>
    <s v="Moran and Sons"/>
    <n v="58.01"/>
  </r>
  <r>
    <s v="ORD2269"/>
    <x v="881"/>
    <x v="2"/>
    <s v="PROD156"/>
    <x v="1266"/>
    <n v="727.79"/>
    <n v="17"/>
    <x v="0"/>
    <s v="Empower Killer Info-Mediaries"/>
    <x v="2"/>
    <s v="Jones Ltd"/>
    <n v="213.24"/>
  </r>
  <r>
    <s v="ORD2270"/>
    <x v="882"/>
    <x v="2"/>
    <s v="PROD178"/>
    <x v="1267"/>
    <n v="856.89"/>
    <n v="19"/>
    <x v="0"/>
    <s v="Monetize Value-Added Niches"/>
    <x v="0"/>
    <s v="Foster, Velazquez and Lee"/>
    <n v="171.51"/>
  </r>
  <r>
    <s v="ORD2271"/>
    <x v="91"/>
    <x v="0"/>
    <s v="PROD110"/>
    <x v="1268"/>
    <n v="709.48"/>
    <n v="9"/>
    <x v="1"/>
    <s v="E-Enable Holistic Supply-Chains"/>
    <x v="2"/>
    <s v="Lin-Mcdaniel"/>
    <n v="160.33000000000001"/>
  </r>
  <r>
    <s v="ORD2272"/>
    <x v="883"/>
    <x v="1"/>
    <s v="PROD176"/>
    <x v="1269"/>
    <n v="379.06"/>
    <n v="15"/>
    <x v="0"/>
    <s v="Facilitate Integrated E-Business"/>
    <x v="0"/>
    <s v="Chang-Vargas"/>
    <n v="130.33000000000001"/>
  </r>
  <r>
    <s v="ORD2273"/>
    <x v="884"/>
    <x v="3"/>
    <s v="PROD171"/>
    <x v="1270"/>
    <n v="372.13"/>
    <n v="6"/>
    <x v="1"/>
    <s v="Scale 24/365 Networks"/>
    <x v="2"/>
    <s v="Kim-Hamilton"/>
    <n v="157.55000000000001"/>
  </r>
  <r>
    <s v="ORD2274"/>
    <x v="885"/>
    <x v="0"/>
    <s v="PROD158"/>
    <x v="1271"/>
    <n v="874.38"/>
    <n v="16"/>
    <x v="1"/>
    <s v="Brand Web-Enabled Solutions"/>
    <x v="1"/>
    <s v="Russell Group"/>
    <n v="51.67"/>
  </r>
  <r>
    <s v="ORD2275"/>
    <x v="886"/>
    <x v="2"/>
    <s v="PROD174"/>
    <x v="1272"/>
    <n v="197.39"/>
    <n v="20"/>
    <x v="0"/>
    <s v="Disintermediate Scalable Bandwidth"/>
    <x v="1"/>
    <s v="Levy PLC"/>
    <n v="19.86"/>
  </r>
  <r>
    <s v="ORD2276"/>
    <x v="887"/>
    <x v="1"/>
    <s v="PROD189"/>
    <x v="1273"/>
    <n v="639.79999999999995"/>
    <n v="8"/>
    <x v="2"/>
    <s v="E-Enable Next-Generation Experiences"/>
    <x v="2"/>
    <s v="Sanchez-Quinn"/>
    <n v="266.93"/>
  </r>
  <r>
    <s v="ORD2277"/>
    <x v="888"/>
    <x v="0"/>
    <s v="PROD107"/>
    <x v="1274"/>
    <n v="108.02"/>
    <n v="8"/>
    <x v="0"/>
    <s v="Utilize Back-End Models"/>
    <x v="2"/>
    <s v="Lewis-Holden"/>
    <n v="241.53"/>
  </r>
  <r>
    <s v="ORD2278"/>
    <x v="824"/>
    <x v="2"/>
    <s v="PROD194"/>
    <x v="1275"/>
    <n v="529.99"/>
    <n v="3"/>
    <x v="0"/>
    <s v="Leverage Scalable Interfaces"/>
    <x v="0"/>
    <s v="Kaufman-Jones"/>
    <n v="73.33"/>
  </r>
  <r>
    <s v="ORD2279"/>
    <x v="889"/>
    <x v="1"/>
    <s v="PROD135"/>
    <x v="1276"/>
    <n v="91.47"/>
    <n v="11"/>
    <x v="1"/>
    <s v="Optimize 24/365 E-Services"/>
    <x v="0"/>
    <s v="Chase Ltd"/>
    <n v="100.35"/>
  </r>
  <r>
    <s v="ORD2280"/>
    <x v="532"/>
    <x v="2"/>
    <s v="PROD165"/>
    <x v="1277"/>
    <n v="17.11"/>
    <n v="18"/>
    <x v="1"/>
    <s v="Benchmark Cross-Platform Markets"/>
    <x v="2"/>
    <s v="Murphy, Mathews and Wilson"/>
    <n v="78.88"/>
  </r>
  <r>
    <s v="ORD2281"/>
    <x v="864"/>
    <x v="0"/>
    <s v="PROD144"/>
    <x v="1278"/>
    <n v="261.7"/>
    <n v="12"/>
    <x v="2"/>
    <s v="Expedite Synergistic Web-Readiness"/>
    <x v="1"/>
    <s v="Dunlap, Carpenter and Monroe"/>
    <n v="289.66000000000003"/>
  </r>
  <r>
    <s v="ORD2282"/>
    <x v="816"/>
    <x v="3"/>
    <s v="PROD181"/>
    <x v="1279"/>
    <n v="894.84"/>
    <n v="14"/>
    <x v="0"/>
    <s v="Extend Bricks-And-Clicks Niches"/>
    <x v="0"/>
    <s v="Hernandez-Rios"/>
    <n v="65.989999999999995"/>
  </r>
  <r>
    <s v="ORD2283"/>
    <x v="890"/>
    <x v="2"/>
    <s v="PROD130"/>
    <x v="1280"/>
    <n v="736.48"/>
    <n v="18"/>
    <x v="0"/>
    <s v="Synthesize Wireless Initiatives"/>
    <x v="1"/>
    <s v="Mosley Ltd"/>
    <n v="162.69999999999999"/>
  </r>
  <r>
    <s v="ORD2284"/>
    <x v="891"/>
    <x v="3"/>
    <s v="PROD113"/>
    <x v="1281"/>
    <n v="343.68"/>
    <n v="19"/>
    <x v="1"/>
    <s v="Envisioneer B2B Users"/>
    <x v="0"/>
    <s v="Rogers Group"/>
    <n v="239.16"/>
  </r>
  <r>
    <s v="ORD2285"/>
    <x v="782"/>
    <x v="2"/>
    <s v="PROD156"/>
    <x v="1282"/>
    <n v="44.32"/>
    <n v="13"/>
    <x v="1"/>
    <s v="Empower Killer Info-Mediaries"/>
    <x v="2"/>
    <s v="Jones Ltd"/>
    <n v="213.24"/>
  </r>
  <r>
    <s v="ORD2286"/>
    <x v="271"/>
    <x v="1"/>
    <s v="PROD107"/>
    <x v="1283"/>
    <n v="206.34"/>
    <n v="12"/>
    <x v="0"/>
    <s v="Utilize Back-End Models"/>
    <x v="2"/>
    <s v="Lewis-Holden"/>
    <n v="241.53"/>
  </r>
  <r>
    <s v="ORD2287"/>
    <x v="892"/>
    <x v="1"/>
    <s v="PROD145"/>
    <x v="1284"/>
    <n v="424.68"/>
    <n v="1"/>
    <x v="0"/>
    <s v="Innovate Strategic Systems"/>
    <x v="0"/>
    <s v="Mcfarland, Parker and Armstrong"/>
    <n v="70.239999999999995"/>
  </r>
  <r>
    <s v="ORD2288"/>
    <x v="502"/>
    <x v="3"/>
    <s v="PROD186"/>
    <x v="1285"/>
    <n v="570.71"/>
    <n v="15"/>
    <x v="0"/>
    <s v="Reinvent Mission-Critical Markets"/>
    <x v="2"/>
    <s v="Gilbert-Sanders"/>
    <n v="154.21"/>
  </r>
  <r>
    <s v="ORD2289"/>
    <x v="893"/>
    <x v="3"/>
    <s v="PROD175"/>
    <x v="1286"/>
    <n v="877.22"/>
    <n v="14"/>
    <x v="1"/>
    <s v="Empower Bleeding-Edge Action-Items"/>
    <x v="2"/>
    <s v="Gray, Hayes and Banks"/>
    <n v="204.26"/>
  </r>
  <r>
    <s v="ORD2290"/>
    <x v="894"/>
    <x v="0"/>
    <s v="PROD179"/>
    <x v="1287"/>
    <n v="219.19"/>
    <n v="20"/>
    <x v="1"/>
    <s v="Target Viral Methodologies"/>
    <x v="1"/>
    <s v="Alvarez, Myers and Walter"/>
    <n v="149.26"/>
  </r>
  <r>
    <s v="ORD2291"/>
    <x v="24"/>
    <x v="2"/>
    <s v="PROD150"/>
    <x v="1288"/>
    <n v="43.46"/>
    <n v="11"/>
    <x v="1"/>
    <s v="Evolve Intuitive Bandwidth"/>
    <x v="0"/>
    <s v="Rogers Group"/>
    <n v="131.63"/>
  </r>
  <r>
    <s v="ORD2292"/>
    <x v="895"/>
    <x v="2"/>
    <s v="PROD183"/>
    <x v="1289"/>
    <n v="894.84"/>
    <n v="5"/>
    <x v="2"/>
    <s v="Incentivize Front-End Mindshare"/>
    <x v="1"/>
    <s v="Phillips-Tran"/>
    <n v="196.86"/>
  </r>
  <r>
    <s v="ORD2293"/>
    <x v="12"/>
    <x v="1"/>
    <s v="PROD173"/>
    <x v="1290"/>
    <n v="221.54"/>
    <n v="9"/>
    <x v="2"/>
    <s v="Whiteboard Sticky Content"/>
    <x v="2"/>
    <s v="Wolfe Group"/>
    <n v="82.16"/>
  </r>
  <r>
    <s v="ORD2294"/>
    <x v="567"/>
    <x v="0"/>
    <s v="PROD127"/>
    <x v="1291"/>
    <n v="412.94"/>
    <n v="14"/>
    <x v="2"/>
    <s v="Deliver Viral Channels"/>
    <x v="2"/>
    <s v="Parker LLC"/>
    <n v="45.41"/>
  </r>
  <r>
    <s v="ORD2295"/>
    <x v="331"/>
    <x v="1"/>
    <s v="PROD159"/>
    <x v="1292"/>
    <n v="309.33"/>
    <n v="11"/>
    <x v="1"/>
    <s v="Mesh Intuitive Supply-Chains"/>
    <x v="1"/>
    <s v="Soto, Barnett and Heath"/>
    <n v="281"/>
  </r>
  <r>
    <s v="ORD2296"/>
    <x v="896"/>
    <x v="2"/>
    <s v="PROD136"/>
    <x v="1293"/>
    <n v="542.99"/>
    <n v="11"/>
    <x v="2"/>
    <s v="Evolve Innovative Web Services"/>
    <x v="2"/>
    <s v="Bush Inc"/>
    <n v="87.75"/>
  </r>
  <r>
    <s v="ORD2297"/>
    <x v="897"/>
    <x v="3"/>
    <s v="PROD106"/>
    <x v="1294"/>
    <n v="773.82"/>
    <n v="14"/>
    <x v="2"/>
    <s v="Synergize End-To-End Supply-Chains"/>
    <x v="0"/>
    <s v="Higgins-Espinoza"/>
    <n v="279.8"/>
  </r>
  <r>
    <s v="ORD2298"/>
    <x v="898"/>
    <x v="1"/>
    <s v="PROD162"/>
    <x v="1295"/>
    <n v="116.53"/>
    <n v="2"/>
    <x v="0"/>
    <s v="Reinvent Visionary Niches"/>
    <x v="2"/>
    <s v="Huber-Richmond"/>
    <n v="219.81"/>
  </r>
  <r>
    <s v="ORD2299"/>
    <x v="594"/>
    <x v="3"/>
    <s v="PROD165"/>
    <x v="1296"/>
    <n v="944.14"/>
    <n v="15"/>
    <x v="1"/>
    <s v="Benchmark Cross-Platform Markets"/>
    <x v="2"/>
    <s v="Murphy, Mathews and Wilson"/>
    <n v="78.88"/>
  </r>
  <r>
    <s v="ORD2300"/>
    <x v="262"/>
    <x v="0"/>
    <s v="PROD160"/>
    <x v="1297"/>
    <n v="142.09"/>
    <n v="3"/>
    <x v="2"/>
    <s v="Deliver Extensible Partnerships"/>
    <x v="2"/>
    <s v="Martin, Paul and Salazar"/>
    <n v="43.76"/>
  </r>
  <r>
    <s v="ORD2301"/>
    <x v="324"/>
    <x v="3"/>
    <s v="PROD150"/>
    <x v="1298"/>
    <n v="852.45"/>
    <n v="18"/>
    <x v="2"/>
    <s v="Evolve Intuitive Bandwidth"/>
    <x v="0"/>
    <s v="Rogers Group"/>
    <n v="131.63"/>
  </r>
  <r>
    <s v="ORD2302"/>
    <x v="899"/>
    <x v="0"/>
    <s v="PROD188"/>
    <x v="1299"/>
    <n v="653.83000000000004"/>
    <n v="19"/>
    <x v="0"/>
    <s v="Transition Mission-Critical Interfaces"/>
    <x v="0"/>
    <s v="Weaver Ltd"/>
    <n v="34.64"/>
  </r>
  <r>
    <s v="ORD2303"/>
    <x v="900"/>
    <x v="1"/>
    <s v="PROD152"/>
    <x v="1300"/>
    <n v="787.63"/>
    <n v="2"/>
    <x v="1"/>
    <s v="Reinvent Frictionless Roi"/>
    <x v="2"/>
    <s v="Bridges, Castillo and Rodriguez"/>
    <n v="253.89"/>
  </r>
  <r>
    <s v="ORD2304"/>
    <x v="901"/>
    <x v="3"/>
    <s v="PROD148"/>
    <x v="1301"/>
    <n v="408.24"/>
    <n v="12"/>
    <x v="2"/>
    <s v="Empower Seamless Roi"/>
    <x v="0"/>
    <s v="Proctor Group"/>
    <n v="266.64999999999998"/>
  </r>
  <r>
    <s v="ORD2305"/>
    <x v="902"/>
    <x v="3"/>
    <s v="PROD112"/>
    <x v="1302"/>
    <n v="996.47"/>
    <n v="10"/>
    <x v="0"/>
    <s v="Seize Clicks-And-Mortar Platforms"/>
    <x v="0"/>
    <s v="Owens, Campos and Wood"/>
    <n v="271.16000000000003"/>
  </r>
  <r>
    <s v="ORD2306"/>
    <x v="753"/>
    <x v="2"/>
    <s v="PROD134"/>
    <x v="1303"/>
    <n v="184.94"/>
    <n v="4"/>
    <x v="1"/>
    <s v="Utilize Ubiquitous Synergies"/>
    <x v="1"/>
    <s v="Kramer, Huang and Shaw"/>
    <n v="295.89999999999998"/>
  </r>
  <r>
    <s v="ORD2307"/>
    <x v="903"/>
    <x v="3"/>
    <s v="PROD161"/>
    <x v="1304"/>
    <n v="94.68"/>
    <n v="6"/>
    <x v="0"/>
    <s v="Synergize E-Business Deliverables"/>
    <x v="1"/>
    <s v="Crawford, Warren and Williams"/>
    <n v="125.93"/>
  </r>
  <r>
    <s v="ORD2308"/>
    <x v="452"/>
    <x v="3"/>
    <s v="PROD182"/>
    <x v="1305"/>
    <n v="192.61"/>
    <n v="11"/>
    <x v="2"/>
    <s v="Strategize Best-Of-Breed Web-Readiness"/>
    <x v="0"/>
    <s v="Morris, King and Ayers"/>
    <n v="220.16"/>
  </r>
  <r>
    <s v="ORD2309"/>
    <x v="356"/>
    <x v="1"/>
    <s v="PROD164"/>
    <x v="1306"/>
    <n v="297.77999999999997"/>
    <n v="14"/>
    <x v="2"/>
    <s v="Transition Compelling Web-Readiness"/>
    <x v="2"/>
    <s v="Wood-Beck"/>
    <n v="88.34"/>
  </r>
  <r>
    <s v="ORD2310"/>
    <x v="904"/>
    <x v="0"/>
    <s v="PROD180"/>
    <x v="1307"/>
    <n v="364.28"/>
    <n v="10"/>
    <x v="1"/>
    <s v="Iterate Extensible Roi"/>
    <x v="0"/>
    <s v="Hill-Kelly"/>
    <n v="180"/>
  </r>
  <r>
    <s v="ORD2311"/>
    <x v="905"/>
    <x v="2"/>
    <s v="PROD183"/>
    <x v="1308"/>
    <n v="244.08"/>
    <n v="12"/>
    <x v="2"/>
    <s v="Incentivize Front-End Mindshare"/>
    <x v="1"/>
    <s v="Phillips-Tran"/>
    <n v="196.86"/>
  </r>
  <r>
    <s v="ORD2312"/>
    <x v="906"/>
    <x v="3"/>
    <s v="PROD107"/>
    <x v="1309"/>
    <n v="633.19000000000005"/>
    <n v="1"/>
    <x v="2"/>
    <s v="Utilize Back-End Models"/>
    <x v="2"/>
    <s v="Lewis-Holden"/>
    <n v="241.53"/>
  </r>
  <r>
    <s v="ORD2313"/>
    <x v="800"/>
    <x v="3"/>
    <s v="PROD103"/>
    <x v="1310"/>
    <n v="577.14"/>
    <n v="12"/>
    <x v="1"/>
    <s v="Monetize Collaborative Metrics"/>
    <x v="1"/>
    <s v="Ramirez-Brown"/>
    <n v="286.04000000000002"/>
  </r>
  <r>
    <s v="ORD2314"/>
    <x v="571"/>
    <x v="2"/>
    <s v="PROD158"/>
    <x v="1311"/>
    <n v="918.03"/>
    <n v="14"/>
    <x v="1"/>
    <s v="Brand Web-Enabled Solutions"/>
    <x v="1"/>
    <s v="Russell Group"/>
    <n v="51.67"/>
  </r>
  <r>
    <s v="ORD2315"/>
    <x v="907"/>
    <x v="0"/>
    <s v="PROD119"/>
    <x v="1312"/>
    <n v="236.99"/>
    <n v="9"/>
    <x v="0"/>
    <s v="Generate Front-End Functionalities"/>
    <x v="0"/>
    <s v="Morales-Brown"/>
    <n v="299.77"/>
  </r>
  <r>
    <s v="ORD2316"/>
    <x v="619"/>
    <x v="0"/>
    <s v="PROD155"/>
    <x v="1313"/>
    <n v="440.78"/>
    <n v="8"/>
    <x v="1"/>
    <s v="Incentivize User-Centric Mindshare"/>
    <x v="1"/>
    <s v="Becker, Wright and Wong"/>
    <n v="38.51"/>
  </r>
  <r>
    <s v="ORD2317"/>
    <x v="692"/>
    <x v="1"/>
    <s v="PROD103"/>
    <x v="1314"/>
    <n v="622.61"/>
    <n v="1"/>
    <x v="1"/>
    <s v="Monetize Collaborative Metrics"/>
    <x v="1"/>
    <s v="Ramirez-Brown"/>
    <n v="286.04000000000002"/>
  </r>
  <r>
    <s v="ORD2318"/>
    <x v="787"/>
    <x v="2"/>
    <s v="PROD167"/>
    <x v="1315"/>
    <n v="504.45"/>
    <n v="1"/>
    <x v="0"/>
    <s v="Grow Synergistic Infrastructures"/>
    <x v="2"/>
    <s v="Adams-Carter"/>
    <n v="113.17"/>
  </r>
  <r>
    <s v="ORD2319"/>
    <x v="802"/>
    <x v="1"/>
    <s v="PROD163"/>
    <x v="1316"/>
    <n v="302.38"/>
    <n v="1"/>
    <x v="0"/>
    <s v="Grow Back-End Supply-Chains"/>
    <x v="1"/>
    <s v="Green LLC"/>
    <n v="140.08000000000001"/>
  </r>
  <r>
    <s v="ORD2320"/>
    <x v="908"/>
    <x v="3"/>
    <s v="PROD151"/>
    <x v="1317"/>
    <n v="542.88"/>
    <n v="15"/>
    <x v="0"/>
    <s v="Re-Contextualize Viral Markets"/>
    <x v="1"/>
    <s v="Meadows-Barber"/>
    <n v="177.52"/>
  </r>
  <r>
    <s v="ORD2321"/>
    <x v="30"/>
    <x v="2"/>
    <s v="PROD194"/>
    <x v="1318"/>
    <n v="227.64"/>
    <n v="11"/>
    <x v="0"/>
    <s v="Leverage Scalable Interfaces"/>
    <x v="0"/>
    <s v="Kaufman-Jones"/>
    <n v="73.33"/>
  </r>
  <r>
    <s v="ORD2322"/>
    <x v="718"/>
    <x v="0"/>
    <s v="PROD111"/>
    <x v="1319"/>
    <n v="523.86"/>
    <n v="8"/>
    <x v="0"/>
    <s v="Harness Revolutionary Interfaces"/>
    <x v="2"/>
    <s v="Davis, Short and Nguyen"/>
    <n v="26.49"/>
  </r>
  <r>
    <s v="ORD2323"/>
    <x v="909"/>
    <x v="2"/>
    <s v="PROD197"/>
    <x v="1320"/>
    <n v="966.66"/>
    <n v="1"/>
    <x v="0"/>
    <s v="Leverage Rich Portals"/>
    <x v="0"/>
    <s v="Wilson PLC"/>
    <n v="46.35"/>
  </r>
  <r>
    <s v="ORD2324"/>
    <x v="910"/>
    <x v="1"/>
    <s v="PROD124"/>
    <x v="1321"/>
    <n v="724.98"/>
    <n v="6"/>
    <x v="1"/>
    <s v="Incubate Real-Time E-Tailers"/>
    <x v="1"/>
    <s v="Johnson-Riley"/>
    <n v="86.67"/>
  </r>
  <r>
    <s v="ORD2325"/>
    <x v="522"/>
    <x v="3"/>
    <s v="PROD120"/>
    <x v="1322"/>
    <n v="578.99"/>
    <n v="3"/>
    <x v="2"/>
    <s v="Mesh B2B Platforms"/>
    <x v="2"/>
    <s v="Stevens, Walton and Riddle"/>
    <n v="236.57"/>
  </r>
  <r>
    <s v="ORD2326"/>
    <x v="333"/>
    <x v="2"/>
    <s v="PROD187"/>
    <x v="1323"/>
    <n v="803.21"/>
    <n v="11"/>
    <x v="2"/>
    <s v="Whiteboard Compelling Experiences"/>
    <x v="2"/>
    <s v="Carrillo, Carr and Ball"/>
    <n v="206.54"/>
  </r>
  <r>
    <s v="ORD2327"/>
    <x v="693"/>
    <x v="3"/>
    <s v="PROD170"/>
    <x v="1324"/>
    <n v="794.06"/>
    <n v="1"/>
    <x v="0"/>
    <s v="Deliver Sticky Networks"/>
    <x v="2"/>
    <s v="Massey LLC"/>
    <n v="272.33"/>
  </r>
  <r>
    <s v="ORD2328"/>
    <x v="702"/>
    <x v="2"/>
    <s v="PROD174"/>
    <x v="1325"/>
    <n v="777.41"/>
    <n v="13"/>
    <x v="1"/>
    <s v="Disintermediate Scalable Bandwidth"/>
    <x v="1"/>
    <s v="Levy PLC"/>
    <n v="19.86"/>
  </r>
  <r>
    <s v="ORD2329"/>
    <x v="823"/>
    <x v="2"/>
    <s v="PROD174"/>
    <x v="1326"/>
    <n v="919.64"/>
    <n v="15"/>
    <x v="0"/>
    <s v="Disintermediate Scalable Bandwidth"/>
    <x v="1"/>
    <s v="Levy PLC"/>
    <n v="19.86"/>
  </r>
  <r>
    <s v="ORD2330"/>
    <x v="911"/>
    <x v="3"/>
    <s v="PROD104"/>
    <x v="1327"/>
    <n v="181.2"/>
    <n v="13"/>
    <x v="2"/>
    <s v="Implement Clicks-And-Mortar Partnerships"/>
    <x v="1"/>
    <s v="Smith Inc"/>
    <n v="195.53"/>
  </r>
  <r>
    <s v="ORD2331"/>
    <x v="912"/>
    <x v="0"/>
    <s v="PROD171"/>
    <x v="1328"/>
    <n v="899.2"/>
    <n v="12"/>
    <x v="0"/>
    <s v="Scale 24/365 Networks"/>
    <x v="2"/>
    <s v="Kim-Hamilton"/>
    <n v="157.55000000000001"/>
  </r>
  <r>
    <s v="ORD2332"/>
    <x v="451"/>
    <x v="3"/>
    <s v="PROD154"/>
    <x v="1329"/>
    <n v="311.56"/>
    <n v="20"/>
    <x v="0"/>
    <s v="Utilize Virtual Partnerships"/>
    <x v="2"/>
    <s v="Smith, Diaz and Heath"/>
    <n v="193.02"/>
  </r>
  <r>
    <s v="ORD2333"/>
    <x v="913"/>
    <x v="0"/>
    <s v="PROD153"/>
    <x v="1330"/>
    <n v="67.78"/>
    <n v="3"/>
    <x v="2"/>
    <s v="Seize Plug-And-Play Web-Readiness"/>
    <x v="1"/>
    <s v="Joseph, Mayer and Carr"/>
    <n v="102.73"/>
  </r>
  <r>
    <s v="ORD2334"/>
    <x v="360"/>
    <x v="3"/>
    <s v="PROD149"/>
    <x v="1331"/>
    <n v="245.1"/>
    <n v="14"/>
    <x v="0"/>
    <s v="Envisioneer B2C Web-Readiness"/>
    <x v="1"/>
    <s v="Kemp Group"/>
    <n v="97.23"/>
  </r>
  <r>
    <s v="ORD2335"/>
    <x v="823"/>
    <x v="3"/>
    <s v="PROD156"/>
    <x v="1332"/>
    <n v="132.41999999999999"/>
    <n v="10"/>
    <x v="0"/>
    <s v="Empower Killer Info-Mediaries"/>
    <x v="2"/>
    <s v="Jones Ltd"/>
    <n v="213.24"/>
  </r>
  <r>
    <s v="ORD2336"/>
    <x v="914"/>
    <x v="1"/>
    <s v="PROD167"/>
    <x v="1333"/>
    <n v="976.04"/>
    <n v="20"/>
    <x v="2"/>
    <s v="Grow Synergistic Infrastructures"/>
    <x v="2"/>
    <s v="Adams-Carter"/>
    <n v="113.17"/>
  </r>
  <r>
    <s v="ORD2337"/>
    <x v="915"/>
    <x v="3"/>
    <s v="PROD171"/>
    <x v="1334"/>
    <n v="812.58"/>
    <n v="3"/>
    <x v="1"/>
    <s v="Scale 24/365 Networks"/>
    <x v="2"/>
    <s v="Kim-Hamilton"/>
    <n v="157.55000000000001"/>
  </r>
  <r>
    <s v="ORD2338"/>
    <x v="916"/>
    <x v="3"/>
    <s v="PROD104"/>
    <x v="1335"/>
    <n v="364.64"/>
    <n v="11"/>
    <x v="2"/>
    <s v="Implement Clicks-And-Mortar Partnerships"/>
    <x v="1"/>
    <s v="Smith Inc"/>
    <n v="195.53"/>
  </r>
  <r>
    <s v="ORD2339"/>
    <x v="917"/>
    <x v="0"/>
    <s v="PROD195"/>
    <x v="1336"/>
    <n v="37.17"/>
    <n v="11"/>
    <x v="0"/>
    <s v="Reinvent Out-Of-The-Box Models"/>
    <x v="0"/>
    <s v="Wagner-Curtis"/>
    <n v="172.34"/>
  </r>
  <r>
    <s v="ORD2340"/>
    <x v="918"/>
    <x v="2"/>
    <s v="PROD132"/>
    <x v="1337"/>
    <n v="542.14"/>
    <n v="20"/>
    <x v="0"/>
    <s v="Synergize End-To-End Roi"/>
    <x v="1"/>
    <s v="Evans-Smith"/>
    <n v="159.85"/>
  </r>
  <r>
    <s v="ORD2341"/>
    <x v="530"/>
    <x v="1"/>
    <s v="PROD124"/>
    <x v="1338"/>
    <n v="641.77"/>
    <n v="2"/>
    <x v="1"/>
    <s v="Incubate Real-Time E-Tailers"/>
    <x v="1"/>
    <s v="Johnson-Riley"/>
    <n v="86.67"/>
  </r>
  <r>
    <s v="ORD2342"/>
    <x v="411"/>
    <x v="0"/>
    <s v="PROD104"/>
    <x v="1339"/>
    <n v="150.97"/>
    <n v="7"/>
    <x v="0"/>
    <s v="Implement Clicks-And-Mortar Partnerships"/>
    <x v="1"/>
    <s v="Smith Inc"/>
    <n v="195.53"/>
  </r>
  <r>
    <s v="ORD2343"/>
    <x v="919"/>
    <x v="0"/>
    <s v="PROD190"/>
    <x v="390"/>
    <n v="499.12"/>
    <n v="14"/>
    <x v="2"/>
    <s v="Repurpose End-To-End Networks"/>
    <x v="0"/>
    <s v="Torres-Rush"/>
    <n v="97.02"/>
  </r>
  <r>
    <s v="ORD2344"/>
    <x v="920"/>
    <x v="3"/>
    <s v="PROD101"/>
    <x v="1340"/>
    <n v="639.14"/>
    <n v="5"/>
    <x v="2"/>
    <s v="Harness Proactive Eyeballs"/>
    <x v="1"/>
    <s v="Moran and Sons"/>
    <n v="58.01"/>
  </r>
  <r>
    <s v="ORD2345"/>
    <x v="220"/>
    <x v="3"/>
    <s v="PROD175"/>
    <x v="1341"/>
    <n v="652.57000000000005"/>
    <n v="11"/>
    <x v="2"/>
    <s v="Empower Bleeding-Edge Action-Items"/>
    <x v="2"/>
    <s v="Gray, Hayes and Banks"/>
    <n v="204.26"/>
  </r>
  <r>
    <s v="ORD2346"/>
    <x v="921"/>
    <x v="1"/>
    <s v="PROD177"/>
    <x v="1342"/>
    <n v="560.36"/>
    <n v="3"/>
    <x v="0"/>
    <s v="Deploy Granular Channels"/>
    <x v="2"/>
    <s v="Barnes Ltd"/>
    <n v="288.99"/>
  </r>
  <r>
    <s v="ORD2347"/>
    <x v="922"/>
    <x v="1"/>
    <s v="PROD165"/>
    <x v="1343"/>
    <n v="480.8"/>
    <n v="19"/>
    <x v="2"/>
    <s v="Benchmark Cross-Platform Markets"/>
    <x v="2"/>
    <s v="Murphy, Mathews and Wilson"/>
    <n v="78.88"/>
  </r>
  <r>
    <s v="ORD2348"/>
    <x v="923"/>
    <x v="2"/>
    <s v="PROD128"/>
    <x v="1344"/>
    <n v="232"/>
    <n v="13"/>
    <x v="0"/>
    <s v="Brand Distributed Info-Mediaries"/>
    <x v="2"/>
    <s v="Garcia Ltd"/>
    <n v="114.48"/>
  </r>
  <r>
    <s v="ORD2349"/>
    <x v="685"/>
    <x v="3"/>
    <s v="PROD108"/>
    <x v="1345"/>
    <n v="406.27"/>
    <n v="13"/>
    <x v="2"/>
    <s v="Synergize World-Class Networks"/>
    <x v="1"/>
    <s v="Gomez-Lawrence"/>
    <n v="72.37"/>
  </r>
  <r>
    <s v="ORD2350"/>
    <x v="924"/>
    <x v="3"/>
    <s v="PROD113"/>
    <x v="1346"/>
    <n v="212.78"/>
    <n v="13"/>
    <x v="2"/>
    <s v="Envisioneer B2B Users"/>
    <x v="0"/>
    <s v="Rogers Group"/>
    <n v="239.16"/>
  </r>
  <r>
    <s v="ORD2351"/>
    <x v="862"/>
    <x v="0"/>
    <s v="PROD178"/>
    <x v="1347"/>
    <n v="845.56"/>
    <n v="19"/>
    <x v="0"/>
    <s v="Monetize Value-Added Niches"/>
    <x v="0"/>
    <s v="Foster, Velazquez and Lee"/>
    <n v="171.51"/>
  </r>
  <r>
    <s v="ORD2352"/>
    <x v="910"/>
    <x v="3"/>
    <s v="PROD179"/>
    <x v="1348"/>
    <n v="216.55"/>
    <n v="15"/>
    <x v="0"/>
    <s v="Target Viral Methodologies"/>
    <x v="1"/>
    <s v="Alvarez, Myers and Walter"/>
    <n v="149.26"/>
  </r>
  <r>
    <s v="ORD2353"/>
    <x v="925"/>
    <x v="1"/>
    <s v="PROD147"/>
    <x v="1349"/>
    <n v="172.68"/>
    <n v="10"/>
    <x v="2"/>
    <s v="Brand B2C Info-Mediaries"/>
    <x v="0"/>
    <s v="Preston Ltd"/>
    <n v="13.46"/>
  </r>
  <r>
    <s v="ORD2354"/>
    <x v="8"/>
    <x v="3"/>
    <s v="PROD105"/>
    <x v="1350"/>
    <n v="724.84"/>
    <n v="8"/>
    <x v="2"/>
    <s v="Transform Holistic Functionalities"/>
    <x v="0"/>
    <s v="Ruiz Ltd"/>
    <n v="179.27"/>
  </r>
  <r>
    <s v="ORD2355"/>
    <x v="926"/>
    <x v="2"/>
    <s v="PROD189"/>
    <x v="1351"/>
    <n v="952.99"/>
    <n v="17"/>
    <x v="1"/>
    <s v="E-Enable Next-Generation Experiences"/>
    <x v="2"/>
    <s v="Sanchez-Quinn"/>
    <n v="266.93"/>
  </r>
  <r>
    <s v="ORD2356"/>
    <x v="164"/>
    <x v="2"/>
    <s v="PROD187"/>
    <x v="1352"/>
    <n v="660.7"/>
    <n v="13"/>
    <x v="2"/>
    <s v="Whiteboard Compelling Experiences"/>
    <x v="2"/>
    <s v="Carrillo, Carr and Ball"/>
    <n v="206.54"/>
  </r>
  <r>
    <s v="ORD2357"/>
    <x v="55"/>
    <x v="0"/>
    <s v="PROD174"/>
    <x v="1353"/>
    <n v="148.72999999999999"/>
    <n v="19"/>
    <x v="1"/>
    <s v="Disintermediate Scalable Bandwidth"/>
    <x v="1"/>
    <s v="Levy PLC"/>
    <n v="19.86"/>
  </r>
  <r>
    <s v="ORD2358"/>
    <x v="927"/>
    <x v="3"/>
    <s v="PROD190"/>
    <x v="1354"/>
    <n v="47.62"/>
    <n v="3"/>
    <x v="2"/>
    <s v="Repurpose End-To-End Networks"/>
    <x v="0"/>
    <s v="Torres-Rush"/>
    <n v="97.02"/>
  </r>
  <r>
    <s v="ORD2359"/>
    <x v="928"/>
    <x v="1"/>
    <s v="PROD152"/>
    <x v="1355"/>
    <n v="676.26"/>
    <n v="9"/>
    <x v="1"/>
    <s v="Reinvent Frictionless Roi"/>
    <x v="2"/>
    <s v="Bridges, Castillo and Rodriguez"/>
    <n v="253.89"/>
  </r>
  <r>
    <s v="ORD2360"/>
    <x v="929"/>
    <x v="1"/>
    <s v="PROD173"/>
    <x v="1356"/>
    <n v="233.43"/>
    <n v="5"/>
    <x v="1"/>
    <s v="Whiteboard Sticky Content"/>
    <x v="2"/>
    <s v="Wolfe Group"/>
    <n v="82.16"/>
  </r>
  <r>
    <s v="ORD2361"/>
    <x v="930"/>
    <x v="0"/>
    <s v="PROD152"/>
    <x v="1357"/>
    <n v="627.32000000000005"/>
    <n v="1"/>
    <x v="2"/>
    <s v="Reinvent Frictionless Roi"/>
    <x v="2"/>
    <s v="Bridges, Castillo and Rodriguez"/>
    <n v="253.89"/>
  </r>
  <r>
    <s v="ORD2362"/>
    <x v="931"/>
    <x v="2"/>
    <s v="PROD197"/>
    <x v="1358"/>
    <n v="371.25"/>
    <n v="4"/>
    <x v="2"/>
    <s v="Leverage Rich Portals"/>
    <x v="0"/>
    <s v="Wilson PLC"/>
    <n v="46.35"/>
  </r>
  <r>
    <s v="ORD2363"/>
    <x v="354"/>
    <x v="2"/>
    <s v="PROD109"/>
    <x v="1359"/>
    <n v="708.6"/>
    <n v="11"/>
    <x v="1"/>
    <s v="Orchestrate E-Business Niches"/>
    <x v="2"/>
    <s v="Johnson LLC"/>
    <n v="198.99"/>
  </r>
  <r>
    <s v="ORD2364"/>
    <x v="932"/>
    <x v="3"/>
    <s v="PROD189"/>
    <x v="1360"/>
    <n v="64.790000000000006"/>
    <n v="9"/>
    <x v="2"/>
    <s v="E-Enable Next-Generation Experiences"/>
    <x v="2"/>
    <s v="Sanchez-Quinn"/>
    <n v="266.93"/>
  </r>
  <r>
    <s v="ORD2365"/>
    <x v="804"/>
    <x v="3"/>
    <s v="PROD119"/>
    <x v="1361"/>
    <n v="994.45"/>
    <n v="8"/>
    <x v="0"/>
    <s v="Generate Front-End Functionalities"/>
    <x v="0"/>
    <s v="Morales-Brown"/>
    <n v="299.77"/>
  </r>
  <r>
    <s v="ORD2366"/>
    <x v="933"/>
    <x v="3"/>
    <s v="PROD170"/>
    <x v="1362"/>
    <n v="549.04999999999995"/>
    <n v="7"/>
    <x v="1"/>
    <s v="Deliver Sticky Networks"/>
    <x v="2"/>
    <s v="Massey LLC"/>
    <n v="272.33"/>
  </r>
  <r>
    <s v="ORD2367"/>
    <x v="934"/>
    <x v="1"/>
    <s v="PROD150"/>
    <x v="1363"/>
    <n v="865.49"/>
    <n v="16"/>
    <x v="2"/>
    <s v="Evolve Intuitive Bandwidth"/>
    <x v="0"/>
    <s v="Rogers Group"/>
    <n v="131.63"/>
  </r>
  <r>
    <s v="ORD2368"/>
    <x v="708"/>
    <x v="0"/>
    <s v="PROD184"/>
    <x v="1364"/>
    <n v="509.53"/>
    <n v="3"/>
    <x v="2"/>
    <s v="Embrace 24/365 Functionalities"/>
    <x v="0"/>
    <s v="Smith LLC"/>
    <n v="204.04"/>
  </r>
  <r>
    <s v="ORD2369"/>
    <x v="159"/>
    <x v="3"/>
    <s v="PROD186"/>
    <x v="1365"/>
    <n v="719.41"/>
    <n v="9"/>
    <x v="0"/>
    <s v="Reinvent Mission-Critical Markets"/>
    <x v="2"/>
    <s v="Gilbert-Sanders"/>
    <n v="154.21"/>
  </r>
  <r>
    <s v="ORD2370"/>
    <x v="935"/>
    <x v="2"/>
    <s v="PROD179"/>
    <x v="1366"/>
    <n v="142.08000000000001"/>
    <n v="17"/>
    <x v="1"/>
    <s v="Target Viral Methodologies"/>
    <x v="1"/>
    <s v="Alvarez, Myers and Walter"/>
    <n v="149.26"/>
  </r>
  <r>
    <s v="ORD2371"/>
    <x v="291"/>
    <x v="3"/>
    <s v="PROD119"/>
    <x v="1367"/>
    <n v="879.24"/>
    <n v="16"/>
    <x v="2"/>
    <s v="Generate Front-End Functionalities"/>
    <x v="0"/>
    <s v="Morales-Brown"/>
    <n v="299.77"/>
  </r>
  <r>
    <s v="ORD2372"/>
    <x v="936"/>
    <x v="2"/>
    <s v="PROD124"/>
    <x v="1368"/>
    <n v="946.53"/>
    <n v="10"/>
    <x v="1"/>
    <s v="Incubate Real-Time E-Tailers"/>
    <x v="1"/>
    <s v="Johnson-Riley"/>
    <n v="86.67"/>
  </r>
  <r>
    <s v="ORD2373"/>
    <x v="789"/>
    <x v="1"/>
    <s v="PROD153"/>
    <x v="1369"/>
    <n v="656.34"/>
    <n v="11"/>
    <x v="1"/>
    <s v="Seize Plug-And-Play Web-Readiness"/>
    <x v="1"/>
    <s v="Joseph, Mayer and Carr"/>
    <n v="102.73"/>
  </r>
  <r>
    <s v="ORD2374"/>
    <x v="650"/>
    <x v="0"/>
    <s v="PROD182"/>
    <x v="1370"/>
    <n v="214.67"/>
    <n v="1"/>
    <x v="1"/>
    <s v="Strategize Best-Of-Breed Web-Readiness"/>
    <x v="0"/>
    <s v="Morris, King and Ayers"/>
    <n v="220.16"/>
  </r>
  <r>
    <s v="ORD2375"/>
    <x v="496"/>
    <x v="1"/>
    <s v="PROD174"/>
    <x v="1371"/>
    <n v="809.42"/>
    <n v="17"/>
    <x v="1"/>
    <s v="Disintermediate Scalable Bandwidth"/>
    <x v="1"/>
    <s v="Levy PLC"/>
    <n v="19.86"/>
  </r>
  <r>
    <s v="ORD2376"/>
    <x v="503"/>
    <x v="2"/>
    <s v="PROD164"/>
    <x v="1372"/>
    <n v="30.3"/>
    <n v="19"/>
    <x v="0"/>
    <s v="Transition Compelling Web-Readiness"/>
    <x v="2"/>
    <s v="Wood-Beck"/>
    <n v="88.34"/>
  </r>
  <r>
    <s v="ORD2377"/>
    <x v="475"/>
    <x v="3"/>
    <s v="PROD103"/>
    <x v="1373"/>
    <n v="501.57"/>
    <n v="6"/>
    <x v="2"/>
    <s v="Monetize Collaborative Metrics"/>
    <x v="1"/>
    <s v="Ramirez-Brown"/>
    <n v="286.04000000000002"/>
  </r>
  <r>
    <s v="ORD2378"/>
    <x v="841"/>
    <x v="1"/>
    <s v="PROD189"/>
    <x v="1374"/>
    <n v="549.30999999999995"/>
    <n v="2"/>
    <x v="0"/>
    <s v="E-Enable Next-Generation Experiences"/>
    <x v="2"/>
    <s v="Sanchez-Quinn"/>
    <n v="266.93"/>
  </r>
  <r>
    <s v="ORD2379"/>
    <x v="61"/>
    <x v="3"/>
    <s v="PROD103"/>
    <x v="1375"/>
    <n v="36.020000000000003"/>
    <n v="18"/>
    <x v="1"/>
    <s v="Monetize Collaborative Metrics"/>
    <x v="1"/>
    <s v="Ramirez-Brown"/>
    <n v="286.04000000000002"/>
  </r>
  <r>
    <s v="ORD2380"/>
    <x v="17"/>
    <x v="0"/>
    <s v="PROD184"/>
    <x v="1376"/>
    <n v="205.38"/>
    <n v="3"/>
    <x v="2"/>
    <s v="Embrace 24/365 Functionalities"/>
    <x v="0"/>
    <s v="Smith LLC"/>
    <n v="204.04"/>
  </r>
  <r>
    <s v="ORD2381"/>
    <x v="937"/>
    <x v="0"/>
    <s v="PROD153"/>
    <x v="1377"/>
    <n v="889.45"/>
    <n v="5"/>
    <x v="1"/>
    <s v="Seize Plug-And-Play Web-Readiness"/>
    <x v="1"/>
    <s v="Joseph, Mayer and Carr"/>
    <n v="102.73"/>
  </r>
  <r>
    <s v="ORD2382"/>
    <x v="938"/>
    <x v="0"/>
    <s v="PROD123"/>
    <x v="1378"/>
    <n v="330.59"/>
    <n v="4"/>
    <x v="1"/>
    <s v="Redefine Real-Time Convergence"/>
    <x v="1"/>
    <s v="Hayes, Peters and Douglas"/>
    <n v="78.260000000000005"/>
  </r>
  <r>
    <s v="ORD2383"/>
    <x v="593"/>
    <x v="0"/>
    <s v="PROD183"/>
    <x v="1379"/>
    <n v="100.66"/>
    <n v="18"/>
    <x v="0"/>
    <s v="Incentivize Front-End Mindshare"/>
    <x v="1"/>
    <s v="Phillips-Tran"/>
    <n v="196.86"/>
  </r>
  <r>
    <s v="ORD2384"/>
    <x v="179"/>
    <x v="3"/>
    <s v="PROD103"/>
    <x v="1380"/>
    <n v="512.88"/>
    <n v="20"/>
    <x v="0"/>
    <s v="Monetize Collaborative Metrics"/>
    <x v="1"/>
    <s v="Ramirez-Brown"/>
    <n v="286.04000000000002"/>
  </r>
  <r>
    <s v="ORD2385"/>
    <x v="880"/>
    <x v="2"/>
    <s v="PROD120"/>
    <x v="1381"/>
    <n v="495.22"/>
    <n v="18"/>
    <x v="2"/>
    <s v="Mesh B2B Platforms"/>
    <x v="2"/>
    <s v="Stevens, Walton and Riddle"/>
    <n v="236.57"/>
  </r>
  <r>
    <s v="ORD2386"/>
    <x v="260"/>
    <x v="3"/>
    <s v="PROD101"/>
    <x v="1382"/>
    <n v="165.95"/>
    <n v="18"/>
    <x v="0"/>
    <s v="Harness Proactive Eyeballs"/>
    <x v="1"/>
    <s v="Moran and Sons"/>
    <n v="58.01"/>
  </r>
  <r>
    <s v="ORD2387"/>
    <x v="939"/>
    <x v="1"/>
    <s v="PROD114"/>
    <x v="1383"/>
    <n v="450.12"/>
    <n v="5"/>
    <x v="2"/>
    <s v="Orchestrate User-Centric Platforms"/>
    <x v="2"/>
    <s v="Wells Ltd"/>
    <n v="201.87"/>
  </r>
  <r>
    <s v="ORD2388"/>
    <x v="696"/>
    <x v="2"/>
    <s v="PROD151"/>
    <x v="1384"/>
    <n v="642.51"/>
    <n v="20"/>
    <x v="2"/>
    <s v="Re-Contextualize Viral Markets"/>
    <x v="1"/>
    <s v="Meadows-Barber"/>
    <n v="177.52"/>
  </r>
  <r>
    <s v="ORD2389"/>
    <x v="845"/>
    <x v="3"/>
    <s v="PROD117"/>
    <x v="1385"/>
    <n v="675.7"/>
    <n v="20"/>
    <x v="2"/>
    <s v="Revolutionize Efficient Niches"/>
    <x v="1"/>
    <s v="Lopez-Torres"/>
    <n v="23.02"/>
  </r>
  <r>
    <s v="ORD2390"/>
    <x v="209"/>
    <x v="0"/>
    <s v="PROD134"/>
    <x v="1386"/>
    <n v="737.44"/>
    <n v="1"/>
    <x v="0"/>
    <s v="Utilize Ubiquitous Synergies"/>
    <x v="1"/>
    <s v="Kramer, Huang and Shaw"/>
    <n v="295.89999999999998"/>
  </r>
  <r>
    <s v="ORD2391"/>
    <x v="318"/>
    <x v="3"/>
    <s v="PROD120"/>
    <x v="1387"/>
    <n v="197.51"/>
    <n v="20"/>
    <x v="1"/>
    <s v="Mesh B2B Platforms"/>
    <x v="2"/>
    <s v="Stevens, Walton and Riddle"/>
    <n v="236.57"/>
  </r>
  <r>
    <s v="ORD2392"/>
    <x v="940"/>
    <x v="0"/>
    <s v="PROD176"/>
    <x v="1388"/>
    <n v="512.6"/>
    <n v="5"/>
    <x v="2"/>
    <s v="Facilitate Integrated E-Business"/>
    <x v="0"/>
    <s v="Chang-Vargas"/>
    <n v="130.33000000000001"/>
  </r>
  <r>
    <s v="ORD2393"/>
    <x v="941"/>
    <x v="3"/>
    <s v="PROD137"/>
    <x v="1389"/>
    <n v="845.95"/>
    <n v="8"/>
    <x v="1"/>
    <s v="Optimize Collaborative Initiatives"/>
    <x v="1"/>
    <s v="Adkins Ltd"/>
    <n v="34.46"/>
  </r>
  <r>
    <s v="ORD2394"/>
    <x v="942"/>
    <x v="2"/>
    <s v="PROD189"/>
    <x v="1390"/>
    <n v="116.84"/>
    <n v="12"/>
    <x v="2"/>
    <s v="E-Enable Next-Generation Experiences"/>
    <x v="2"/>
    <s v="Sanchez-Quinn"/>
    <n v="266.93"/>
  </r>
  <r>
    <s v="ORD2395"/>
    <x v="943"/>
    <x v="2"/>
    <s v="PROD184"/>
    <x v="1391"/>
    <n v="617.15"/>
    <n v="19"/>
    <x v="2"/>
    <s v="Embrace 24/365 Functionalities"/>
    <x v="0"/>
    <s v="Smith LLC"/>
    <n v="204.04"/>
  </r>
  <r>
    <s v="ORD2396"/>
    <x v="15"/>
    <x v="1"/>
    <s v="PROD192"/>
    <x v="1392"/>
    <n v="819.69"/>
    <n v="4"/>
    <x v="0"/>
    <s v="Drive Compelling E-Services"/>
    <x v="0"/>
    <s v="Morris-Villanueva"/>
    <n v="27.22"/>
  </r>
  <r>
    <s v="ORD2397"/>
    <x v="944"/>
    <x v="1"/>
    <s v="PROD147"/>
    <x v="1393"/>
    <n v="796.29"/>
    <n v="9"/>
    <x v="2"/>
    <s v="Brand B2C Info-Mediaries"/>
    <x v="0"/>
    <s v="Preston Ltd"/>
    <n v="13.46"/>
  </r>
  <r>
    <s v="ORD2398"/>
    <x v="87"/>
    <x v="0"/>
    <s v="PROD138"/>
    <x v="1394"/>
    <n v="85.63"/>
    <n v="4"/>
    <x v="0"/>
    <s v="Deliver Viral Eyeballs"/>
    <x v="0"/>
    <s v="Estes, Chan and Thomas"/>
    <n v="16.89"/>
  </r>
  <r>
    <s v="ORD2399"/>
    <x v="945"/>
    <x v="3"/>
    <s v="PROD139"/>
    <x v="1395"/>
    <n v="794.5"/>
    <n v="8"/>
    <x v="2"/>
    <s v="Re-Contextualize Viral Mindshare"/>
    <x v="1"/>
    <s v="Carter-Lane"/>
    <n v="142.25"/>
  </r>
  <r>
    <s v="ORD2400"/>
    <x v="698"/>
    <x v="1"/>
    <s v="PROD198"/>
    <x v="1396"/>
    <n v="92.18"/>
    <n v="20"/>
    <x v="2"/>
    <s v="Visualize Dynamic E-Commerce"/>
    <x v="2"/>
    <s v="Jones LLC"/>
    <n v="92.61"/>
  </r>
  <r>
    <s v="ORD2401"/>
    <x v="946"/>
    <x v="2"/>
    <s v="PROD162"/>
    <x v="1397"/>
    <n v="781.87"/>
    <n v="19"/>
    <x v="0"/>
    <s v="Reinvent Visionary Niches"/>
    <x v="2"/>
    <s v="Huber-Richmond"/>
    <n v="219.81"/>
  </r>
  <r>
    <s v="ORD2402"/>
    <x v="921"/>
    <x v="3"/>
    <s v="PROD159"/>
    <x v="1398"/>
    <n v="271.06"/>
    <n v="15"/>
    <x v="0"/>
    <s v="Mesh Intuitive Supply-Chains"/>
    <x v="1"/>
    <s v="Soto, Barnett and Heath"/>
    <n v="281"/>
  </r>
  <r>
    <s v="ORD2403"/>
    <x v="228"/>
    <x v="2"/>
    <s v="PROD138"/>
    <x v="1399"/>
    <n v="446.46"/>
    <n v="7"/>
    <x v="2"/>
    <s v="Deliver Viral Eyeballs"/>
    <x v="0"/>
    <s v="Estes, Chan and Thomas"/>
    <n v="16.89"/>
  </r>
  <r>
    <s v="ORD2404"/>
    <x v="947"/>
    <x v="2"/>
    <s v="PROD190"/>
    <x v="1400"/>
    <n v="437.74"/>
    <n v="19"/>
    <x v="2"/>
    <s v="Repurpose End-To-End Networks"/>
    <x v="0"/>
    <s v="Torres-Rush"/>
    <n v="97.02"/>
  </r>
  <r>
    <s v="ORD2405"/>
    <x v="445"/>
    <x v="1"/>
    <s v="PROD173"/>
    <x v="1401"/>
    <n v="956.82"/>
    <n v="14"/>
    <x v="1"/>
    <s v="Whiteboard Sticky Content"/>
    <x v="2"/>
    <s v="Wolfe Group"/>
    <n v="82.16"/>
  </r>
  <r>
    <s v="ORD2406"/>
    <x v="948"/>
    <x v="3"/>
    <s v="PROD107"/>
    <x v="1402"/>
    <n v="345.52"/>
    <n v="4"/>
    <x v="2"/>
    <s v="Utilize Back-End Models"/>
    <x v="2"/>
    <s v="Lewis-Holden"/>
    <n v="241.53"/>
  </r>
  <r>
    <s v="ORD2407"/>
    <x v="828"/>
    <x v="2"/>
    <s v="PROD134"/>
    <x v="1403"/>
    <n v="519.46"/>
    <n v="4"/>
    <x v="1"/>
    <s v="Utilize Ubiquitous Synergies"/>
    <x v="1"/>
    <s v="Kramer, Huang and Shaw"/>
    <n v="295.89999999999998"/>
  </r>
  <r>
    <s v="ORD2408"/>
    <x v="949"/>
    <x v="1"/>
    <s v="PROD166"/>
    <x v="1404"/>
    <n v="167.36"/>
    <n v="2"/>
    <x v="2"/>
    <s v="Monetize Wireless Functionalities"/>
    <x v="2"/>
    <s v="Robinson, Rodriguez and Hernandez"/>
    <n v="162.22"/>
  </r>
  <r>
    <s v="ORD2409"/>
    <x v="950"/>
    <x v="0"/>
    <s v="PROD147"/>
    <x v="1405"/>
    <n v="701.04"/>
    <n v="9"/>
    <x v="2"/>
    <s v="Brand B2C Info-Mediaries"/>
    <x v="0"/>
    <s v="Preston Ltd"/>
    <n v="13.46"/>
  </r>
  <r>
    <s v="ORD2410"/>
    <x v="195"/>
    <x v="1"/>
    <s v="PROD141"/>
    <x v="1406"/>
    <n v="944.89"/>
    <n v="19"/>
    <x v="0"/>
    <s v="Re-Contextualize Integrated Info-Mediaries"/>
    <x v="1"/>
    <s v="Jones-Schroeder"/>
    <n v="26.02"/>
  </r>
  <r>
    <s v="ORD2411"/>
    <x v="951"/>
    <x v="3"/>
    <s v="PROD139"/>
    <x v="1407"/>
    <n v="900.58"/>
    <n v="3"/>
    <x v="1"/>
    <s v="Re-Contextualize Viral Mindshare"/>
    <x v="1"/>
    <s v="Carter-Lane"/>
    <n v="142.25"/>
  </r>
  <r>
    <s v="ORD2412"/>
    <x v="890"/>
    <x v="1"/>
    <s v="PROD172"/>
    <x v="1408"/>
    <n v="188.33"/>
    <n v="12"/>
    <x v="0"/>
    <s v="E-Enable Virtual Methodologies"/>
    <x v="0"/>
    <s v="Floyd-Love"/>
    <n v="283.64999999999998"/>
  </r>
  <r>
    <s v="ORD2413"/>
    <x v="952"/>
    <x v="3"/>
    <s v="PROD100"/>
    <x v="1409"/>
    <n v="495.22"/>
    <n v="16"/>
    <x v="1"/>
    <s v="Synthesize Scalable Portals"/>
    <x v="2"/>
    <s v="Singh, Villa and Flynn"/>
    <n v="298.57"/>
  </r>
  <r>
    <s v="ORD2414"/>
    <x v="953"/>
    <x v="0"/>
    <s v="PROD105"/>
    <x v="1410"/>
    <n v="688.49"/>
    <n v="18"/>
    <x v="2"/>
    <s v="Transform Holistic Functionalities"/>
    <x v="0"/>
    <s v="Ruiz Ltd"/>
    <n v="179.27"/>
  </r>
  <r>
    <s v="ORD2415"/>
    <x v="387"/>
    <x v="1"/>
    <s v="PROD112"/>
    <x v="1411"/>
    <n v="900.06"/>
    <n v="10"/>
    <x v="0"/>
    <s v="Seize Clicks-And-Mortar Platforms"/>
    <x v="0"/>
    <s v="Owens, Campos and Wood"/>
    <n v="271.16000000000003"/>
  </r>
  <r>
    <s v="ORD2416"/>
    <x v="954"/>
    <x v="0"/>
    <s v="PROD153"/>
    <x v="1412"/>
    <n v="800.34"/>
    <n v="11"/>
    <x v="1"/>
    <s v="Seize Plug-And-Play Web-Readiness"/>
    <x v="1"/>
    <s v="Joseph, Mayer and Carr"/>
    <n v="102.73"/>
  </r>
  <r>
    <s v="ORD2417"/>
    <x v="2"/>
    <x v="1"/>
    <s v="PROD168"/>
    <x v="1413"/>
    <n v="450.45"/>
    <n v="4"/>
    <x v="0"/>
    <s v="Facilitate End-To-End Experiences"/>
    <x v="0"/>
    <s v="Pierce-Goodwin"/>
    <n v="260.52999999999997"/>
  </r>
  <r>
    <s v="ORD2418"/>
    <x v="432"/>
    <x v="2"/>
    <s v="PROD199"/>
    <x v="1414"/>
    <n v="485.1"/>
    <n v="18"/>
    <x v="0"/>
    <s v="Scale Cross-Platform Web Services"/>
    <x v="2"/>
    <s v="Morrow, Brock and Lewis"/>
    <n v="115.21"/>
  </r>
  <r>
    <s v="ORD2419"/>
    <x v="67"/>
    <x v="3"/>
    <s v="PROD146"/>
    <x v="1415"/>
    <n v="466.23"/>
    <n v="4"/>
    <x v="1"/>
    <s v="Engage Rich Web-Readiness"/>
    <x v="0"/>
    <s v="Turner Inc"/>
    <n v="81.069999999999993"/>
  </r>
  <r>
    <s v="ORD2420"/>
    <x v="932"/>
    <x v="1"/>
    <s v="PROD190"/>
    <x v="1416"/>
    <n v="952.84"/>
    <n v="10"/>
    <x v="1"/>
    <s v="Repurpose End-To-End Networks"/>
    <x v="0"/>
    <s v="Torres-Rush"/>
    <n v="97.02"/>
  </r>
  <r>
    <s v="ORD2421"/>
    <x v="506"/>
    <x v="3"/>
    <s v="PROD121"/>
    <x v="1417"/>
    <n v="313.14999999999998"/>
    <n v="7"/>
    <x v="2"/>
    <s v="Whiteboard B2B Content"/>
    <x v="0"/>
    <s v="Romero PLC"/>
    <n v="93.81"/>
  </r>
  <r>
    <s v="ORD2422"/>
    <x v="38"/>
    <x v="0"/>
    <s v="PROD136"/>
    <x v="1418"/>
    <n v="713.05"/>
    <n v="4"/>
    <x v="0"/>
    <s v="Evolve Innovative Web Services"/>
    <x v="2"/>
    <s v="Bush Inc"/>
    <n v="87.75"/>
  </r>
  <r>
    <s v="ORD2423"/>
    <x v="337"/>
    <x v="3"/>
    <s v="PROD135"/>
    <x v="1419"/>
    <n v="695.63"/>
    <n v="8"/>
    <x v="2"/>
    <s v="Optimize 24/365 E-Services"/>
    <x v="0"/>
    <s v="Chase Ltd"/>
    <n v="100.35"/>
  </r>
  <r>
    <s v="ORD2424"/>
    <x v="652"/>
    <x v="2"/>
    <s v="PROD159"/>
    <x v="1420"/>
    <n v="889.71"/>
    <n v="16"/>
    <x v="1"/>
    <s v="Mesh Intuitive Supply-Chains"/>
    <x v="1"/>
    <s v="Soto, Barnett and Heath"/>
    <n v="281"/>
  </r>
  <r>
    <s v="ORD2425"/>
    <x v="901"/>
    <x v="1"/>
    <s v="PROD121"/>
    <x v="1421"/>
    <n v="15.8"/>
    <n v="12"/>
    <x v="2"/>
    <s v="Whiteboard B2B Content"/>
    <x v="0"/>
    <s v="Romero PLC"/>
    <n v="93.81"/>
  </r>
  <r>
    <s v="ORD2426"/>
    <x v="955"/>
    <x v="1"/>
    <s v="PROD106"/>
    <x v="1422"/>
    <n v="734.71"/>
    <n v="20"/>
    <x v="2"/>
    <s v="Synergize End-To-End Supply-Chains"/>
    <x v="0"/>
    <s v="Higgins-Espinoza"/>
    <n v="279.8"/>
  </r>
  <r>
    <s v="ORD2427"/>
    <x v="96"/>
    <x v="3"/>
    <s v="PROD192"/>
    <x v="1423"/>
    <n v="396.19"/>
    <n v="13"/>
    <x v="2"/>
    <s v="Drive Compelling E-Services"/>
    <x v="0"/>
    <s v="Morris-Villanueva"/>
    <n v="27.22"/>
  </r>
  <r>
    <s v="ORD2428"/>
    <x v="83"/>
    <x v="1"/>
    <s v="PROD125"/>
    <x v="1424"/>
    <n v="948.52"/>
    <n v="4"/>
    <x v="1"/>
    <s v="Leverage Cutting-Edge Vortals"/>
    <x v="1"/>
    <s v="Robinson, Garrett and Chavez"/>
    <n v="117.3"/>
  </r>
  <r>
    <s v="ORD2429"/>
    <x v="956"/>
    <x v="2"/>
    <s v="PROD189"/>
    <x v="1425"/>
    <n v="372.96"/>
    <n v="11"/>
    <x v="2"/>
    <s v="E-Enable Next-Generation Experiences"/>
    <x v="2"/>
    <s v="Sanchez-Quinn"/>
    <n v="266.93"/>
  </r>
  <r>
    <s v="ORD2430"/>
    <x v="745"/>
    <x v="1"/>
    <s v="PROD140"/>
    <x v="1426"/>
    <n v="633.85"/>
    <n v="14"/>
    <x v="0"/>
    <s v="Extend Bricks-And-Clicks Architectures"/>
    <x v="2"/>
    <s v="Fuller PLC"/>
    <n v="202.99"/>
  </r>
  <r>
    <s v="ORD2431"/>
    <x v="676"/>
    <x v="0"/>
    <s v="PROD193"/>
    <x v="1427"/>
    <n v="147.76"/>
    <n v="11"/>
    <x v="2"/>
    <s v="Innovate Sticky Web Services"/>
    <x v="1"/>
    <s v="Friedman, Sanders and Adams"/>
    <n v="125.85"/>
  </r>
  <r>
    <s v="ORD2432"/>
    <x v="957"/>
    <x v="3"/>
    <s v="PROD133"/>
    <x v="1428"/>
    <n v="444.83"/>
    <n v="20"/>
    <x v="1"/>
    <s v="Re-Intermediate Seamless Applications"/>
    <x v="0"/>
    <s v="Welch-Reed"/>
    <n v="45.82"/>
  </r>
  <r>
    <s v="ORD2433"/>
    <x v="958"/>
    <x v="0"/>
    <s v="PROD129"/>
    <x v="1429"/>
    <n v="641.79999999999995"/>
    <n v="15"/>
    <x v="2"/>
    <s v="Scale Vertical Networks"/>
    <x v="2"/>
    <s v="Lam, Wood and Jacobs"/>
    <n v="133.24"/>
  </r>
  <r>
    <s v="ORD2434"/>
    <x v="959"/>
    <x v="0"/>
    <s v="PROD170"/>
    <x v="1430"/>
    <n v="846.9"/>
    <n v="12"/>
    <x v="0"/>
    <s v="Deliver Sticky Networks"/>
    <x v="2"/>
    <s v="Massey LLC"/>
    <n v="272.33"/>
  </r>
  <r>
    <s v="ORD2435"/>
    <x v="207"/>
    <x v="1"/>
    <s v="PROD110"/>
    <x v="1431"/>
    <n v="792.31"/>
    <n v="2"/>
    <x v="2"/>
    <s v="E-Enable Holistic Supply-Chains"/>
    <x v="2"/>
    <s v="Lin-Mcdaniel"/>
    <n v="160.33000000000001"/>
  </r>
  <r>
    <s v="ORD2436"/>
    <x v="960"/>
    <x v="1"/>
    <s v="PROD184"/>
    <x v="1432"/>
    <n v="189.43"/>
    <n v="13"/>
    <x v="0"/>
    <s v="Embrace 24/365 Functionalities"/>
    <x v="0"/>
    <s v="Smith LLC"/>
    <n v="204.04"/>
  </r>
  <r>
    <s v="ORD2437"/>
    <x v="68"/>
    <x v="2"/>
    <s v="PROD188"/>
    <x v="1433"/>
    <n v="536.62"/>
    <n v="12"/>
    <x v="0"/>
    <s v="Transition Mission-Critical Interfaces"/>
    <x v="0"/>
    <s v="Weaver Ltd"/>
    <n v="34.64"/>
  </r>
  <r>
    <s v="ORD2438"/>
    <x v="803"/>
    <x v="3"/>
    <s v="PROD138"/>
    <x v="1434"/>
    <n v="375.36"/>
    <n v="17"/>
    <x v="2"/>
    <s v="Deliver Viral Eyeballs"/>
    <x v="0"/>
    <s v="Estes, Chan and Thomas"/>
    <n v="16.89"/>
  </r>
  <r>
    <s v="ORD2439"/>
    <x v="640"/>
    <x v="1"/>
    <s v="PROD158"/>
    <x v="1435"/>
    <n v="360.38"/>
    <n v="1"/>
    <x v="1"/>
    <s v="Brand Web-Enabled Solutions"/>
    <x v="1"/>
    <s v="Russell Group"/>
    <n v="51.67"/>
  </r>
  <r>
    <s v="ORD2440"/>
    <x v="961"/>
    <x v="1"/>
    <s v="PROD163"/>
    <x v="1436"/>
    <n v="466.42"/>
    <n v="6"/>
    <x v="1"/>
    <s v="Grow Back-End Supply-Chains"/>
    <x v="1"/>
    <s v="Green LLC"/>
    <n v="140.08000000000001"/>
  </r>
  <r>
    <s v="ORD2441"/>
    <x v="436"/>
    <x v="2"/>
    <s v="PROD186"/>
    <x v="1437"/>
    <n v="504.86"/>
    <n v="2"/>
    <x v="2"/>
    <s v="Reinvent Mission-Critical Markets"/>
    <x v="2"/>
    <s v="Gilbert-Sanders"/>
    <n v="154.21"/>
  </r>
  <r>
    <s v="ORD2442"/>
    <x v="962"/>
    <x v="2"/>
    <s v="PROD178"/>
    <x v="1438"/>
    <n v="164.18"/>
    <n v="14"/>
    <x v="1"/>
    <s v="Monetize Value-Added Niches"/>
    <x v="0"/>
    <s v="Foster, Velazquez and Lee"/>
    <n v="171.51"/>
  </r>
  <r>
    <s v="ORD2443"/>
    <x v="963"/>
    <x v="1"/>
    <s v="PROD160"/>
    <x v="1439"/>
    <n v="656.2"/>
    <n v="19"/>
    <x v="0"/>
    <s v="Deliver Extensible Partnerships"/>
    <x v="2"/>
    <s v="Martin, Paul and Salazar"/>
    <n v="43.76"/>
  </r>
  <r>
    <s v="ORD2444"/>
    <x v="964"/>
    <x v="1"/>
    <s v="PROD162"/>
    <x v="1440"/>
    <n v="948.37"/>
    <n v="17"/>
    <x v="1"/>
    <s v="Reinvent Visionary Niches"/>
    <x v="2"/>
    <s v="Huber-Richmond"/>
    <n v="219.81"/>
  </r>
  <r>
    <s v="ORD2445"/>
    <x v="816"/>
    <x v="1"/>
    <s v="PROD183"/>
    <x v="1441"/>
    <n v="114.21"/>
    <n v="10"/>
    <x v="0"/>
    <s v="Incentivize Front-End Mindshare"/>
    <x v="1"/>
    <s v="Phillips-Tran"/>
    <n v="196.86"/>
  </r>
  <r>
    <s v="ORD2446"/>
    <x v="965"/>
    <x v="3"/>
    <s v="PROD194"/>
    <x v="1442"/>
    <n v="344.63"/>
    <n v="2"/>
    <x v="2"/>
    <s v="Leverage Scalable Interfaces"/>
    <x v="0"/>
    <s v="Kaufman-Jones"/>
    <n v="73.33"/>
  </r>
  <r>
    <s v="ORD2447"/>
    <x v="821"/>
    <x v="2"/>
    <s v="PROD145"/>
    <x v="1443"/>
    <n v="91.92"/>
    <n v="4"/>
    <x v="2"/>
    <s v="Innovate Strategic Systems"/>
    <x v="0"/>
    <s v="Mcfarland, Parker and Armstrong"/>
    <n v="70.239999999999995"/>
  </r>
  <r>
    <s v="ORD2448"/>
    <x v="966"/>
    <x v="1"/>
    <s v="PROD177"/>
    <x v="1444"/>
    <n v="776.36"/>
    <n v="7"/>
    <x v="1"/>
    <s v="Deploy Granular Channels"/>
    <x v="2"/>
    <s v="Barnes Ltd"/>
    <n v="288.99"/>
  </r>
  <r>
    <s v="ORD2449"/>
    <x v="692"/>
    <x v="2"/>
    <s v="PROD111"/>
    <x v="1445"/>
    <n v="811.05"/>
    <n v="18"/>
    <x v="2"/>
    <s v="Harness Revolutionary Interfaces"/>
    <x v="2"/>
    <s v="Davis, Short and Nguyen"/>
    <n v="26.49"/>
  </r>
  <r>
    <s v="ORD2450"/>
    <x v="486"/>
    <x v="2"/>
    <s v="PROD133"/>
    <x v="1446"/>
    <n v="404.33"/>
    <n v="12"/>
    <x v="1"/>
    <s v="Re-Intermediate Seamless Applications"/>
    <x v="0"/>
    <s v="Welch-Reed"/>
    <n v="45.82"/>
  </r>
  <r>
    <s v="ORD2451"/>
    <x v="967"/>
    <x v="3"/>
    <s v="PROD155"/>
    <x v="1447"/>
    <n v="913.02"/>
    <n v="8"/>
    <x v="0"/>
    <s v="Incentivize User-Centric Mindshare"/>
    <x v="1"/>
    <s v="Becker, Wright and Wong"/>
    <n v="38.51"/>
  </r>
  <r>
    <s v="ORD2452"/>
    <x v="870"/>
    <x v="2"/>
    <s v="PROD106"/>
    <x v="1448"/>
    <n v="982.7"/>
    <n v="20"/>
    <x v="2"/>
    <s v="Synergize End-To-End Supply-Chains"/>
    <x v="0"/>
    <s v="Higgins-Espinoza"/>
    <n v="279.8"/>
  </r>
  <r>
    <s v="ORD2453"/>
    <x v="583"/>
    <x v="0"/>
    <s v="PROD111"/>
    <x v="1449"/>
    <n v="661.17"/>
    <n v="9"/>
    <x v="2"/>
    <s v="Harness Revolutionary Interfaces"/>
    <x v="2"/>
    <s v="Davis, Short and Nguyen"/>
    <n v="26.49"/>
  </r>
  <r>
    <s v="ORD2454"/>
    <x v="528"/>
    <x v="2"/>
    <s v="PROD130"/>
    <x v="1450"/>
    <n v="47.48"/>
    <n v="17"/>
    <x v="2"/>
    <s v="Synthesize Wireless Initiatives"/>
    <x v="1"/>
    <s v="Mosley Ltd"/>
    <n v="162.69999999999999"/>
  </r>
  <r>
    <s v="ORD2455"/>
    <x v="89"/>
    <x v="3"/>
    <s v="PROD130"/>
    <x v="1451"/>
    <n v="858.97"/>
    <n v="14"/>
    <x v="1"/>
    <s v="Synthesize Wireless Initiatives"/>
    <x v="1"/>
    <s v="Mosley Ltd"/>
    <n v="162.69999999999999"/>
  </r>
  <r>
    <s v="ORD2456"/>
    <x v="873"/>
    <x v="0"/>
    <s v="PROD122"/>
    <x v="1452"/>
    <n v="692.67"/>
    <n v="7"/>
    <x v="1"/>
    <s v="Empower Dot-Com Deliverables"/>
    <x v="1"/>
    <s v="Davis LLC"/>
    <n v="250.66"/>
  </r>
  <r>
    <s v="ORD2457"/>
    <x v="351"/>
    <x v="0"/>
    <s v="PROD103"/>
    <x v="1453"/>
    <n v="132.91999999999999"/>
    <n v="18"/>
    <x v="2"/>
    <s v="Monetize Collaborative Metrics"/>
    <x v="1"/>
    <s v="Ramirez-Brown"/>
    <n v="286.04000000000002"/>
  </r>
  <r>
    <s v="ORD2458"/>
    <x v="968"/>
    <x v="0"/>
    <s v="PROD161"/>
    <x v="1454"/>
    <n v="842.71"/>
    <n v="6"/>
    <x v="2"/>
    <s v="Synergize E-Business Deliverables"/>
    <x v="1"/>
    <s v="Crawford, Warren and Williams"/>
    <n v="125.93"/>
  </r>
  <r>
    <s v="ORD2459"/>
    <x v="969"/>
    <x v="1"/>
    <s v="PROD124"/>
    <x v="1455"/>
    <n v="632.05999999999995"/>
    <n v="12"/>
    <x v="0"/>
    <s v="Incubate Real-Time E-Tailers"/>
    <x v="1"/>
    <s v="Johnson-Riley"/>
    <n v="86.67"/>
  </r>
  <r>
    <s v="ORD2460"/>
    <x v="970"/>
    <x v="1"/>
    <s v="PROD169"/>
    <x v="1456"/>
    <n v="346.75"/>
    <n v="3"/>
    <x v="0"/>
    <s v="Unleash End-To-End Web Services"/>
    <x v="0"/>
    <s v="Jones Ltd"/>
    <n v="188.02"/>
  </r>
  <r>
    <s v="ORD2461"/>
    <x v="68"/>
    <x v="1"/>
    <s v="PROD127"/>
    <x v="1457"/>
    <n v="320.76"/>
    <n v="19"/>
    <x v="0"/>
    <s v="Deliver Viral Channels"/>
    <x v="2"/>
    <s v="Parker LLC"/>
    <n v="45.41"/>
  </r>
  <r>
    <s v="ORD2462"/>
    <x v="72"/>
    <x v="3"/>
    <s v="PROD189"/>
    <x v="1458"/>
    <n v="300.52"/>
    <n v="19"/>
    <x v="0"/>
    <s v="E-Enable Next-Generation Experiences"/>
    <x v="2"/>
    <s v="Sanchez-Quinn"/>
    <n v="266.93"/>
  </r>
  <r>
    <s v="ORD2463"/>
    <x v="872"/>
    <x v="0"/>
    <s v="PROD122"/>
    <x v="1459"/>
    <n v="15.77"/>
    <n v="5"/>
    <x v="2"/>
    <s v="Empower Dot-Com Deliverables"/>
    <x v="1"/>
    <s v="Davis LLC"/>
    <n v="250.66"/>
  </r>
  <r>
    <s v="ORD2464"/>
    <x v="971"/>
    <x v="3"/>
    <s v="PROD176"/>
    <x v="1460"/>
    <n v="250.61"/>
    <n v="3"/>
    <x v="0"/>
    <s v="Facilitate Integrated E-Business"/>
    <x v="0"/>
    <s v="Chang-Vargas"/>
    <n v="130.33000000000001"/>
  </r>
  <r>
    <s v="ORD2465"/>
    <x v="972"/>
    <x v="3"/>
    <s v="PROD127"/>
    <x v="1461"/>
    <n v="105.22"/>
    <n v="11"/>
    <x v="2"/>
    <s v="Deliver Viral Channels"/>
    <x v="2"/>
    <s v="Parker LLC"/>
    <n v="45.41"/>
  </r>
  <r>
    <s v="ORD2466"/>
    <x v="973"/>
    <x v="1"/>
    <s v="PROD178"/>
    <x v="1462"/>
    <n v="616.91999999999996"/>
    <n v="10"/>
    <x v="0"/>
    <s v="Monetize Value-Added Niches"/>
    <x v="0"/>
    <s v="Foster, Velazquez and Lee"/>
    <n v="171.51"/>
  </r>
  <r>
    <s v="ORD2467"/>
    <x v="158"/>
    <x v="3"/>
    <s v="PROD102"/>
    <x v="1463"/>
    <n v="531.13"/>
    <n v="5"/>
    <x v="0"/>
    <s v="Optimize Transparent E-Markets"/>
    <x v="0"/>
    <s v="Lee, Tyler and Blevins"/>
    <n v="111.22"/>
  </r>
  <r>
    <s v="ORD2468"/>
    <x v="539"/>
    <x v="1"/>
    <s v="PROD189"/>
    <x v="1464"/>
    <n v="806.89"/>
    <n v="18"/>
    <x v="2"/>
    <s v="E-Enable Next-Generation Experiences"/>
    <x v="2"/>
    <s v="Sanchez-Quinn"/>
    <n v="266.93"/>
  </r>
  <r>
    <s v="ORD2469"/>
    <x v="974"/>
    <x v="0"/>
    <s v="PROD116"/>
    <x v="1465"/>
    <n v="814.94"/>
    <n v="6"/>
    <x v="1"/>
    <s v="Synergize Cross-Platform Vortals"/>
    <x v="2"/>
    <s v="Edwards Group"/>
    <n v="87.18"/>
  </r>
  <r>
    <s v="ORD2470"/>
    <x v="975"/>
    <x v="0"/>
    <s v="PROD109"/>
    <x v="1466"/>
    <n v="658.97"/>
    <n v="4"/>
    <x v="1"/>
    <s v="Orchestrate E-Business Niches"/>
    <x v="2"/>
    <s v="Johnson LLC"/>
    <n v="198.99"/>
  </r>
  <r>
    <s v="ORD2471"/>
    <x v="210"/>
    <x v="3"/>
    <s v="PROD107"/>
    <x v="1467"/>
    <n v="619.16999999999996"/>
    <n v="5"/>
    <x v="0"/>
    <s v="Utilize Back-End Models"/>
    <x v="2"/>
    <s v="Lewis-Holden"/>
    <n v="241.53"/>
  </r>
  <r>
    <s v="ORD2472"/>
    <x v="628"/>
    <x v="3"/>
    <s v="PROD157"/>
    <x v="1468"/>
    <n v="181.31"/>
    <n v="14"/>
    <x v="1"/>
    <s v="Implement Rich Platforms"/>
    <x v="1"/>
    <s v="Parker, Anderson and Salazar"/>
    <n v="53.59"/>
  </r>
  <r>
    <s v="ORD2473"/>
    <x v="971"/>
    <x v="2"/>
    <s v="PROD174"/>
    <x v="1469"/>
    <n v="509.1"/>
    <n v="12"/>
    <x v="1"/>
    <s v="Disintermediate Scalable Bandwidth"/>
    <x v="1"/>
    <s v="Levy PLC"/>
    <n v="19.86"/>
  </r>
  <r>
    <s v="ORD2474"/>
    <x v="484"/>
    <x v="3"/>
    <s v="PROD150"/>
    <x v="1470"/>
    <n v="456.36"/>
    <n v="3"/>
    <x v="1"/>
    <s v="Evolve Intuitive Bandwidth"/>
    <x v="0"/>
    <s v="Rogers Group"/>
    <n v="131.63"/>
  </r>
  <r>
    <s v="ORD2475"/>
    <x v="976"/>
    <x v="1"/>
    <s v="PROD158"/>
    <x v="1471"/>
    <n v="794.76"/>
    <n v="12"/>
    <x v="2"/>
    <s v="Brand Web-Enabled Solutions"/>
    <x v="1"/>
    <s v="Russell Group"/>
    <n v="51.67"/>
  </r>
  <r>
    <s v="ORD2476"/>
    <x v="18"/>
    <x v="3"/>
    <s v="PROD123"/>
    <x v="1472"/>
    <n v="805.65"/>
    <n v="16"/>
    <x v="1"/>
    <s v="Redefine Real-Time Convergence"/>
    <x v="1"/>
    <s v="Hayes, Peters and Douglas"/>
    <n v="78.260000000000005"/>
  </r>
  <r>
    <s v="ORD2477"/>
    <x v="147"/>
    <x v="1"/>
    <s v="PROD152"/>
    <x v="1473"/>
    <n v="645.54999999999995"/>
    <n v="18"/>
    <x v="1"/>
    <s v="Reinvent Frictionless Roi"/>
    <x v="2"/>
    <s v="Bridges, Castillo and Rodriguez"/>
    <n v="253.89"/>
  </r>
  <r>
    <s v="ORD2478"/>
    <x v="977"/>
    <x v="2"/>
    <s v="PROD101"/>
    <x v="1474"/>
    <n v="697.4"/>
    <n v="6"/>
    <x v="1"/>
    <s v="Harness Proactive Eyeballs"/>
    <x v="1"/>
    <s v="Moran and Sons"/>
    <n v="58.01"/>
  </r>
  <r>
    <s v="ORD2479"/>
    <x v="785"/>
    <x v="1"/>
    <s v="PROD172"/>
    <x v="1475"/>
    <n v="505.57"/>
    <n v="8"/>
    <x v="1"/>
    <s v="E-Enable Virtual Methodologies"/>
    <x v="0"/>
    <s v="Floyd-Love"/>
    <n v="283.64999999999998"/>
  </r>
  <r>
    <s v="ORD2480"/>
    <x v="249"/>
    <x v="0"/>
    <s v="PROD198"/>
    <x v="1476"/>
    <n v="773.54"/>
    <n v="15"/>
    <x v="1"/>
    <s v="Visualize Dynamic E-Commerce"/>
    <x v="2"/>
    <s v="Jones LLC"/>
    <n v="92.61"/>
  </r>
  <r>
    <s v="ORD2481"/>
    <x v="978"/>
    <x v="2"/>
    <s v="PROD175"/>
    <x v="1477"/>
    <n v="648.34"/>
    <n v="10"/>
    <x v="1"/>
    <s v="Empower Bleeding-Edge Action-Items"/>
    <x v="2"/>
    <s v="Gray, Hayes and Banks"/>
    <n v="204.26"/>
  </r>
  <r>
    <s v="ORD2482"/>
    <x v="979"/>
    <x v="0"/>
    <s v="PROD120"/>
    <x v="1478"/>
    <n v="686.79"/>
    <n v="17"/>
    <x v="0"/>
    <s v="Mesh B2B Platforms"/>
    <x v="2"/>
    <s v="Stevens, Walton and Riddle"/>
    <n v="236.57"/>
  </r>
  <r>
    <s v="ORD2483"/>
    <x v="49"/>
    <x v="0"/>
    <s v="PROD177"/>
    <x v="1479"/>
    <n v="422.45"/>
    <n v="14"/>
    <x v="2"/>
    <s v="Deploy Granular Channels"/>
    <x v="2"/>
    <s v="Barnes Ltd"/>
    <n v="288.99"/>
  </r>
  <r>
    <s v="ORD2484"/>
    <x v="334"/>
    <x v="3"/>
    <s v="PROD145"/>
    <x v="1480"/>
    <n v="923.18"/>
    <n v="3"/>
    <x v="2"/>
    <s v="Innovate Strategic Systems"/>
    <x v="0"/>
    <s v="Mcfarland, Parker and Armstrong"/>
    <n v="70.239999999999995"/>
  </r>
  <r>
    <s v="ORD2485"/>
    <x v="964"/>
    <x v="1"/>
    <s v="PROD118"/>
    <x v="1481"/>
    <n v="851.68"/>
    <n v="4"/>
    <x v="0"/>
    <s v="Engineer Real-Time Architectures"/>
    <x v="2"/>
    <s v="James and Sons"/>
    <n v="127.23"/>
  </r>
  <r>
    <s v="ORD2486"/>
    <x v="980"/>
    <x v="3"/>
    <s v="PROD138"/>
    <x v="1482"/>
    <n v="984.85"/>
    <n v="18"/>
    <x v="1"/>
    <s v="Deliver Viral Eyeballs"/>
    <x v="0"/>
    <s v="Estes, Chan and Thomas"/>
    <n v="16.89"/>
  </r>
  <r>
    <s v="ORD2487"/>
    <x v="49"/>
    <x v="2"/>
    <s v="PROD191"/>
    <x v="1483"/>
    <n v="609.39"/>
    <n v="9"/>
    <x v="1"/>
    <s v="Synergize Frictionless Synergies"/>
    <x v="2"/>
    <s v="Hester and Sons"/>
    <n v="289.06"/>
  </r>
  <r>
    <s v="ORD2488"/>
    <x v="269"/>
    <x v="3"/>
    <s v="PROD115"/>
    <x v="1484"/>
    <n v="966.66"/>
    <n v="3"/>
    <x v="1"/>
    <s v="Morph World-Class Synergies"/>
    <x v="1"/>
    <s v="Bryant Ltd"/>
    <n v="20.69"/>
  </r>
  <r>
    <s v="ORD2489"/>
    <x v="208"/>
    <x v="0"/>
    <s v="PROD144"/>
    <x v="1485"/>
    <n v="781.42"/>
    <n v="17"/>
    <x v="0"/>
    <s v="Expedite Synergistic Web-Readiness"/>
    <x v="1"/>
    <s v="Dunlap, Carpenter and Monroe"/>
    <n v="289.66000000000003"/>
  </r>
  <r>
    <s v="ORD2490"/>
    <x v="981"/>
    <x v="3"/>
    <s v="PROD186"/>
    <x v="1486"/>
    <n v="879.28"/>
    <n v="12"/>
    <x v="0"/>
    <s v="Reinvent Mission-Critical Markets"/>
    <x v="2"/>
    <s v="Gilbert-Sanders"/>
    <n v="154.21"/>
  </r>
  <r>
    <s v="ORD2491"/>
    <x v="430"/>
    <x v="3"/>
    <s v="PROD130"/>
    <x v="1487"/>
    <n v="61.6"/>
    <n v="16"/>
    <x v="0"/>
    <s v="Synthesize Wireless Initiatives"/>
    <x v="1"/>
    <s v="Mosley Ltd"/>
    <n v="162.69999999999999"/>
  </r>
  <r>
    <s v="ORD2492"/>
    <x v="526"/>
    <x v="3"/>
    <s v="PROD155"/>
    <x v="1488"/>
    <n v="343.28"/>
    <n v="8"/>
    <x v="0"/>
    <s v="Incentivize User-Centric Mindshare"/>
    <x v="1"/>
    <s v="Becker, Wright and Wong"/>
    <n v="38.51"/>
  </r>
  <r>
    <s v="ORD2493"/>
    <x v="982"/>
    <x v="0"/>
    <s v="PROD160"/>
    <x v="1489"/>
    <n v="679.78"/>
    <n v="20"/>
    <x v="2"/>
    <s v="Deliver Extensible Partnerships"/>
    <x v="2"/>
    <s v="Martin, Paul and Salazar"/>
    <n v="43.76"/>
  </r>
  <r>
    <s v="ORD2494"/>
    <x v="983"/>
    <x v="1"/>
    <s v="PROD176"/>
    <x v="1490"/>
    <n v="409.45"/>
    <n v="7"/>
    <x v="1"/>
    <s v="Facilitate Integrated E-Business"/>
    <x v="0"/>
    <s v="Chang-Vargas"/>
    <n v="130.33000000000001"/>
  </r>
  <r>
    <s v="ORD2495"/>
    <x v="984"/>
    <x v="0"/>
    <s v="PROD117"/>
    <x v="1491"/>
    <n v="511.29"/>
    <n v="3"/>
    <x v="2"/>
    <s v="Revolutionize Efficient Niches"/>
    <x v="1"/>
    <s v="Lopez-Torres"/>
    <n v="23.02"/>
  </r>
  <r>
    <s v="ORD2496"/>
    <x v="357"/>
    <x v="1"/>
    <s v="PROD164"/>
    <x v="1492"/>
    <n v="104.35"/>
    <n v="9"/>
    <x v="0"/>
    <s v="Transition Compelling Web-Readiness"/>
    <x v="2"/>
    <s v="Wood-Beck"/>
    <n v="88.34"/>
  </r>
  <r>
    <s v="ORD2497"/>
    <x v="835"/>
    <x v="2"/>
    <s v="PROD156"/>
    <x v="1493"/>
    <n v="800.38"/>
    <n v="11"/>
    <x v="2"/>
    <s v="Empower Killer Info-Mediaries"/>
    <x v="2"/>
    <s v="Jones Ltd"/>
    <n v="213.24"/>
  </r>
  <r>
    <s v="ORD2498"/>
    <x v="985"/>
    <x v="0"/>
    <s v="PROD173"/>
    <x v="1494"/>
    <n v="546.08000000000004"/>
    <n v="7"/>
    <x v="1"/>
    <s v="Whiteboard Sticky Content"/>
    <x v="2"/>
    <s v="Wolfe Group"/>
    <n v="82.16"/>
  </r>
  <r>
    <s v="ORD2499"/>
    <x v="405"/>
    <x v="0"/>
    <s v="PROD159"/>
    <x v="1495"/>
    <n v="399.67"/>
    <n v="3"/>
    <x v="1"/>
    <s v="Mesh Intuitive Supply-Chains"/>
    <x v="1"/>
    <s v="Soto, Barnett and Heath"/>
    <n v="281"/>
  </r>
  <r>
    <s v="ORD2500"/>
    <x v="476"/>
    <x v="3"/>
    <s v="PROD122"/>
    <x v="1496"/>
    <n v="18.28"/>
    <n v="9"/>
    <x v="1"/>
    <s v="Empower Dot-Com Deliverables"/>
    <x v="1"/>
    <s v="Davis LLC"/>
    <n v="250.66"/>
  </r>
  <r>
    <s v="ORD2501"/>
    <x v="676"/>
    <x v="1"/>
    <s v="PROD183"/>
    <x v="1497"/>
    <n v="676.8"/>
    <n v="14"/>
    <x v="0"/>
    <s v="Incentivize Front-End Mindshare"/>
    <x v="1"/>
    <s v="Phillips-Tran"/>
    <n v="196.86"/>
  </r>
  <r>
    <s v="ORD2502"/>
    <x v="986"/>
    <x v="1"/>
    <s v="PROD137"/>
    <x v="1498"/>
    <n v="569.24"/>
    <n v="20"/>
    <x v="2"/>
    <s v="Optimize Collaborative Initiatives"/>
    <x v="1"/>
    <s v="Adkins Ltd"/>
    <n v="34.46"/>
  </r>
  <r>
    <s v="ORD2503"/>
    <x v="682"/>
    <x v="1"/>
    <s v="PROD156"/>
    <x v="1499"/>
    <n v="281.37"/>
    <n v="1"/>
    <x v="0"/>
    <s v="Empower Killer Info-Mediaries"/>
    <x v="2"/>
    <s v="Jones Ltd"/>
    <n v="213.24"/>
  </r>
  <r>
    <s v="ORD2504"/>
    <x v="987"/>
    <x v="2"/>
    <s v="PROD179"/>
    <x v="1500"/>
    <n v="460.48"/>
    <n v="20"/>
    <x v="0"/>
    <s v="Target Viral Methodologies"/>
    <x v="1"/>
    <s v="Alvarez, Myers and Walter"/>
    <n v="149.26"/>
  </r>
  <r>
    <s v="ORD2505"/>
    <x v="519"/>
    <x v="2"/>
    <s v="PROD160"/>
    <x v="1501"/>
    <n v="674.2"/>
    <n v="20"/>
    <x v="0"/>
    <s v="Deliver Extensible Partnerships"/>
    <x v="2"/>
    <s v="Martin, Paul and Salazar"/>
    <n v="43.76"/>
  </r>
  <r>
    <s v="ORD2506"/>
    <x v="314"/>
    <x v="1"/>
    <s v="PROD196"/>
    <x v="1502"/>
    <n v="295.99"/>
    <n v="19"/>
    <x v="1"/>
    <s v="Strategize E-Business Content"/>
    <x v="1"/>
    <s v="Patterson LLC"/>
    <n v="294.02"/>
  </r>
  <r>
    <s v="ORD2507"/>
    <x v="988"/>
    <x v="0"/>
    <s v="PROD142"/>
    <x v="1503"/>
    <n v="705.83"/>
    <n v="8"/>
    <x v="1"/>
    <s v="Target Bricks-And-Clicks Channels"/>
    <x v="1"/>
    <s v="Dunn, Christensen and Meyer"/>
    <n v="126.86"/>
  </r>
  <r>
    <s v="ORD2508"/>
    <x v="235"/>
    <x v="1"/>
    <s v="PROD160"/>
    <x v="1504"/>
    <n v="570.14"/>
    <n v="13"/>
    <x v="0"/>
    <s v="Deliver Extensible Partnerships"/>
    <x v="2"/>
    <s v="Martin, Paul and Salazar"/>
    <n v="43.76"/>
  </r>
  <r>
    <s v="ORD2509"/>
    <x v="753"/>
    <x v="1"/>
    <s v="PROD160"/>
    <x v="1505"/>
    <n v="281.39999999999998"/>
    <n v="17"/>
    <x v="0"/>
    <s v="Deliver Extensible Partnerships"/>
    <x v="2"/>
    <s v="Martin, Paul and Salazar"/>
    <n v="43.76"/>
  </r>
  <r>
    <s v="ORD2510"/>
    <x v="989"/>
    <x v="0"/>
    <s v="PROD131"/>
    <x v="1506"/>
    <n v="57.35"/>
    <n v="18"/>
    <x v="2"/>
    <s v="Scale Bleeding-Edge Schemas"/>
    <x v="1"/>
    <s v="Frazier-Schneider"/>
    <n v="54.8"/>
  </r>
  <r>
    <s v="ORD2511"/>
    <x v="990"/>
    <x v="2"/>
    <s v="PROD106"/>
    <x v="1507"/>
    <n v="512.38"/>
    <n v="17"/>
    <x v="2"/>
    <s v="Synergize End-To-End Supply-Chains"/>
    <x v="0"/>
    <s v="Higgins-Espinoza"/>
    <n v="279.8"/>
  </r>
  <r>
    <s v="ORD2512"/>
    <x v="991"/>
    <x v="2"/>
    <s v="PROD141"/>
    <x v="1508"/>
    <n v="278.62"/>
    <n v="4"/>
    <x v="2"/>
    <s v="Re-Contextualize Integrated Info-Mediaries"/>
    <x v="1"/>
    <s v="Jones-Schroeder"/>
    <n v="26.02"/>
  </r>
  <r>
    <s v="ORD2513"/>
    <x v="992"/>
    <x v="3"/>
    <s v="PROD188"/>
    <x v="1509"/>
    <n v="323.64999999999998"/>
    <n v="13"/>
    <x v="1"/>
    <s v="Transition Mission-Critical Interfaces"/>
    <x v="0"/>
    <s v="Weaver Ltd"/>
    <n v="34.64"/>
  </r>
  <r>
    <s v="ORD2514"/>
    <x v="993"/>
    <x v="2"/>
    <s v="PROD141"/>
    <x v="1510"/>
    <n v="134.52000000000001"/>
    <n v="12"/>
    <x v="0"/>
    <s v="Re-Contextualize Integrated Info-Mediaries"/>
    <x v="1"/>
    <s v="Jones-Schroeder"/>
    <n v="26.02"/>
  </r>
  <r>
    <s v="ORD2515"/>
    <x v="354"/>
    <x v="1"/>
    <s v="PROD165"/>
    <x v="1511"/>
    <n v="191.72"/>
    <n v="7"/>
    <x v="2"/>
    <s v="Benchmark Cross-Platform Markets"/>
    <x v="2"/>
    <s v="Murphy, Mathews and Wilson"/>
    <n v="78.88"/>
  </r>
  <r>
    <s v="ORD2516"/>
    <x v="334"/>
    <x v="3"/>
    <s v="PROD198"/>
    <x v="1512"/>
    <n v="382.38"/>
    <n v="9"/>
    <x v="2"/>
    <s v="Visualize Dynamic E-Commerce"/>
    <x v="2"/>
    <s v="Jones LLC"/>
    <n v="92.61"/>
  </r>
  <r>
    <s v="ORD2517"/>
    <x v="994"/>
    <x v="0"/>
    <s v="PROD157"/>
    <x v="1513"/>
    <n v="993.73"/>
    <n v="14"/>
    <x v="2"/>
    <s v="Implement Rich Platforms"/>
    <x v="1"/>
    <s v="Parker, Anderson and Salazar"/>
    <n v="53.59"/>
  </r>
  <r>
    <s v="ORD2518"/>
    <x v="653"/>
    <x v="2"/>
    <s v="PROD171"/>
    <x v="1514"/>
    <n v="249.66"/>
    <n v="5"/>
    <x v="0"/>
    <s v="Scale 24/365 Networks"/>
    <x v="2"/>
    <s v="Kim-Hamilton"/>
    <n v="157.55000000000001"/>
  </r>
  <r>
    <s v="ORD2519"/>
    <x v="193"/>
    <x v="3"/>
    <s v="PROD192"/>
    <x v="1515"/>
    <n v="944.48"/>
    <n v="8"/>
    <x v="2"/>
    <s v="Drive Compelling E-Services"/>
    <x v="0"/>
    <s v="Morris-Villanueva"/>
    <n v="27.22"/>
  </r>
  <r>
    <s v="ORD2520"/>
    <x v="995"/>
    <x v="0"/>
    <s v="PROD103"/>
    <x v="1516"/>
    <n v="770.31"/>
    <n v="16"/>
    <x v="0"/>
    <s v="Monetize Collaborative Metrics"/>
    <x v="1"/>
    <s v="Ramirez-Brown"/>
    <n v="286.04000000000002"/>
  </r>
  <r>
    <s v="ORD2521"/>
    <x v="996"/>
    <x v="3"/>
    <s v="PROD149"/>
    <x v="1517"/>
    <n v="311.89999999999998"/>
    <n v="12"/>
    <x v="1"/>
    <s v="Envisioneer B2C Web-Readiness"/>
    <x v="1"/>
    <s v="Kemp Group"/>
    <n v="97.23"/>
  </r>
  <r>
    <s v="ORD2522"/>
    <x v="162"/>
    <x v="1"/>
    <s v="PROD114"/>
    <x v="1518"/>
    <n v="319.49"/>
    <n v="9"/>
    <x v="0"/>
    <s v="Orchestrate User-Centric Platforms"/>
    <x v="2"/>
    <s v="Wells Ltd"/>
    <n v="201.87"/>
  </r>
  <r>
    <s v="ORD2523"/>
    <x v="997"/>
    <x v="0"/>
    <s v="PROD133"/>
    <x v="1519"/>
    <n v="895.6"/>
    <n v="6"/>
    <x v="1"/>
    <s v="Re-Intermediate Seamless Applications"/>
    <x v="0"/>
    <s v="Welch-Reed"/>
    <n v="45.82"/>
  </r>
  <r>
    <s v="ORD2524"/>
    <x v="986"/>
    <x v="2"/>
    <s v="PROD163"/>
    <x v="1520"/>
    <n v="699.09"/>
    <n v="4"/>
    <x v="1"/>
    <s v="Grow Back-End Supply-Chains"/>
    <x v="1"/>
    <s v="Green LLC"/>
    <n v="140.08000000000001"/>
  </r>
  <r>
    <s v="ORD2525"/>
    <x v="614"/>
    <x v="2"/>
    <s v="PROD194"/>
    <x v="1521"/>
    <n v="463.07"/>
    <n v="2"/>
    <x v="2"/>
    <s v="Leverage Scalable Interfaces"/>
    <x v="0"/>
    <s v="Kaufman-Jones"/>
    <n v="73.33"/>
  </r>
  <r>
    <s v="ORD2526"/>
    <x v="998"/>
    <x v="0"/>
    <s v="PROD141"/>
    <x v="1522"/>
    <n v="570.6"/>
    <n v="19"/>
    <x v="2"/>
    <s v="Re-Contextualize Integrated Info-Mediaries"/>
    <x v="1"/>
    <s v="Jones-Schroeder"/>
    <n v="26.02"/>
  </r>
  <r>
    <s v="ORD2527"/>
    <x v="933"/>
    <x v="2"/>
    <s v="PROD133"/>
    <x v="1523"/>
    <n v="820.05"/>
    <n v="5"/>
    <x v="0"/>
    <s v="Re-Intermediate Seamless Applications"/>
    <x v="0"/>
    <s v="Welch-Reed"/>
    <n v="45.82"/>
  </r>
  <r>
    <s v="ORD2528"/>
    <x v="281"/>
    <x v="2"/>
    <s v="PROD177"/>
    <x v="1524"/>
    <n v="722.1"/>
    <n v="14"/>
    <x v="1"/>
    <s v="Deploy Granular Channels"/>
    <x v="2"/>
    <s v="Barnes Ltd"/>
    <n v="288.99"/>
  </r>
  <r>
    <s v="ORD2529"/>
    <x v="273"/>
    <x v="1"/>
    <s v="PROD159"/>
    <x v="1525"/>
    <n v="708.73"/>
    <n v="11"/>
    <x v="0"/>
    <s v="Mesh Intuitive Supply-Chains"/>
    <x v="1"/>
    <s v="Soto, Barnett and Heath"/>
    <n v="281"/>
  </r>
  <r>
    <s v="ORD2530"/>
    <x v="617"/>
    <x v="3"/>
    <s v="PROD172"/>
    <x v="1526"/>
    <n v="354.05"/>
    <n v="2"/>
    <x v="1"/>
    <s v="E-Enable Virtual Methodologies"/>
    <x v="0"/>
    <s v="Floyd-Love"/>
    <n v="283.64999999999998"/>
  </r>
  <r>
    <s v="ORD2531"/>
    <x v="999"/>
    <x v="2"/>
    <s v="PROD175"/>
    <x v="1527"/>
    <n v="941.14"/>
    <n v="16"/>
    <x v="2"/>
    <s v="Empower Bleeding-Edge Action-Items"/>
    <x v="2"/>
    <s v="Gray, Hayes and Banks"/>
    <n v="204.26"/>
  </r>
  <r>
    <s v="ORD2532"/>
    <x v="1000"/>
    <x v="3"/>
    <s v="PROD110"/>
    <x v="1528"/>
    <n v="515.71"/>
    <n v="4"/>
    <x v="2"/>
    <s v="E-Enable Holistic Supply-Chains"/>
    <x v="2"/>
    <s v="Lin-Mcdaniel"/>
    <n v="160.33000000000001"/>
  </r>
  <r>
    <s v="ORD2533"/>
    <x v="1001"/>
    <x v="0"/>
    <s v="PROD145"/>
    <x v="1529"/>
    <n v="611.65"/>
    <n v="9"/>
    <x v="0"/>
    <s v="Innovate Strategic Systems"/>
    <x v="0"/>
    <s v="Mcfarland, Parker and Armstrong"/>
    <n v="70.239999999999995"/>
  </r>
  <r>
    <s v="ORD2534"/>
    <x v="1002"/>
    <x v="2"/>
    <s v="PROD107"/>
    <x v="1530"/>
    <n v="893.96"/>
    <n v="1"/>
    <x v="2"/>
    <s v="Utilize Back-End Models"/>
    <x v="2"/>
    <s v="Lewis-Holden"/>
    <n v="241.53"/>
  </r>
  <r>
    <s v="ORD2535"/>
    <x v="408"/>
    <x v="0"/>
    <s v="PROD136"/>
    <x v="1531"/>
    <n v="492.11"/>
    <n v="16"/>
    <x v="1"/>
    <s v="Evolve Innovative Web Services"/>
    <x v="2"/>
    <s v="Bush Inc"/>
    <n v="87.75"/>
  </r>
  <r>
    <s v="ORD2536"/>
    <x v="1003"/>
    <x v="0"/>
    <s v="PROD128"/>
    <x v="1532"/>
    <n v="16.22"/>
    <n v="8"/>
    <x v="2"/>
    <s v="Brand Distributed Info-Mediaries"/>
    <x v="2"/>
    <s v="Garcia Ltd"/>
    <n v="114.48"/>
  </r>
  <r>
    <s v="ORD2537"/>
    <x v="1004"/>
    <x v="1"/>
    <s v="PROD149"/>
    <x v="1533"/>
    <n v="29.98"/>
    <n v="7"/>
    <x v="2"/>
    <s v="Envisioneer B2C Web-Readiness"/>
    <x v="1"/>
    <s v="Kemp Group"/>
    <n v="97.23"/>
  </r>
  <r>
    <s v="ORD2538"/>
    <x v="1005"/>
    <x v="3"/>
    <s v="PROD140"/>
    <x v="1534"/>
    <n v="332.85"/>
    <n v="18"/>
    <x v="1"/>
    <s v="Extend Bricks-And-Clicks Architectures"/>
    <x v="2"/>
    <s v="Fuller PLC"/>
    <n v="202.99"/>
  </r>
  <r>
    <s v="ORD2539"/>
    <x v="736"/>
    <x v="1"/>
    <s v="PROD145"/>
    <x v="1535"/>
    <n v="506.1"/>
    <n v="1"/>
    <x v="2"/>
    <s v="Innovate Strategic Systems"/>
    <x v="0"/>
    <s v="Mcfarland, Parker and Armstrong"/>
    <n v="70.239999999999995"/>
  </r>
  <r>
    <s v="ORD2540"/>
    <x v="814"/>
    <x v="2"/>
    <s v="PROD127"/>
    <x v="1536"/>
    <n v="475.44"/>
    <n v="6"/>
    <x v="2"/>
    <s v="Deliver Viral Channels"/>
    <x v="2"/>
    <s v="Parker LLC"/>
    <n v="45.41"/>
  </r>
  <r>
    <s v="ORD2541"/>
    <x v="512"/>
    <x v="0"/>
    <s v="PROD199"/>
    <x v="1537"/>
    <n v="78.790000000000006"/>
    <n v="4"/>
    <x v="1"/>
    <s v="Scale Cross-Platform Web Services"/>
    <x v="2"/>
    <s v="Morrow, Brock and Lewis"/>
    <n v="115.21"/>
  </r>
  <r>
    <s v="ORD2542"/>
    <x v="1006"/>
    <x v="1"/>
    <s v="PROD185"/>
    <x v="1538"/>
    <n v="706.34"/>
    <n v="19"/>
    <x v="2"/>
    <s v="Generate End-To-End Functionalities"/>
    <x v="1"/>
    <s v="Sanchez-Stewart"/>
    <n v="196.15"/>
  </r>
  <r>
    <s v="ORD2543"/>
    <x v="1007"/>
    <x v="1"/>
    <s v="PROD143"/>
    <x v="1539"/>
    <n v="723.74"/>
    <n v="10"/>
    <x v="1"/>
    <s v="E-Enable Synergistic Vortals"/>
    <x v="1"/>
    <s v="Guzman Group"/>
    <n v="278.43"/>
  </r>
  <r>
    <s v="ORD2544"/>
    <x v="670"/>
    <x v="0"/>
    <s v="PROD131"/>
    <x v="1540"/>
    <n v="462.82"/>
    <n v="2"/>
    <x v="2"/>
    <s v="Scale Bleeding-Edge Schemas"/>
    <x v="1"/>
    <s v="Frazier-Schneider"/>
    <n v="54.8"/>
  </r>
  <r>
    <s v="ORD2545"/>
    <x v="449"/>
    <x v="2"/>
    <s v="PROD195"/>
    <x v="1541"/>
    <n v="404.82"/>
    <n v="1"/>
    <x v="1"/>
    <s v="Reinvent Out-Of-The-Box Models"/>
    <x v="0"/>
    <s v="Wagner-Curtis"/>
    <n v="172.34"/>
  </r>
  <r>
    <s v="ORD2546"/>
    <x v="351"/>
    <x v="1"/>
    <s v="PROD133"/>
    <x v="1542"/>
    <n v="848.08"/>
    <n v="16"/>
    <x v="0"/>
    <s v="Re-Intermediate Seamless Applications"/>
    <x v="0"/>
    <s v="Welch-Reed"/>
    <n v="45.82"/>
  </r>
  <r>
    <s v="ORD2547"/>
    <x v="1008"/>
    <x v="0"/>
    <s v="PROD145"/>
    <x v="1543"/>
    <n v="186.67"/>
    <n v="2"/>
    <x v="1"/>
    <s v="Innovate Strategic Systems"/>
    <x v="0"/>
    <s v="Mcfarland, Parker and Armstrong"/>
    <n v="70.239999999999995"/>
  </r>
  <r>
    <s v="ORD2548"/>
    <x v="912"/>
    <x v="3"/>
    <s v="PROD104"/>
    <x v="1544"/>
    <n v="221.57"/>
    <n v="20"/>
    <x v="2"/>
    <s v="Implement Clicks-And-Mortar Partnerships"/>
    <x v="1"/>
    <s v="Smith Inc"/>
    <n v="195.53"/>
  </r>
  <r>
    <s v="ORD2549"/>
    <x v="316"/>
    <x v="0"/>
    <s v="PROD179"/>
    <x v="1545"/>
    <n v="961.87"/>
    <n v="13"/>
    <x v="2"/>
    <s v="Target Viral Methodologies"/>
    <x v="1"/>
    <s v="Alvarez, Myers and Walter"/>
    <n v="149.26"/>
  </r>
  <r>
    <s v="ORD2550"/>
    <x v="1009"/>
    <x v="1"/>
    <s v="PROD185"/>
    <x v="1546"/>
    <n v="422.15"/>
    <n v="6"/>
    <x v="1"/>
    <s v="Generate End-To-End Functionalities"/>
    <x v="1"/>
    <s v="Sanchez-Stewart"/>
    <n v="196.15"/>
  </r>
  <r>
    <s v="ORD2551"/>
    <x v="847"/>
    <x v="1"/>
    <s v="PROD188"/>
    <x v="1547"/>
    <n v="321.58999999999997"/>
    <n v="12"/>
    <x v="2"/>
    <s v="Transition Mission-Critical Interfaces"/>
    <x v="0"/>
    <s v="Weaver Ltd"/>
    <n v="34.64"/>
  </r>
  <r>
    <s v="ORD2552"/>
    <x v="965"/>
    <x v="2"/>
    <s v="PROD137"/>
    <x v="1548"/>
    <n v="72.27"/>
    <n v="9"/>
    <x v="2"/>
    <s v="Optimize Collaborative Initiatives"/>
    <x v="1"/>
    <s v="Adkins Ltd"/>
    <n v="34.46"/>
  </r>
  <r>
    <s v="ORD2553"/>
    <x v="577"/>
    <x v="1"/>
    <s v="PROD121"/>
    <x v="1549"/>
    <n v="718.43"/>
    <n v="8"/>
    <x v="1"/>
    <s v="Whiteboard B2B Content"/>
    <x v="0"/>
    <s v="Romero PLC"/>
    <n v="93.81"/>
  </r>
  <r>
    <s v="ORD2554"/>
    <x v="1010"/>
    <x v="0"/>
    <s v="PROD135"/>
    <x v="1550"/>
    <n v="129.04"/>
    <n v="9"/>
    <x v="2"/>
    <s v="Optimize 24/365 E-Services"/>
    <x v="0"/>
    <s v="Chase Ltd"/>
    <n v="100.35"/>
  </r>
  <r>
    <s v="ORD2555"/>
    <x v="1011"/>
    <x v="0"/>
    <s v="PROD112"/>
    <x v="1551"/>
    <n v="319.24"/>
    <n v="12"/>
    <x v="2"/>
    <s v="Seize Clicks-And-Mortar Platforms"/>
    <x v="0"/>
    <s v="Owens, Campos and Wood"/>
    <n v="271.16000000000003"/>
  </r>
  <r>
    <s v="ORD2556"/>
    <x v="149"/>
    <x v="2"/>
    <s v="PROD115"/>
    <x v="1552"/>
    <n v="977.44"/>
    <n v="14"/>
    <x v="2"/>
    <s v="Morph World-Class Synergies"/>
    <x v="1"/>
    <s v="Bryant Ltd"/>
    <n v="20.69"/>
  </r>
  <r>
    <s v="ORD2557"/>
    <x v="779"/>
    <x v="2"/>
    <s v="PROD106"/>
    <x v="1553"/>
    <n v="743.98"/>
    <n v="15"/>
    <x v="1"/>
    <s v="Synergize End-To-End Supply-Chains"/>
    <x v="0"/>
    <s v="Higgins-Espinoza"/>
    <n v="279.8"/>
  </r>
  <r>
    <s v="ORD2558"/>
    <x v="940"/>
    <x v="1"/>
    <s v="PROD136"/>
    <x v="1554"/>
    <n v="211.53"/>
    <n v="12"/>
    <x v="0"/>
    <s v="Evolve Innovative Web Services"/>
    <x v="2"/>
    <s v="Bush Inc"/>
    <n v="87.75"/>
  </r>
  <r>
    <s v="ORD2559"/>
    <x v="870"/>
    <x v="0"/>
    <s v="PROD184"/>
    <x v="1555"/>
    <n v="805.01"/>
    <n v="2"/>
    <x v="2"/>
    <s v="Embrace 24/365 Functionalities"/>
    <x v="0"/>
    <s v="Smith LLC"/>
    <n v="204.04"/>
  </r>
  <r>
    <s v="ORD2560"/>
    <x v="1012"/>
    <x v="0"/>
    <s v="PROD153"/>
    <x v="1556"/>
    <n v="799.22"/>
    <n v="14"/>
    <x v="0"/>
    <s v="Seize Plug-And-Play Web-Readiness"/>
    <x v="1"/>
    <s v="Joseph, Mayer and Carr"/>
    <n v="102.73"/>
  </r>
  <r>
    <s v="ORD2561"/>
    <x v="678"/>
    <x v="1"/>
    <s v="PROD141"/>
    <x v="1557"/>
    <n v="884.33"/>
    <n v="6"/>
    <x v="2"/>
    <s v="Re-Contextualize Integrated Info-Mediaries"/>
    <x v="1"/>
    <s v="Jones-Schroeder"/>
    <n v="26.02"/>
  </r>
  <r>
    <s v="ORD2562"/>
    <x v="1013"/>
    <x v="3"/>
    <s v="PROD154"/>
    <x v="1558"/>
    <n v="430.54"/>
    <n v="7"/>
    <x v="0"/>
    <s v="Utilize Virtual Partnerships"/>
    <x v="2"/>
    <s v="Smith, Diaz and Heath"/>
    <n v="193.02"/>
  </r>
  <r>
    <s v="ORD2563"/>
    <x v="248"/>
    <x v="0"/>
    <s v="PROD166"/>
    <x v="1559"/>
    <n v="84.96"/>
    <n v="7"/>
    <x v="0"/>
    <s v="Monetize Wireless Functionalities"/>
    <x v="2"/>
    <s v="Robinson, Rodriguez and Hernandez"/>
    <n v="162.22"/>
  </r>
  <r>
    <s v="ORD2564"/>
    <x v="703"/>
    <x v="3"/>
    <s v="PROD167"/>
    <x v="1560"/>
    <n v="163.05000000000001"/>
    <n v="18"/>
    <x v="2"/>
    <s v="Grow Synergistic Infrastructures"/>
    <x v="2"/>
    <s v="Adams-Carter"/>
    <n v="113.17"/>
  </r>
  <r>
    <s v="ORD2565"/>
    <x v="372"/>
    <x v="0"/>
    <s v="PROD131"/>
    <x v="1561"/>
    <n v="93.25"/>
    <n v="17"/>
    <x v="1"/>
    <s v="Scale Bleeding-Edge Schemas"/>
    <x v="1"/>
    <s v="Frazier-Schneider"/>
    <n v="54.8"/>
  </r>
  <r>
    <s v="ORD2566"/>
    <x v="623"/>
    <x v="2"/>
    <s v="PROD135"/>
    <x v="1562"/>
    <n v="693.09"/>
    <n v="1"/>
    <x v="1"/>
    <s v="Optimize 24/365 E-Services"/>
    <x v="0"/>
    <s v="Chase Ltd"/>
    <n v="100.35"/>
  </r>
  <r>
    <s v="ORD2567"/>
    <x v="907"/>
    <x v="1"/>
    <s v="PROD120"/>
    <x v="1563"/>
    <n v="32.340000000000003"/>
    <n v="8"/>
    <x v="2"/>
    <s v="Mesh B2B Platforms"/>
    <x v="2"/>
    <s v="Stevens, Walton and Riddle"/>
    <n v="236.57"/>
  </r>
  <r>
    <s v="ORD2568"/>
    <x v="1014"/>
    <x v="2"/>
    <s v="PROD108"/>
    <x v="1564"/>
    <n v="766.25"/>
    <n v="19"/>
    <x v="2"/>
    <s v="Synergize World-Class Networks"/>
    <x v="1"/>
    <s v="Gomez-Lawrence"/>
    <n v="72.37"/>
  </r>
  <r>
    <s v="ORD2569"/>
    <x v="527"/>
    <x v="0"/>
    <s v="PROD150"/>
    <x v="1565"/>
    <n v="612.91"/>
    <n v="8"/>
    <x v="2"/>
    <s v="Evolve Intuitive Bandwidth"/>
    <x v="0"/>
    <s v="Rogers Group"/>
    <n v="131.63"/>
  </r>
  <r>
    <s v="ORD2570"/>
    <x v="983"/>
    <x v="0"/>
    <s v="PROD162"/>
    <x v="1566"/>
    <n v="489.32"/>
    <n v="2"/>
    <x v="0"/>
    <s v="Reinvent Visionary Niches"/>
    <x v="2"/>
    <s v="Huber-Richmond"/>
    <n v="219.81"/>
  </r>
  <r>
    <s v="ORD2571"/>
    <x v="427"/>
    <x v="2"/>
    <s v="PROD178"/>
    <x v="1567"/>
    <n v="367.59"/>
    <n v="1"/>
    <x v="1"/>
    <s v="Monetize Value-Added Niches"/>
    <x v="0"/>
    <s v="Foster, Velazquez and Lee"/>
    <n v="171.51"/>
  </r>
  <r>
    <s v="ORD2572"/>
    <x v="1015"/>
    <x v="1"/>
    <s v="PROD164"/>
    <x v="1568"/>
    <n v="514.04"/>
    <n v="16"/>
    <x v="1"/>
    <s v="Transition Compelling Web-Readiness"/>
    <x v="2"/>
    <s v="Wood-Beck"/>
    <n v="88.34"/>
  </r>
  <r>
    <s v="ORD2573"/>
    <x v="1016"/>
    <x v="3"/>
    <s v="PROD120"/>
    <x v="1569"/>
    <n v="576.08000000000004"/>
    <n v="16"/>
    <x v="0"/>
    <s v="Mesh B2B Platforms"/>
    <x v="2"/>
    <s v="Stevens, Walton and Riddle"/>
    <n v="236.57"/>
  </r>
  <r>
    <s v="ORD2574"/>
    <x v="1017"/>
    <x v="3"/>
    <s v="PROD122"/>
    <x v="1570"/>
    <n v="914.23"/>
    <n v="3"/>
    <x v="2"/>
    <s v="Empower Dot-Com Deliverables"/>
    <x v="1"/>
    <s v="Davis LLC"/>
    <n v="250.66"/>
  </r>
  <r>
    <s v="ORD2575"/>
    <x v="1018"/>
    <x v="0"/>
    <s v="PROD190"/>
    <x v="1571"/>
    <n v="944.88"/>
    <n v="13"/>
    <x v="0"/>
    <s v="Repurpose End-To-End Networks"/>
    <x v="0"/>
    <s v="Torres-Rush"/>
    <n v="97.02"/>
  </r>
  <r>
    <s v="ORD2576"/>
    <x v="219"/>
    <x v="3"/>
    <s v="PROD112"/>
    <x v="1572"/>
    <n v="886.19"/>
    <n v="12"/>
    <x v="0"/>
    <s v="Seize Clicks-And-Mortar Platforms"/>
    <x v="0"/>
    <s v="Owens, Campos and Wood"/>
    <n v="271.16000000000003"/>
  </r>
  <r>
    <s v="ORD2577"/>
    <x v="742"/>
    <x v="2"/>
    <s v="PROD169"/>
    <x v="1573"/>
    <n v="807.96"/>
    <n v="3"/>
    <x v="2"/>
    <s v="Unleash End-To-End Web Services"/>
    <x v="0"/>
    <s v="Jones Ltd"/>
    <n v="188.02"/>
  </r>
  <r>
    <s v="ORD2578"/>
    <x v="1019"/>
    <x v="1"/>
    <s v="PROD124"/>
    <x v="1574"/>
    <n v="844.82"/>
    <n v="5"/>
    <x v="0"/>
    <s v="Incubate Real-Time E-Tailers"/>
    <x v="1"/>
    <s v="Johnson-Riley"/>
    <n v="86.67"/>
  </r>
  <r>
    <s v="ORD2579"/>
    <x v="1020"/>
    <x v="0"/>
    <s v="PROD187"/>
    <x v="1575"/>
    <n v="591.44000000000005"/>
    <n v="18"/>
    <x v="0"/>
    <s v="Whiteboard Compelling Experiences"/>
    <x v="2"/>
    <s v="Carrillo, Carr and Ball"/>
    <n v="206.54"/>
  </r>
  <r>
    <s v="ORD2580"/>
    <x v="417"/>
    <x v="2"/>
    <s v="PROD112"/>
    <x v="1576"/>
    <n v="897.56"/>
    <n v="7"/>
    <x v="2"/>
    <s v="Seize Clicks-And-Mortar Platforms"/>
    <x v="0"/>
    <s v="Owens, Campos and Wood"/>
    <n v="271.16000000000003"/>
  </r>
  <r>
    <s v="ORD2581"/>
    <x v="566"/>
    <x v="1"/>
    <s v="PROD175"/>
    <x v="1577"/>
    <n v="795.14"/>
    <n v="10"/>
    <x v="1"/>
    <s v="Empower Bleeding-Edge Action-Items"/>
    <x v="2"/>
    <s v="Gray, Hayes and Banks"/>
    <n v="204.26"/>
  </r>
  <r>
    <s v="ORD2582"/>
    <x v="1021"/>
    <x v="0"/>
    <s v="PROD110"/>
    <x v="1578"/>
    <n v="49.88"/>
    <n v="18"/>
    <x v="0"/>
    <s v="E-Enable Holistic Supply-Chains"/>
    <x v="2"/>
    <s v="Lin-Mcdaniel"/>
    <n v="160.33000000000001"/>
  </r>
  <r>
    <s v="ORD2583"/>
    <x v="489"/>
    <x v="1"/>
    <s v="PROD106"/>
    <x v="1579"/>
    <n v="167.58"/>
    <n v="14"/>
    <x v="1"/>
    <s v="Synergize End-To-End Supply-Chains"/>
    <x v="0"/>
    <s v="Higgins-Espinoza"/>
    <n v="279.8"/>
  </r>
  <r>
    <s v="ORD2584"/>
    <x v="216"/>
    <x v="2"/>
    <s v="PROD175"/>
    <x v="1580"/>
    <n v="225.95"/>
    <n v="12"/>
    <x v="1"/>
    <s v="Empower Bleeding-Edge Action-Items"/>
    <x v="2"/>
    <s v="Gray, Hayes and Banks"/>
    <n v="204.26"/>
  </r>
  <r>
    <s v="ORD2585"/>
    <x v="1022"/>
    <x v="3"/>
    <s v="PROD147"/>
    <x v="1581"/>
    <n v="762.15"/>
    <n v="1"/>
    <x v="2"/>
    <s v="Brand B2C Info-Mediaries"/>
    <x v="0"/>
    <s v="Preston Ltd"/>
    <n v="13.46"/>
  </r>
  <r>
    <s v="ORD2586"/>
    <x v="1023"/>
    <x v="3"/>
    <s v="PROD106"/>
    <x v="1582"/>
    <n v="947.57"/>
    <n v="11"/>
    <x v="1"/>
    <s v="Synergize End-To-End Supply-Chains"/>
    <x v="0"/>
    <s v="Higgins-Espinoza"/>
    <n v="279.8"/>
  </r>
  <r>
    <s v="ORD2587"/>
    <x v="491"/>
    <x v="3"/>
    <s v="PROD116"/>
    <x v="1583"/>
    <n v="418.87"/>
    <n v="3"/>
    <x v="0"/>
    <s v="Synergize Cross-Platform Vortals"/>
    <x v="2"/>
    <s v="Edwards Group"/>
    <n v="87.18"/>
  </r>
  <r>
    <s v="ORD2588"/>
    <x v="1024"/>
    <x v="2"/>
    <s v="PROD113"/>
    <x v="1584"/>
    <n v="345.76"/>
    <n v="4"/>
    <x v="2"/>
    <s v="Envisioneer B2B Users"/>
    <x v="0"/>
    <s v="Rogers Group"/>
    <n v="239.16"/>
  </r>
  <r>
    <s v="ORD2589"/>
    <x v="1025"/>
    <x v="0"/>
    <s v="PROD185"/>
    <x v="1585"/>
    <n v="926.59"/>
    <n v="3"/>
    <x v="0"/>
    <s v="Generate End-To-End Functionalities"/>
    <x v="1"/>
    <s v="Sanchez-Stewart"/>
    <n v="196.15"/>
  </r>
  <r>
    <s v="ORD2590"/>
    <x v="917"/>
    <x v="2"/>
    <s v="PROD108"/>
    <x v="1586"/>
    <n v="300.64"/>
    <n v="1"/>
    <x v="0"/>
    <s v="Synergize World-Class Networks"/>
    <x v="1"/>
    <s v="Gomez-Lawrence"/>
    <n v="72.37"/>
  </r>
  <r>
    <s v="ORD2591"/>
    <x v="957"/>
    <x v="3"/>
    <s v="PROD163"/>
    <x v="1587"/>
    <n v="25.85"/>
    <n v="2"/>
    <x v="2"/>
    <s v="Grow Back-End Supply-Chains"/>
    <x v="1"/>
    <s v="Green LLC"/>
    <n v="140.08000000000001"/>
  </r>
  <r>
    <s v="ORD2592"/>
    <x v="1026"/>
    <x v="2"/>
    <s v="PROD108"/>
    <x v="1588"/>
    <n v="389.06"/>
    <n v="6"/>
    <x v="0"/>
    <s v="Synergize World-Class Networks"/>
    <x v="1"/>
    <s v="Gomez-Lawrence"/>
    <n v="72.37"/>
  </r>
  <r>
    <s v="ORD2593"/>
    <x v="629"/>
    <x v="3"/>
    <s v="PROD183"/>
    <x v="1589"/>
    <n v="724.14"/>
    <n v="15"/>
    <x v="2"/>
    <s v="Incentivize Front-End Mindshare"/>
    <x v="1"/>
    <s v="Phillips-Tran"/>
    <n v="196.86"/>
  </r>
  <r>
    <s v="ORD2594"/>
    <x v="531"/>
    <x v="2"/>
    <s v="PROD133"/>
    <x v="1590"/>
    <n v="222.67"/>
    <n v="6"/>
    <x v="2"/>
    <s v="Re-Intermediate Seamless Applications"/>
    <x v="0"/>
    <s v="Welch-Reed"/>
    <n v="45.82"/>
  </r>
  <r>
    <s v="ORD2595"/>
    <x v="1027"/>
    <x v="1"/>
    <s v="PROD143"/>
    <x v="1591"/>
    <n v="419.09"/>
    <n v="12"/>
    <x v="2"/>
    <s v="E-Enable Synergistic Vortals"/>
    <x v="1"/>
    <s v="Guzman Group"/>
    <n v="278.43"/>
  </r>
  <r>
    <s v="ORD2596"/>
    <x v="617"/>
    <x v="0"/>
    <s v="PROD128"/>
    <x v="1592"/>
    <n v="505.06"/>
    <n v="9"/>
    <x v="1"/>
    <s v="Brand Distributed Info-Mediaries"/>
    <x v="2"/>
    <s v="Garcia Ltd"/>
    <n v="114.48"/>
  </r>
  <r>
    <s v="ORD2597"/>
    <x v="1028"/>
    <x v="1"/>
    <s v="PROD109"/>
    <x v="1593"/>
    <n v="929.28"/>
    <n v="14"/>
    <x v="0"/>
    <s v="Orchestrate E-Business Niches"/>
    <x v="2"/>
    <s v="Johnson LLC"/>
    <n v="198.99"/>
  </r>
  <r>
    <s v="ORD2598"/>
    <x v="1029"/>
    <x v="3"/>
    <s v="PROD114"/>
    <x v="1594"/>
    <n v="187.93"/>
    <n v="8"/>
    <x v="2"/>
    <s v="Orchestrate User-Centric Platforms"/>
    <x v="2"/>
    <s v="Wells Ltd"/>
    <n v="201.87"/>
  </r>
  <r>
    <s v="ORD2599"/>
    <x v="870"/>
    <x v="3"/>
    <s v="PROD106"/>
    <x v="1595"/>
    <n v="615.41"/>
    <n v="18"/>
    <x v="1"/>
    <s v="Synergize End-To-End Supply-Chains"/>
    <x v="0"/>
    <s v="Higgins-Espinoza"/>
    <n v="279.8"/>
  </r>
  <r>
    <s v="ORD2600"/>
    <x v="1030"/>
    <x v="0"/>
    <s v="PROD161"/>
    <x v="1596"/>
    <n v="445.82"/>
    <n v="20"/>
    <x v="1"/>
    <s v="Synergize E-Business Deliverables"/>
    <x v="1"/>
    <s v="Crawford, Warren and Williams"/>
    <n v="125.93"/>
  </r>
  <r>
    <s v="ORD2601"/>
    <x v="1031"/>
    <x v="1"/>
    <s v="PROD147"/>
    <x v="1597"/>
    <n v="103.88"/>
    <n v="12"/>
    <x v="2"/>
    <s v="Brand B2C Info-Mediaries"/>
    <x v="0"/>
    <s v="Preston Ltd"/>
    <n v="13.46"/>
  </r>
  <r>
    <s v="ORD2602"/>
    <x v="975"/>
    <x v="1"/>
    <s v="PROD112"/>
    <x v="1598"/>
    <n v="868.62"/>
    <n v="15"/>
    <x v="2"/>
    <s v="Seize Clicks-And-Mortar Platforms"/>
    <x v="0"/>
    <s v="Owens, Campos and Wood"/>
    <n v="271.16000000000003"/>
  </r>
  <r>
    <s v="ORD2603"/>
    <x v="1032"/>
    <x v="3"/>
    <s v="PROD127"/>
    <x v="1599"/>
    <n v="520.72"/>
    <n v="8"/>
    <x v="2"/>
    <s v="Deliver Viral Channels"/>
    <x v="2"/>
    <s v="Parker LLC"/>
    <n v="45.41"/>
  </r>
  <r>
    <s v="ORD2604"/>
    <x v="677"/>
    <x v="2"/>
    <s v="PROD102"/>
    <x v="1600"/>
    <n v="300.64999999999998"/>
    <n v="6"/>
    <x v="2"/>
    <s v="Optimize Transparent E-Markets"/>
    <x v="0"/>
    <s v="Lee, Tyler and Blevins"/>
    <n v="111.22"/>
  </r>
  <r>
    <s v="ORD2605"/>
    <x v="725"/>
    <x v="1"/>
    <s v="PROD185"/>
    <x v="1601"/>
    <n v="68.069999999999993"/>
    <n v="2"/>
    <x v="2"/>
    <s v="Generate End-To-End Functionalities"/>
    <x v="1"/>
    <s v="Sanchez-Stewart"/>
    <n v="196.15"/>
  </r>
  <r>
    <s v="ORD2606"/>
    <x v="1006"/>
    <x v="2"/>
    <s v="PROD136"/>
    <x v="1602"/>
    <n v="168.8"/>
    <n v="1"/>
    <x v="2"/>
    <s v="Evolve Innovative Web Services"/>
    <x v="2"/>
    <s v="Bush Inc"/>
    <n v="87.75"/>
  </r>
  <r>
    <s v="ORD2607"/>
    <x v="1033"/>
    <x v="0"/>
    <s v="PROD135"/>
    <x v="1603"/>
    <n v="319.02999999999997"/>
    <n v="3"/>
    <x v="0"/>
    <s v="Optimize 24/365 E-Services"/>
    <x v="0"/>
    <s v="Chase Ltd"/>
    <n v="100.35"/>
  </r>
  <r>
    <s v="ORD2608"/>
    <x v="1034"/>
    <x v="1"/>
    <s v="PROD149"/>
    <x v="1604"/>
    <n v="710.61"/>
    <n v="13"/>
    <x v="0"/>
    <s v="Envisioneer B2C Web-Readiness"/>
    <x v="1"/>
    <s v="Kemp Group"/>
    <n v="97.23"/>
  </r>
  <r>
    <s v="ORD2609"/>
    <x v="601"/>
    <x v="1"/>
    <s v="PROD128"/>
    <x v="1605"/>
    <n v="186.48"/>
    <n v="4"/>
    <x v="0"/>
    <s v="Brand Distributed Info-Mediaries"/>
    <x v="2"/>
    <s v="Garcia Ltd"/>
    <n v="114.48"/>
  </r>
  <r>
    <s v="ORD2610"/>
    <x v="1035"/>
    <x v="0"/>
    <s v="PROD130"/>
    <x v="1606"/>
    <n v="465.24"/>
    <n v="15"/>
    <x v="2"/>
    <s v="Synthesize Wireless Initiatives"/>
    <x v="1"/>
    <s v="Mosley Ltd"/>
    <n v="162.69999999999999"/>
  </r>
  <r>
    <s v="ORD2611"/>
    <x v="547"/>
    <x v="0"/>
    <s v="PROD114"/>
    <x v="1607"/>
    <n v="691.85"/>
    <n v="15"/>
    <x v="1"/>
    <s v="Orchestrate User-Centric Platforms"/>
    <x v="2"/>
    <s v="Wells Ltd"/>
    <n v="201.87"/>
  </r>
  <r>
    <s v="ORD2612"/>
    <x v="16"/>
    <x v="0"/>
    <s v="PROD111"/>
    <x v="1608"/>
    <n v="720.63"/>
    <n v="15"/>
    <x v="1"/>
    <s v="Harness Revolutionary Interfaces"/>
    <x v="2"/>
    <s v="Davis, Short and Nguyen"/>
    <n v="26.49"/>
  </r>
  <r>
    <s v="ORD2613"/>
    <x v="552"/>
    <x v="2"/>
    <s v="PROD102"/>
    <x v="1609"/>
    <n v="174.38"/>
    <n v="3"/>
    <x v="1"/>
    <s v="Optimize Transparent E-Markets"/>
    <x v="0"/>
    <s v="Lee, Tyler and Blevins"/>
    <n v="111.22"/>
  </r>
  <r>
    <s v="ORD2614"/>
    <x v="1036"/>
    <x v="2"/>
    <s v="PROD188"/>
    <x v="1610"/>
    <n v="275.61"/>
    <n v="6"/>
    <x v="1"/>
    <s v="Transition Mission-Critical Interfaces"/>
    <x v="0"/>
    <s v="Weaver Ltd"/>
    <n v="34.64"/>
  </r>
  <r>
    <s v="ORD2615"/>
    <x v="399"/>
    <x v="2"/>
    <s v="PROD118"/>
    <x v="1611"/>
    <n v="329.42"/>
    <n v="15"/>
    <x v="1"/>
    <s v="Engineer Real-Time Architectures"/>
    <x v="2"/>
    <s v="James and Sons"/>
    <n v="127.23"/>
  </r>
  <r>
    <s v="ORD2616"/>
    <x v="1037"/>
    <x v="3"/>
    <s v="PROD109"/>
    <x v="1612"/>
    <n v="317.25"/>
    <n v="13"/>
    <x v="2"/>
    <s v="Orchestrate E-Business Niches"/>
    <x v="2"/>
    <s v="Johnson LLC"/>
    <n v="198.99"/>
  </r>
  <r>
    <s v="ORD2617"/>
    <x v="794"/>
    <x v="0"/>
    <s v="PROD186"/>
    <x v="1613"/>
    <n v="688.58"/>
    <n v="17"/>
    <x v="0"/>
    <s v="Reinvent Mission-Critical Markets"/>
    <x v="2"/>
    <s v="Gilbert-Sanders"/>
    <n v="154.21"/>
  </r>
  <r>
    <s v="ORD2618"/>
    <x v="786"/>
    <x v="1"/>
    <s v="PROD133"/>
    <x v="1614"/>
    <n v="912.86"/>
    <n v="7"/>
    <x v="2"/>
    <s v="Re-Intermediate Seamless Applications"/>
    <x v="0"/>
    <s v="Welch-Reed"/>
    <n v="45.82"/>
  </r>
  <r>
    <s v="ORD2619"/>
    <x v="972"/>
    <x v="1"/>
    <s v="PROD108"/>
    <x v="1615"/>
    <n v="906.08"/>
    <n v="9"/>
    <x v="1"/>
    <s v="Synergize World-Class Networks"/>
    <x v="1"/>
    <s v="Gomez-Lawrence"/>
    <n v="72.37"/>
  </r>
  <r>
    <s v="ORD2620"/>
    <x v="1038"/>
    <x v="2"/>
    <s v="PROD124"/>
    <x v="1616"/>
    <n v="755.01"/>
    <n v="2"/>
    <x v="0"/>
    <s v="Incubate Real-Time E-Tailers"/>
    <x v="1"/>
    <s v="Johnson-Riley"/>
    <n v="86.67"/>
  </r>
  <r>
    <s v="ORD2621"/>
    <x v="983"/>
    <x v="0"/>
    <s v="PROD144"/>
    <x v="1617"/>
    <n v="527.44000000000005"/>
    <n v="18"/>
    <x v="1"/>
    <s v="Expedite Synergistic Web-Readiness"/>
    <x v="1"/>
    <s v="Dunlap, Carpenter and Monroe"/>
    <n v="289.66000000000003"/>
  </r>
  <r>
    <s v="ORD2622"/>
    <x v="644"/>
    <x v="2"/>
    <s v="PROD136"/>
    <x v="1618"/>
    <n v="979.71"/>
    <n v="2"/>
    <x v="2"/>
    <s v="Evolve Innovative Web Services"/>
    <x v="2"/>
    <s v="Bush Inc"/>
    <n v="87.75"/>
  </r>
  <r>
    <s v="ORD2623"/>
    <x v="612"/>
    <x v="0"/>
    <s v="PROD112"/>
    <x v="1619"/>
    <n v="618.79"/>
    <n v="6"/>
    <x v="1"/>
    <s v="Seize Clicks-And-Mortar Platforms"/>
    <x v="0"/>
    <s v="Owens, Campos and Wood"/>
    <n v="271.16000000000003"/>
  </r>
  <r>
    <s v="ORD2624"/>
    <x v="1039"/>
    <x v="0"/>
    <s v="PROD135"/>
    <x v="1620"/>
    <n v="965.63"/>
    <n v="19"/>
    <x v="1"/>
    <s v="Optimize 24/365 E-Services"/>
    <x v="0"/>
    <s v="Chase Ltd"/>
    <n v="100.35"/>
  </r>
  <r>
    <s v="ORD2625"/>
    <x v="1040"/>
    <x v="0"/>
    <s v="PROD180"/>
    <x v="1621"/>
    <n v="379.33"/>
    <n v="13"/>
    <x v="0"/>
    <s v="Iterate Extensible Roi"/>
    <x v="0"/>
    <s v="Hill-Kelly"/>
    <n v="180"/>
  </r>
  <r>
    <s v="ORD2626"/>
    <x v="1041"/>
    <x v="1"/>
    <s v="PROD144"/>
    <x v="1622"/>
    <n v="938.16"/>
    <n v="1"/>
    <x v="1"/>
    <s v="Expedite Synergistic Web-Readiness"/>
    <x v="1"/>
    <s v="Dunlap, Carpenter and Monroe"/>
    <n v="289.66000000000003"/>
  </r>
  <r>
    <s v="ORD2627"/>
    <x v="381"/>
    <x v="3"/>
    <s v="PROD158"/>
    <x v="1623"/>
    <n v="902.5"/>
    <n v="8"/>
    <x v="2"/>
    <s v="Brand Web-Enabled Solutions"/>
    <x v="1"/>
    <s v="Russell Group"/>
    <n v="51.67"/>
  </r>
  <r>
    <s v="ORD2628"/>
    <x v="454"/>
    <x v="0"/>
    <s v="PROD189"/>
    <x v="1624"/>
    <n v="122.51"/>
    <n v="11"/>
    <x v="0"/>
    <s v="E-Enable Next-Generation Experiences"/>
    <x v="2"/>
    <s v="Sanchez-Quinn"/>
    <n v="266.93"/>
  </r>
  <r>
    <s v="ORD2629"/>
    <x v="673"/>
    <x v="2"/>
    <s v="PROD178"/>
    <x v="1625"/>
    <n v="254.51"/>
    <n v="19"/>
    <x v="2"/>
    <s v="Monetize Value-Added Niches"/>
    <x v="0"/>
    <s v="Foster, Velazquez and Lee"/>
    <n v="171.51"/>
  </r>
  <r>
    <s v="ORD2630"/>
    <x v="1042"/>
    <x v="1"/>
    <s v="PROD171"/>
    <x v="1626"/>
    <n v="333.57"/>
    <n v="14"/>
    <x v="1"/>
    <s v="Scale 24/365 Networks"/>
    <x v="2"/>
    <s v="Kim-Hamilton"/>
    <n v="157.55000000000001"/>
  </r>
  <r>
    <s v="ORD2631"/>
    <x v="607"/>
    <x v="3"/>
    <s v="PROD115"/>
    <x v="1627"/>
    <n v="532.12"/>
    <n v="7"/>
    <x v="1"/>
    <s v="Morph World-Class Synergies"/>
    <x v="1"/>
    <s v="Bryant Ltd"/>
    <n v="20.69"/>
  </r>
  <r>
    <s v="ORD2632"/>
    <x v="1043"/>
    <x v="1"/>
    <s v="PROD119"/>
    <x v="1628"/>
    <n v="36.18"/>
    <n v="19"/>
    <x v="0"/>
    <s v="Generate Front-End Functionalities"/>
    <x v="0"/>
    <s v="Morales-Brown"/>
    <n v="299.77"/>
  </r>
  <r>
    <s v="ORD2633"/>
    <x v="1044"/>
    <x v="0"/>
    <s v="PROD189"/>
    <x v="1629"/>
    <n v="144.02000000000001"/>
    <n v="9"/>
    <x v="2"/>
    <s v="E-Enable Next-Generation Experiences"/>
    <x v="2"/>
    <s v="Sanchez-Quinn"/>
    <n v="266.93"/>
  </r>
  <r>
    <s v="ORD2634"/>
    <x v="112"/>
    <x v="3"/>
    <s v="PROD115"/>
    <x v="1630"/>
    <n v="106.18"/>
    <n v="11"/>
    <x v="0"/>
    <s v="Morph World-Class Synergies"/>
    <x v="1"/>
    <s v="Bryant Ltd"/>
    <n v="20.69"/>
  </r>
  <r>
    <s v="ORD2635"/>
    <x v="173"/>
    <x v="0"/>
    <s v="PROD188"/>
    <x v="1631"/>
    <n v="113.9"/>
    <n v="13"/>
    <x v="1"/>
    <s v="Transition Mission-Critical Interfaces"/>
    <x v="0"/>
    <s v="Weaver Ltd"/>
    <n v="34.64"/>
  </r>
  <r>
    <s v="ORD2636"/>
    <x v="1045"/>
    <x v="0"/>
    <s v="PROD153"/>
    <x v="1632"/>
    <n v="175.93"/>
    <n v="8"/>
    <x v="1"/>
    <s v="Seize Plug-And-Play Web-Readiness"/>
    <x v="1"/>
    <s v="Joseph, Mayer and Carr"/>
    <n v="102.73"/>
  </r>
  <r>
    <s v="ORD2637"/>
    <x v="1046"/>
    <x v="2"/>
    <s v="PROD157"/>
    <x v="1633"/>
    <n v="564.27"/>
    <n v="6"/>
    <x v="1"/>
    <s v="Implement Rich Platforms"/>
    <x v="1"/>
    <s v="Parker, Anderson and Salazar"/>
    <n v="53.59"/>
  </r>
  <r>
    <s v="ORD2638"/>
    <x v="290"/>
    <x v="0"/>
    <s v="PROD178"/>
    <x v="1634"/>
    <n v="373.17"/>
    <n v="11"/>
    <x v="0"/>
    <s v="Monetize Value-Added Niches"/>
    <x v="0"/>
    <s v="Foster, Velazquez and Lee"/>
    <n v="171.51"/>
  </r>
  <r>
    <s v="ORD2639"/>
    <x v="1023"/>
    <x v="3"/>
    <s v="PROD104"/>
    <x v="1635"/>
    <n v="144.34"/>
    <n v="12"/>
    <x v="0"/>
    <s v="Implement Clicks-And-Mortar Partnerships"/>
    <x v="1"/>
    <s v="Smith Inc"/>
    <n v="195.53"/>
  </r>
  <r>
    <s v="ORD2640"/>
    <x v="965"/>
    <x v="2"/>
    <s v="PROD153"/>
    <x v="1636"/>
    <n v="315.35000000000002"/>
    <n v="20"/>
    <x v="0"/>
    <s v="Seize Plug-And-Play Web-Readiness"/>
    <x v="1"/>
    <s v="Joseph, Mayer and Carr"/>
    <n v="102.73"/>
  </r>
  <r>
    <s v="ORD2641"/>
    <x v="1047"/>
    <x v="0"/>
    <s v="PROD177"/>
    <x v="1637"/>
    <n v="214.24"/>
    <n v="19"/>
    <x v="0"/>
    <s v="Deploy Granular Channels"/>
    <x v="2"/>
    <s v="Barnes Ltd"/>
    <n v="288.99"/>
  </r>
  <r>
    <s v="ORD2642"/>
    <x v="897"/>
    <x v="1"/>
    <s v="PROD102"/>
    <x v="1638"/>
    <n v="149.75"/>
    <n v="9"/>
    <x v="0"/>
    <s v="Optimize Transparent E-Markets"/>
    <x v="0"/>
    <s v="Lee, Tyler and Blevins"/>
    <n v="111.22"/>
  </r>
  <r>
    <s v="ORD2643"/>
    <x v="1048"/>
    <x v="0"/>
    <s v="PROD126"/>
    <x v="1639"/>
    <n v="100.72"/>
    <n v="17"/>
    <x v="2"/>
    <s v="Streamline Innovative Architectures"/>
    <x v="2"/>
    <s v="Price, Valentine and Lutz"/>
    <n v="291.14999999999998"/>
  </r>
  <r>
    <s v="ORD2644"/>
    <x v="1049"/>
    <x v="3"/>
    <s v="PROD122"/>
    <x v="1640"/>
    <n v="694.32"/>
    <n v="11"/>
    <x v="2"/>
    <s v="Empower Dot-Com Deliverables"/>
    <x v="1"/>
    <s v="Davis LLC"/>
    <n v="250.66"/>
  </r>
  <r>
    <s v="ORD2645"/>
    <x v="1050"/>
    <x v="3"/>
    <s v="PROD112"/>
    <x v="1641"/>
    <n v="815.38"/>
    <n v="3"/>
    <x v="0"/>
    <s v="Seize Clicks-And-Mortar Platforms"/>
    <x v="0"/>
    <s v="Owens, Campos and Wood"/>
    <n v="271.16000000000003"/>
  </r>
  <r>
    <s v="ORD2646"/>
    <x v="867"/>
    <x v="0"/>
    <s v="PROD142"/>
    <x v="1642"/>
    <n v="259.08"/>
    <n v="6"/>
    <x v="0"/>
    <s v="Target Bricks-And-Clicks Channels"/>
    <x v="1"/>
    <s v="Dunn, Christensen and Meyer"/>
    <n v="126.86"/>
  </r>
  <r>
    <s v="ORD2647"/>
    <x v="135"/>
    <x v="1"/>
    <s v="PROD173"/>
    <x v="1643"/>
    <n v="276.49"/>
    <n v="9"/>
    <x v="0"/>
    <s v="Whiteboard Sticky Content"/>
    <x v="2"/>
    <s v="Wolfe Group"/>
    <n v="82.16"/>
  </r>
  <r>
    <s v="ORD2648"/>
    <x v="769"/>
    <x v="0"/>
    <s v="PROD107"/>
    <x v="1644"/>
    <n v="503.91"/>
    <n v="14"/>
    <x v="1"/>
    <s v="Utilize Back-End Models"/>
    <x v="2"/>
    <s v="Lewis-Holden"/>
    <n v="241.53"/>
  </r>
  <r>
    <s v="ORD2649"/>
    <x v="806"/>
    <x v="2"/>
    <s v="PROD127"/>
    <x v="1645"/>
    <n v="859.01"/>
    <n v="19"/>
    <x v="2"/>
    <s v="Deliver Viral Channels"/>
    <x v="2"/>
    <s v="Parker LLC"/>
    <n v="45.41"/>
  </r>
  <r>
    <s v="ORD2650"/>
    <x v="724"/>
    <x v="3"/>
    <s v="PROD197"/>
    <x v="1646"/>
    <n v="591.48"/>
    <n v="1"/>
    <x v="2"/>
    <s v="Leverage Rich Portals"/>
    <x v="0"/>
    <s v="Wilson PLC"/>
    <n v="46.35"/>
  </r>
  <r>
    <s v="ORD2651"/>
    <x v="1051"/>
    <x v="0"/>
    <s v="PROD123"/>
    <x v="1647"/>
    <n v="988.37"/>
    <n v="9"/>
    <x v="1"/>
    <s v="Redefine Real-Time Convergence"/>
    <x v="1"/>
    <s v="Hayes, Peters and Douglas"/>
    <n v="78.260000000000005"/>
  </r>
  <r>
    <s v="ORD2652"/>
    <x v="1052"/>
    <x v="2"/>
    <s v="PROD167"/>
    <x v="1648"/>
    <n v="850.09"/>
    <n v="1"/>
    <x v="0"/>
    <s v="Grow Synergistic Infrastructures"/>
    <x v="2"/>
    <s v="Adams-Carter"/>
    <n v="113.17"/>
  </r>
  <r>
    <s v="ORD2653"/>
    <x v="371"/>
    <x v="2"/>
    <s v="PROD168"/>
    <x v="1649"/>
    <n v="710.02"/>
    <n v="16"/>
    <x v="1"/>
    <s v="Facilitate End-To-End Experiences"/>
    <x v="0"/>
    <s v="Pierce-Goodwin"/>
    <n v="260.52999999999997"/>
  </r>
  <r>
    <s v="ORD2654"/>
    <x v="380"/>
    <x v="0"/>
    <s v="PROD169"/>
    <x v="1650"/>
    <n v="524.92999999999995"/>
    <n v="12"/>
    <x v="2"/>
    <s v="Unleash End-To-End Web Services"/>
    <x v="0"/>
    <s v="Jones Ltd"/>
    <n v="188.02"/>
  </r>
  <r>
    <s v="ORD2655"/>
    <x v="516"/>
    <x v="2"/>
    <s v="PROD166"/>
    <x v="1651"/>
    <n v="616.6"/>
    <n v="11"/>
    <x v="2"/>
    <s v="Monetize Wireless Functionalities"/>
    <x v="2"/>
    <s v="Robinson, Rodriguez and Hernandez"/>
    <n v="162.22"/>
  </r>
  <r>
    <s v="ORD2656"/>
    <x v="1053"/>
    <x v="3"/>
    <s v="PROD187"/>
    <x v="1652"/>
    <n v="157.22999999999999"/>
    <n v="14"/>
    <x v="1"/>
    <s v="Whiteboard Compelling Experiences"/>
    <x v="2"/>
    <s v="Carrillo, Carr and Ball"/>
    <n v="206.54"/>
  </r>
  <r>
    <s v="ORD2657"/>
    <x v="1054"/>
    <x v="1"/>
    <s v="PROD161"/>
    <x v="1653"/>
    <n v="895.28"/>
    <n v="3"/>
    <x v="1"/>
    <s v="Synergize E-Business Deliverables"/>
    <x v="1"/>
    <s v="Crawford, Warren and Williams"/>
    <n v="125.93"/>
  </r>
  <r>
    <s v="ORD2658"/>
    <x v="669"/>
    <x v="3"/>
    <s v="PROD155"/>
    <x v="1654"/>
    <n v="69.45"/>
    <n v="13"/>
    <x v="1"/>
    <s v="Incentivize User-Centric Mindshare"/>
    <x v="1"/>
    <s v="Becker, Wright and Wong"/>
    <n v="38.51"/>
  </r>
  <r>
    <s v="ORD2659"/>
    <x v="427"/>
    <x v="1"/>
    <s v="PROD145"/>
    <x v="1655"/>
    <n v="237.63"/>
    <n v="11"/>
    <x v="2"/>
    <s v="Innovate Strategic Systems"/>
    <x v="0"/>
    <s v="Mcfarland, Parker and Armstrong"/>
    <n v="70.239999999999995"/>
  </r>
  <r>
    <s v="ORD2660"/>
    <x v="487"/>
    <x v="3"/>
    <s v="PROD133"/>
    <x v="1656"/>
    <n v="958.85"/>
    <n v="4"/>
    <x v="1"/>
    <s v="Re-Intermediate Seamless Applications"/>
    <x v="0"/>
    <s v="Welch-Reed"/>
    <n v="45.82"/>
  </r>
  <r>
    <s v="ORD2661"/>
    <x v="1055"/>
    <x v="2"/>
    <s v="PROD170"/>
    <x v="1657"/>
    <n v="488.3"/>
    <n v="5"/>
    <x v="2"/>
    <s v="Deliver Sticky Networks"/>
    <x v="2"/>
    <s v="Massey LLC"/>
    <n v="272.33"/>
  </r>
  <r>
    <s v="ORD2662"/>
    <x v="1040"/>
    <x v="0"/>
    <s v="PROD151"/>
    <x v="1658"/>
    <n v="332.82"/>
    <n v="19"/>
    <x v="1"/>
    <s v="Re-Contextualize Viral Markets"/>
    <x v="1"/>
    <s v="Meadows-Barber"/>
    <n v="177.52"/>
  </r>
  <r>
    <s v="ORD2663"/>
    <x v="1056"/>
    <x v="2"/>
    <s v="PROD197"/>
    <x v="1659"/>
    <n v="934.69"/>
    <n v="13"/>
    <x v="1"/>
    <s v="Leverage Rich Portals"/>
    <x v="0"/>
    <s v="Wilson PLC"/>
    <n v="46.35"/>
  </r>
  <r>
    <s v="ORD2664"/>
    <x v="1057"/>
    <x v="1"/>
    <s v="PROD150"/>
    <x v="1660"/>
    <n v="377.45"/>
    <n v="4"/>
    <x v="1"/>
    <s v="Evolve Intuitive Bandwidth"/>
    <x v="0"/>
    <s v="Rogers Group"/>
    <n v="131.63"/>
  </r>
  <r>
    <s v="ORD2665"/>
    <x v="286"/>
    <x v="3"/>
    <s v="PROD198"/>
    <x v="1661"/>
    <n v="55.98"/>
    <n v="15"/>
    <x v="2"/>
    <s v="Visualize Dynamic E-Commerce"/>
    <x v="2"/>
    <s v="Jones LLC"/>
    <n v="92.61"/>
  </r>
  <r>
    <s v="ORD2666"/>
    <x v="268"/>
    <x v="2"/>
    <s v="PROD198"/>
    <x v="1662"/>
    <n v="814.98"/>
    <n v="14"/>
    <x v="0"/>
    <s v="Visualize Dynamic E-Commerce"/>
    <x v="2"/>
    <s v="Jones LLC"/>
    <n v="92.61"/>
  </r>
  <r>
    <s v="ORD2667"/>
    <x v="973"/>
    <x v="0"/>
    <s v="PROD102"/>
    <x v="1663"/>
    <n v="103.67"/>
    <n v="5"/>
    <x v="2"/>
    <s v="Optimize Transparent E-Markets"/>
    <x v="0"/>
    <s v="Lee, Tyler and Blevins"/>
    <n v="111.22"/>
  </r>
  <r>
    <s v="ORD2668"/>
    <x v="673"/>
    <x v="0"/>
    <s v="PROD147"/>
    <x v="1664"/>
    <n v="261.26"/>
    <n v="20"/>
    <x v="1"/>
    <s v="Brand B2C Info-Mediaries"/>
    <x v="0"/>
    <s v="Preston Ltd"/>
    <n v="13.46"/>
  </r>
  <r>
    <s v="ORD2669"/>
    <x v="1058"/>
    <x v="3"/>
    <s v="PROD168"/>
    <x v="1665"/>
    <n v="795.47"/>
    <n v="1"/>
    <x v="1"/>
    <s v="Facilitate End-To-End Experiences"/>
    <x v="0"/>
    <s v="Pierce-Goodwin"/>
    <n v="260.52999999999997"/>
  </r>
  <r>
    <s v="ORD2670"/>
    <x v="1059"/>
    <x v="1"/>
    <s v="PROD152"/>
    <x v="1666"/>
    <n v="252.69"/>
    <n v="5"/>
    <x v="2"/>
    <s v="Reinvent Frictionless Roi"/>
    <x v="2"/>
    <s v="Bridges, Castillo and Rodriguez"/>
    <n v="253.89"/>
  </r>
  <r>
    <s v="ORD2671"/>
    <x v="133"/>
    <x v="2"/>
    <s v="PROD147"/>
    <x v="1667"/>
    <n v="185.59"/>
    <n v="4"/>
    <x v="2"/>
    <s v="Brand B2C Info-Mediaries"/>
    <x v="0"/>
    <s v="Preston Ltd"/>
    <n v="13.46"/>
  </r>
  <r>
    <s v="ORD2672"/>
    <x v="667"/>
    <x v="2"/>
    <s v="PROD197"/>
    <x v="1668"/>
    <n v="133.59"/>
    <n v="12"/>
    <x v="1"/>
    <s v="Leverage Rich Portals"/>
    <x v="0"/>
    <s v="Wilson PLC"/>
    <n v="46.35"/>
  </r>
  <r>
    <s v="ORD2673"/>
    <x v="1060"/>
    <x v="3"/>
    <s v="PROD144"/>
    <x v="1669"/>
    <n v="863.08"/>
    <n v="3"/>
    <x v="2"/>
    <s v="Expedite Synergistic Web-Readiness"/>
    <x v="1"/>
    <s v="Dunlap, Carpenter and Monroe"/>
    <n v="289.66000000000003"/>
  </r>
  <r>
    <s v="ORD2674"/>
    <x v="1061"/>
    <x v="2"/>
    <s v="PROD135"/>
    <x v="1670"/>
    <n v="996.99"/>
    <n v="3"/>
    <x v="1"/>
    <s v="Optimize 24/365 E-Services"/>
    <x v="0"/>
    <s v="Chase Ltd"/>
    <n v="100.35"/>
  </r>
  <r>
    <s v="ORD2675"/>
    <x v="827"/>
    <x v="2"/>
    <s v="PROD126"/>
    <x v="1671"/>
    <n v="261.14999999999998"/>
    <n v="3"/>
    <x v="0"/>
    <s v="Streamline Innovative Architectures"/>
    <x v="2"/>
    <s v="Price, Valentine and Lutz"/>
    <n v="291.14999999999998"/>
  </r>
  <r>
    <s v="ORD2676"/>
    <x v="204"/>
    <x v="0"/>
    <s v="PROD137"/>
    <x v="1672"/>
    <n v="34.71"/>
    <n v="2"/>
    <x v="1"/>
    <s v="Optimize Collaborative Initiatives"/>
    <x v="1"/>
    <s v="Adkins Ltd"/>
    <n v="34.46"/>
  </r>
  <r>
    <s v="ORD2677"/>
    <x v="125"/>
    <x v="3"/>
    <s v="PROD176"/>
    <x v="1673"/>
    <n v="995.04"/>
    <n v="3"/>
    <x v="1"/>
    <s v="Facilitate Integrated E-Business"/>
    <x v="0"/>
    <s v="Chang-Vargas"/>
    <n v="130.33000000000001"/>
  </r>
  <r>
    <s v="ORD2678"/>
    <x v="104"/>
    <x v="3"/>
    <s v="PROD139"/>
    <x v="1674"/>
    <n v="831.8"/>
    <n v="20"/>
    <x v="1"/>
    <s v="Re-Contextualize Viral Mindshare"/>
    <x v="1"/>
    <s v="Carter-Lane"/>
    <n v="142.25"/>
  </r>
  <r>
    <s v="ORD2679"/>
    <x v="306"/>
    <x v="2"/>
    <s v="PROD162"/>
    <x v="1675"/>
    <n v="773"/>
    <n v="19"/>
    <x v="2"/>
    <s v="Reinvent Visionary Niches"/>
    <x v="2"/>
    <s v="Huber-Richmond"/>
    <n v="219.81"/>
  </r>
  <r>
    <s v="ORD2680"/>
    <x v="54"/>
    <x v="0"/>
    <s v="PROD148"/>
    <x v="1676"/>
    <n v="255.44"/>
    <n v="14"/>
    <x v="0"/>
    <s v="Empower Seamless Roi"/>
    <x v="0"/>
    <s v="Proctor Group"/>
    <n v="266.64999999999998"/>
  </r>
  <r>
    <s v="ORD2681"/>
    <x v="1062"/>
    <x v="2"/>
    <s v="PROD145"/>
    <x v="1677"/>
    <n v="587.76"/>
    <n v="5"/>
    <x v="0"/>
    <s v="Innovate Strategic Systems"/>
    <x v="0"/>
    <s v="Mcfarland, Parker and Armstrong"/>
    <n v="70.239999999999995"/>
  </r>
  <r>
    <s v="ORD2682"/>
    <x v="1063"/>
    <x v="0"/>
    <s v="PROD153"/>
    <x v="1678"/>
    <n v="256.39"/>
    <n v="2"/>
    <x v="1"/>
    <s v="Seize Plug-And-Play Web-Readiness"/>
    <x v="1"/>
    <s v="Joseph, Mayer and Carr"/>
    <n v="102.73"/>
  </r>
  <r>
    <s v="ORD2683"/>
    <x v="1064"/>
    <x v="2"/>
    <s v="PROD196"/>
    <x v="1679"/>
    <n v="623.78"/>
    <n v="7"/>
    <x v="2"/>
    <s v="Strategize E-Business Content"/>
    <x v="1"/>
    <s v="Patterson LLC"/>
    <n v="294.02"/>
  </r>
  <r>
    <s v="ORD2684"/>
    <x v="1065"/>
    <x v="2"/>
    <s v="PROD110"/>
    <x v="1680"/>
    <n v="65.56"/>
    <n v="14"/>
    <x v="1"/>
    <s v="E-Enable Holistic Supply-Chains"/>
    <x v="2"/>
    <s v="Lin-Mcdaniel"/>
    <n v="160.33000000000001"/>
  </r>
  <r>
    <s v="ORD2685"/>
    <x v="1066"/>
    <x v="0"/>
    <s v="PROD108"/>
    <x v="1681"/>
    <n v="634.98"/>
    <n v="1"/>
    <x v="2"/>
    <s v="Synergize World-Class Networks"/>
    <x v="1"/>
    <s v="Gomez-Lawrence"/>
    <n v="72.37"/>
  </r>
  <r>
    <s v="ORD2686"/>
    <x v="1067"/>
    <x v="3"/>
    <s v="PROD171"/>
    <x v="1682"/>
    <n v="723.28"/>
    <n v="10"/>
    <x v="2"/>
    <s v="Scale 24/365 Networks"/>
    <x v="2"/>
    <s v="Kim-Hamilton"/>
    <n v="157.55000000000001"/>
  </r>
  <r>
    <s v="ORD2687"/>
    <x v="74"/>
    <x v="1"/>
    <s v="PROD163"/>
    <x v="1683"/>
    <n v="635.08000000000004"/>
    <n v="7"/>
    <x v="2"/>
    <s v="Grow Back-End Supply-Chains"/>
    <x v="1"/>
    <s v="Green LLC"/>
    <n v="140.08000000000001"/>
  </r>
  <r>
    <s v="ORD2688"/>
    <x v="514"/>
    <x v="2"/>
    <s v="PROD123"/>
    <x v="1684"/>
    <n v="381.6"/>
    <n v="3"/>
    <x v="0"/>
    <s v="Redefine Real-Time Convergence"/>
    <x v="1"/>
    <s v="Hayes, Peters and Douglas"/>
    <n v="78.260000000000005"/>
  </r>
  <r>
    <s v="ORD2689"/>
    <x v="639"/>
    <x v="1"/>
    <s v="PROD136"/>
    <x v="1685"/>
    <n v="97.38"/>
    <n v="2"/>
    <x v="0"/>
    <s v="Evolve Innovative Web Services"/>
    <x v="2"/>
    <s v="Bush Inc"/>
    <n v="87.75"/>
  </r>
  <r>
    <s v="ORD2690"/>
    <x v="88"/>
    <x v="2"/>
    <s v="PROD120"/>
    <x v="1686"/>
    <n v="719.77"/>
    <n v="12"/>
    <x v="2"/>
    <s v="Mesh B2B Platforms"/>
    <x v="2"/>
    <s v="Stevens, Walton and Riddle"/>
    <n v="236.57"/>
  </r>
  <r>
    <s v="ORD2691"/>
    <x v="1068"/>
    <x v="3"/>
    <s v="PROD125"/>
    <x v="1687"/>
    <n v="23.8"/>
    <n v="17"/>
    <x v="0"/>
    <s v="Leverage Cutting-Edge Vortals"/>
    <x v="1"/>
    <s v="Robinson, Garrett and Chavez"/>
    <n v="117.3"/>
  </r>
  <r>
    <s v="ORD2692"/>
    <x v="1069"/>
    <x v="2"/>
    <s v="PROD139"/>
    <x v="1688"/>
    <n v="637.99"/>
    <n v="2"/>
    <x v="1"/>
    <s v="Re-Contextualize Viral Mindshare"/>
    <x v="1"/>
    <s v="Carter-Lane"/>
    <n v="142.25"/>
  </r>
  <r>
    <s v="ORD2693"/>
    <x v="1070"/>
    <x v="1"/>
    <s v="PROD192"/>
    <x v="1689"/>
    <n v="619.20000000000005"/>
    <n v="6"/>
    <x v="0"/>
    <s v="Drive Compelling E-Services"/>
    <x v="0"/>
    <s v="Morris-Villanueva"/>
    <n v="27.22"/>
  </r>
  <r>
    <s v="ORD2694"/>
    <x v="1071"/>
    <x v="2"/>
    <s v="PROD132"/>
    <x v="1690"/>
    <n v="145.93"/>
    <n v="9"/>
    <x v="2"/>
    <s v="Synergize End-To-End Roi"/>
    <x v="1"/>
    <s v="Evans-Smith"/>
    <n v="159.85"/>
  </r>
  <r>
    <s v="ORD2695"/>
    <x v="1072"/>
    <x v="0"/>
    <s v="PROD150"/>
    <x v="1691"/>
    <n v="580.12"/>
    <n v="11"/>
    <x v="1"/>
    <s v="Evolve Intuitive Bandwidth"/>
    <x v="0"/>
    <s v="Rogers Group"/>
    <n v="131.63"/>
  </r>
  <r>
    <s v="ORD2696"/>
    <x v="1073"/>
    <x v="2"/>
    <s v="PROD175"/>
    <x v="1692"/>
    <n v="135.84"/>
    <n v="2"/>
    <x v="0"/>
    <s v="Empower Bleeding-Edge Action-Items"/>
    <x v="2"/>
    <s v="Gray, Hayes and Banks"/>
    <n v="204.26"/>
  </r>
  <r>
    <s v="ORD2697"/>
    <x v="1074"/>
    <x v="0"/>
    <s v="PROD148"/>
    <x v="1693"/>
    <n v="986.52"/>
    <n v="7"/>
    <x v="0"/>
    <s v="Empower Seamless Roi"/>
    <x v="0"/>
    <s v="Proctor Group"/>
    <n v="266.64999999999998"/>
  </r>
  <r>
    <s v="ORD2698"/>
    <x v="952"/>
    <x v="3"/>
    <s v="PROD168"/>
    <x v="1694"/>
    <n v="998.09"/>
    <n v="3"/>
    <x v="0"/>
    <s v="Facilitate End-To-End Experiences"/>
    <x v="0"/>
    <s v="Pierce-Goodwin"/>
    <n v="260.52999999999997"/>
  </r>
  <r>
    <s v="ORD2699"/>
    <x v="435"/>
    <x v="0"/>
    <s v="PROD168"/>
    <x v="1695"/>
    <n v="355.1"/>
    <n v="9"/>
    <x v="2"/>
    <s v="Facilitate End-To-End Experiences"/>
    <x v="0"/>
    <s v="Pierce-Goodwin"/>
    <n v="260.52999999999997"/>
  </r>
  <r>
    <s v="ORD2700"/>
    <x v="1075"/>
    <x v="0"/>
    <s v="PROD173"/>
    <x v="1696"/>
    <n v="69.040000000000006"/>
    <n v="3"/>
    <x v="1"/>
    <s v="Whiteboard Sticky Content"/>
    <x v="2"/>
    <s v="Wolfe Group"/>
    <n v="82.16"/>
  </r>
  <r>
    <s v="ORD2701"/>
    <x v="1076"/>
    <x v="0"/>
    <s v="PROD127"/>
    <x v="1697"/>
    <n v="291.33999999999997"/>
    <n v="16"/>
    <x v="0"/>
    <s v="Deliver Viral Channels"/>
    <x v="2"/>
    <s v="Parker LLC"/>
    <n v="45.41"/>
  </r>
  <r>
    <s v="ORD2702"/>
    <x v="463"/>
    <x v="2"/>
    <s v="PROD173"/>
    <x v="1698"/>
    <n v="253.1"/>
    <n v="6"/>
    <x v="2"/>
    <s v="Whiteboard Sticky Content"/>
    <x v="2"/>
    <s v="Wolfe Group"/>
    <n v="82.16"/>
  </r>
  <r>
    <s v="ORD2703"/>
    <x v="1011"/>
    <x v="1"/>
    <s v="PROD158"/>
    <x v="1699"/>
    <n v="527.77"/>
    <n v="11"/>
    <x v="1"/>
    <s v="Brand Web-Enabled Solutions"/>
    <x v="1"/>
    <s v="Russell Group"/>
    <n v="51.67"/>
  </r>
  <r>
    <s v="ORD2704"/>
    <x v="436"/>
    <x v="0"/>
    <s v="PROD156"/>
    <x v="1700"/>
    <n v="96.19"/>
    <n v="13"/>
    <x v="2"/>
    <s v="Empower Killer Info-Mediaries"/>
    <x v="2"/>
    <s v="Jones Ltd"/>
    <n v="213.24"/>
  </r>
  <r>
    <s v="ORD2705"/>
    <x v="670"/>
    <x v="3"/>
    <s v="PROD160"/>
    <x v="1701"/>
    <n v="184.29"/>
    <n v="6"/>
    <x v="1"/>
    <s v="Deliver Extensible Partnerships"/>
    <x v="2"/>
    <s v="Martin, Paul and Salazar"/>
    <n v="43.76"/>
  </r>
  <r>
    <s v="ORD2706"/>
    <x v="1077"/>
    <x v="3"/>
    <s v="PROD174"/>
    <x v="1702"/>
    <n v="390"/>
    <n v="3"/>
    <x v="2"/>
    <s v="Disintermediate Scalable Bandwidth"/>
    <x v="1"/>
    <s v="Levy PLC"/>
    <n v="19.86"/>
  </r>
  <r>
    <s v="ORD2707"/>
    <x v="1078"/>
    <x v="3"/>
    <s v="PROD114"/>
    <x v="1703"/>
    <n v="113.44"/>
    <n v="6"/>
    <x v="1"/>
    <s v="Orchestrate User-Centric Platforms"/>
    <x v="2"/>
    <s v="Wells Ltd"/>
    <n v="201.87"/>
  </r>
  <r>
    <s v="ORD2708"/>
    <x v="1079"/>
    <x v="0"/>
    <s v="PROD169"/>
    <x v="1704"/>
    <n v="125.27"/>
    <n v="7"/>
    <x v="2"/>
    <s v="Unleash End-To-End Web Services"/>
    <x v="0"/>
    <s v="Jones Ltd"/>
    <n v="188.02"/>
  </r>
  <r>
    <s v="ORD2709"/>
    <x v="73"/>
    <x v="1"/>
    <s v="PROD127"/>
    <x v="1705"/>
    <n v="562.59"/>
    <n v="12"/>
    <x v="1"/>
    <s v="Deliver Viral Channels"/>
    <x v="2"/>
    <s v="Parker LLC"/>
    <n v="45.41"/>
  </r>
  <r>
    <s v="ORD2710"/>
    <x v="1080"/>
    <x v="3"/>
    <s v="PROD171"/>
    <x v="1706"/>
    <n v="18.649999999999999"/>
    <n v="1"/>
    <x v="1"/>
    <s v="Scale 24/365 Networks"/>
    <x v="2"/>
    <s v="Kim-Hamilton"/>
    <n v="157.55000000000001"/>
  </r>
  <r>
    <s v="ORD2711"/>
    <x v="979"/>
    <x v="1"/>
    <s v="PROD114"/>
    <x v="1707"/>
    <n v="331.66"/>
    <n v="16"/>
    <x v="2"/>
    <s v="Orchestrate User-Centric Platforms"/>
    <x v="2"/>
    <s v="Wells Ltd"/>
    <n v="201.87"/>
  </r>
  <r>
    <s v="ORD2712"/>
    <x v="186"/>
    <x v="0"/>
    <s v="PROD165"/>
    <x v="1708"/>
    <n v="217.75"/>
    <n v="3"/>
    <x v="1"/>
    <s v="Benchmark Cross-Platform Markets"/>
    <x v="2"/>
    <s v="Murphy, Mathews and Wilson"/>
    <n v="78.88"/>
  </r>
  <r>
    <s v="ORD2713"/>
    <x v="1000"/>
    <x v="0"/>
    <s v="PROD165"/>
    <x v="1709"/>
    <n v="317.56"/>
    <n v="2"/>
    <x v="1"/>
    <s v="Benchmark Cross-Platform Markets"/>
    <x v="2"/>
    <s v="Murphy, Mathews and Wilson"/>
    <n v="78.88"/>
  </r>
  <r>
    <s v="ORD2714"/>
    <x v="1081"/>
    <x v="2"/>
    <s v="PROD107"/>
    <x v="1710"/>
    <n v="820.79"/>
    <n v="17"/>
    <x v="0"/>
    <s v="Utilize Back-End Models"/>
    <x v="2"/>
    <s v="Lewis-Holden"/>
    <n v="241.53"/>
  </r>
  <r>
    <s v="ORD2715"/>
    <x v="1082"/>
    <x v="3"/>
    <s v="PROD171"/>
    <x v="1711"/>
    <n v="219.8"/>
    <n v="8"/>
    <x v="1"/>
    <s v="Scale 24/365 Networks"/>
    <x v="2"/>
    <s v="Kim-Hamilton"/>
    <n v="157.55000000000001"/>
  </r>
  <r>
    <s v="ORD2716"/>
    <x v="1083"/>
    <x v="1"/>
    <s v="PROD135"/>
    <x v="1712"/>
    <n v="786.21"/>
    <n v="1"/>
    <x v="0"/>
    <s v="Optimize 24/365 E-Services"/>
    <x v="0"/>
    <s v="Chase Ltd"/>
    <n v="100.35"/>
  </r>
  <r>
    <s v="ORD2717"/>
    <x v="330"/>
    <x v="2"/>
    <s v="PROD100"/>
    <x v="1713"/>
    <n v="430.5"/>
    <n v="6"/>
    <x v="2"/>
    <s v="Synthesize Scalable Portals"/>
    <x v="2"/>
    <s v="Singh, Villa and Flynn"/>
    <n v="298.57"/>
  </r>
  <r>
    <s v="ORD2718"/>
    <x v="919"/>
    <x v="1"/>
    <s v="PROD139"/>
    <x v="1714"/>
    <n v="170.12"/>
    <n v="1"/>
    <x v="2"/>
    <s v="Re-Contextualize Viral Mindshare"/>
    <x v="1"/>
    <s v="Carter-Lane"/>
    <n v="142.25"/>
  </r>
  <r>
    <s v="ORD2719"/>
    <x v="1084"/>
    <x v="0"/>
    <s v="PROD164"/>
    <x v="1715"/>
    <n v="198.17"/>
    <n v="19"/>
    <x v="2"/>
    <s v="Transition Compelling Web-Readiness"/>
    <x v="2"/>
    <s v="Wood-Beck"/>
    <n v="88.34"/>
  </r>
  <r>
    <s v="ORD2720"/>
    <x v="222"/>
    <x v="1"/>
    <s v="PROD189"/>
    <x v="1716"/>
    <n v="589.66999999999996"/>
    <n v="20"/>
    <x v="0"/>
    <s v="E-Enable Next-Generation Experiences"/>
    <x v="2"/>
    <s v="Sanchez-Quinn"/>
    <n v="266.93"/>
  </r>
  <r>
    <s v="ORD2721"/>
    <x v="1084"/>
    <x v="2"/>
    <s v="PROD182"/>
    <x v="1717"/>
    <n v="221.48"/>
    <n v="6"/>
    <x v="0"/>
    <s v="Strategize Best-Of-Breed Web-Readiness"/>
    <x v="0"/>
    <s v="Morris, King and Ayers"/>
    <n v="220.16"/>
  </r>
  <r>
    <s v="ORD2722"/>
    <x v="514"/>
    <x v="3"/>
    <s v="PROD109"/>
    <x v="1718"/>
    <n v="750.05"/>
    <n v="13"/>
    <x v="1"/>
    <s v="Orchestrate E-Business Niches"/>
    <x v="2"/>
    <s v="Johnson LLC"/>
    <n v="198.99"/>
  </r>
  <r>
    <s v="ORD2723"/>
    <x v="177"/>
    <x v="3"/>
    <s v="PROD182"/>
    <x v="1719"/>
    <n v="803.09"/>
    <n v="19"/>
    <x v="2"/>
    <s v="Strategize Best-Of-Breed Web-Readiness"/>
    <x v="0"/>
    <s v="Morris, King and Ayers"/>
    <n v="220.16"/>
  </r>
  <r>
    <s v="ORD2724"/>
    <x v="1085"/>
    <x v="2"/>
    <s v="PROD102"/>
    <x v="1720"/>
    <n v="880.84"/>
    <n v="16"/>
    <x v="0"/>
    <s v="Optimize Transparent E-Markets"/>
    <x v="0"/>
    <s v="Lee, Tyler and Blevins"/>
    <n v="111.22"/>
  </r>
  <r>
    <s v="ORD2725"/>
    <x v="698"/>
    <x v="0"/>
    <s v="PROD144"/>
    <x v="1721"/>
    <n v="660.47"/>
    <n v="15"/>
    <x v="1"/>
    <s v="Expedite Synergistic Web-Readiness"/>
    <x v="1"/>
    <s v="Dunlap, Carpenter and Monroe"/>
    <n v="289.66000000000003"/>
  </r>
  <r>
    <s v="ORD2726"/>
    <x v="1086"/>
    <x v="3"/>
    <s v="PROD107"/>
    <x v="1722"/>
    <n v="593.87"/>
    <n v="20"/>
    <x v="1"/>
    <s v="Utilize Back-End Models"/>
    <x v="2"/>
    <s v="Lewis-Holden"/>
    <n v="241.53"/>
  </r>
  <r>
    <s v="ORD2727"/>
    <x v="1087"/>
    <x v="2"/>
    <s v="PROD169"/>
    <x v="1723"/>
    <n v="766.26"/>
    <n v="8"/>
    <x v="0"/>
    <s v="Unleash End-To-End Web Services"/>
    <x v="0"/>
    <s v="Jones Ltd"/>
    <n v="188.02"/>
  </r>
  <r>
    <s v="ORD2728"/>
    <x v="626"/>
    <x v="2"/>
    <s v="PROD174"/>
    <x v="1724"/>
    <n v="121"/>
    <n v="19"/>
    <x v="1"/>
    <s v="Disintermediate Scalable Bandwidth"/>
    <x v="1"/>
    <s v="Levy PLC"/>
    <n v="19.86"/>
  </r>
  <r>
    <s v="ORD2729"/>
    <x v="961"/>
    <x v="3"/>
    <s v="PROD196"/>
    <x v="1725"/>
    <n v="944.95"/>
    <n v="7"/>
    <x v="2"/>
    <s v="Strategize E-Business Content"/>
    <x v="1"/>
    <s v="Patterson LLC"/>
    <n v="294.02"/>
  </r>
  <r>
    <s v="ORD2730"/>
    <x v="848"/>
    <x v="2"/>
    <s v="PROD194"/>
    <x v="1726"/>
    <n v="808.97"/>
    <n v="5"/>
    <x v="1"/>
    <s v="Leverage Scalable Interfaces"/>
    <x v="0"/>
    <s v="Kaufman-Jones"/>
    <n v="73.33"/>
  </r>
  <r>
    <s v="ORD2731"/>
    <x v="992"/>
    <x v="2"/>
    <s v="PROD197"/>
    <x v="1727"/>
    <n v="737.36"/>
    <n v="15"/>
    <x v="1"/>
    <s v="Leverage Rich Portals"/>
    <x v="0"/>
    <s v="Wilson PLC"/>
    <n v="46.35"/>
  </r>
  <r>
    <s v="ORD2732"/>
    <x v="1004"/>
    <x v="1"/>
    <s v="PROD185"/>
    <x v="1728"/>
    <n v="241.62"/>
    <n v="2"/>
    <x v="2"/>
    <s v="Generate End-To-End Functionalities"/>
    <x v="1"/>
    <s v="Sanchez-Stewart"/>
    <n v="196.15"/>
  </r>
  <r>
    <s v="ORD2733"/>
    <x v="440"/>
    <x v="1"/>
    <s v="PROD158"/>
    <x v="1729"/>
    <n v="587.19000000000005"/>
    <n v="14"/>
    <x v="0"/>
    <s v="Brand Web-Enabled Solutions"/>
    <x v="1"/>
    <s v="Russell Group"/>
    <n v="51.67"/>
  </r>
  <r>
    <s v="ORD2734"/>
    <x v="558"/>
    <x v="2"/>
    <s v="PROD129"/>
    <x v="1730"/>
    <n v="298.04000000000002"/>
    <n v="16"/>
    <x v="2"/>
    <s v="Scale Vertical Networks"/>
    <x v="2"/>
    <s v="Lam, Wood and Jacobs"/>
    <n v="133.24"/>
  </r>
  <r>
    <s v="ORD2735"/>
    <x v="1088"/>
    <x v="1"/>
    <s v="PROD133"/>
    <x v="1731"/>
    <n v="353.83"/>
    <n v="19"/>
    <x v="0"/>
    <s v="Re-Intermediate Seamless Applications"/>
    <x v="0"/>
    <s v="Welch-Reed"/>
    <n v="45.82"/>
  </r>
  <r>
    <s v="ORD2736"/>
    <x v="444"/>
    <x v="2"/>
    <s v="PROD114"/>
    <x v="1732"/>
    <n v="508.69"/>
    <n v="8"/>
    <x v="1"/>
    <s v="Orchestrate User-Centric Platforms"/>
    <x v="2"/>
    <s v="Wells Ltd"/>
    <n v="201.87"/>
  </r>
  <r>
    <s v="ORD2737"/>
    <x v="718"/>
    <x v="1"/>
    <s v="PROD112"/>
    <x v="1733"/>
    <n v="941.69"/>
    <n v="6"/>
    <x v="2"/>
    <s v="Seize Clicks-And-Mortar Platforms"/>
    <x v="0"/>
    <s v="Owens, Campos and Wood"/>
    <n v="271.16000000000003"/>
  </r>
  <r>
    <s v="ORD2738"/>
    <x v="617"/>
    <x v="0"/>
    <s v="PROD180"/>
    <x v="1734"/>
    <n v="904.37"/>
    <n v="3"/>
    <x v="1"/>
    <s v="Iterate Extensible Roi"/>
    <x v="0"/>
    <s v="Hill-Kelly"/>
    <n v="180"/>
  </r>
  <r>
    <s v="ORD2739"/>
    <x v="1089"/>
    <x v="2"/>
    <s v="PROD153"/>
    <x v="1735"/>
    <n v="686.88"/>
    <n v="20"/>
    <x v="1"/>
    <s v="Seize Plug-And-Play Web-Readiness"/>
    <x v="1"/>
    <s v="Joseph, Mayer and Carr"/>
    <n v="102.73"/>
  </r>
  <r>
    <s v="ORD2740"/>
    <x v="162"/>
    <x v="2"/>
    <s v="PROD189"/>
    <x v="1736"/>
    <n v="201.85"/>
    <n v="18"/>
    <x v="1"/>
    <s v="E-Enable Next-Generation Experiences"/>
    <x v="2"/>
    <s v="Sanchez-Quinn"/>
    <n v="266.93"/>
  </r>
  <r>
    <s v="ORD2741"/>
    <x v="260"/>
    <x v="0"/>
    <s v="PROD167"/>
    <x v="1737"/>
    <n v="195.61"/>
    <n v="14"/>
    <x v="2"/>
    <s v="Grow Synergistic Infrastructures"/>
    <x v="2"/>
    <s v="Adams-Carter"/>
    <n v="113.17"/>
  </r>
  <r>
    <s v="ORD2742"/>
    <x v="1090"/>
    <x v="3"/>
    <s v="PROD146"/>
    <x v="1738"/>
    <n v="479.77"/>
    <n v="11"/>
    <x v="0"/>
    <s v="Engage Rich Web-Readiness"/>
    <x v="0"/>
    <s v="Turner Inc"/>
    <n v="81.069999999999993"/>
  </r>
  <r>
    <s v="ORD2743"/>
    <x v="1010"/>
    <x v="2"/>
    <s v="PROD134"/>
    <x v="1739"/>
    <n v="570.03"/>
    <n v="11"/>
    <x v="1"/>
    <s v="Utilize Ubiquitous Synergies"/>
    <x v="1"/>
    <s v="Kramer, Huang and Shaw"/>
    <n v="295.89999999999998"/>
  </r>
  <r>
    <s v="ORD2744"/>
    <x v="1091"/>
    <x v="0"/>
    <s v="PROD135"/>
    <x v="1740"/>
    <n v="666.02"/>
    <n v="15"/>
    <x v="0"/>
    <s v="Optimize 24/365 E-Services"/>
    <x v="0"/>
    <s v="Chase Ltd"/>
    <n v="100.35"/>
  </r>
  <r>
    <s v="ORD2745"/>
    <x v="15"/>
    <x v="1"/>
    <s v="PROD122"/>
    <x v="1741"/>
    <n v="648.82000000000005"/>
    <n v="6"/>
    <x v="2"/>
    <s v="Empower Dot-Com Deliverables"/>
    <x v="1"/>
    <s v="Davis LLC"/>
    <n v="250.66"/>
  </r>
  <r>
    <s v="ORD2746"/>
    <x v="1092"/>
    <x v="2"/>
    <s v="PROD104"/>
    <x v="1742"/>
    <n v="490.76"/>
    <n v="2"/>
    <x v="0"/>
    <s v="Implement Clicks-And-Mortar Partnerships"/>
    <x v="1"/>
    <s v="Smith Inc"/>
    <n v="195.53"/>
  </r>
  <r>
    <s v="ORD2747"/>
    <x v="1093"/>
    <x v="0"/>
    <s v="PROD199"/>
    <x v="1743"/>
    <n v="541.48"/>
    <n v="4"/>
    <x v="2"/>
    <s v="Scale Cross-Platform Web Services"/>
    <x v="2"/>
    <s v="Morrow, Brock and Lewis"/>
    <n v="115.21"/>
  </r>
  <r>
    <s v="ORD2748"/>
    <x v="1094"/>
    <x v="1"/>
    <s v="PROD112"/>
    <x v="1744"/>
    <n v="121.93"/>
    <n v="7"/>
    <x v="1"/>
    <s v="Seize Clicks-And-Mortar Platforms"/>
    <x v="0"/>
    <s v="Owens, Campos and Wood"/>
    <n v="271.16000000000003"/>
  </r>
  <r>
    <s v="ORD2749"/>
    <x v="726"/>
    <x v="3"/>
    <s v="PROD106"/>
    <x v="1745"/>
    <n v="307.45999999999998"/>
    <n v="18"/>
    <x v="2"/>
    <s v="Synergize End-To-End Supply-Chains"/>
    <x v="0"/>
    <s v="Higgins-Espinoza"/>
    <n v="279.8"/>
  </r>
  <r>
    <s v="ORD2750"/>
    <x v="471"/>
    <x v="2"/>
    <s v="PROD158"/>
    <x v="1746"/>
    <n v="757.22"/>
    <n v="4"/>
    <x v="2"/>
    <s v="Brand Web-Enabled Solutions"/>
    <x v="1"/>
    <s v="Russell Group"/>
    <n v="51.67"/>
  </r>
  <r>
    <s v="ORD2751"/>
    <x v="504"/>
    <x v="3"/>
    <s v="PROD111"/>
    <x v="1747"/>
    <n v="117.88"/>
    <n v="14"/>
    <x v="2"/>
    <s v="Harness Revolutionary Interfaces"/>
    <x v="2"/>
    <s v="Davis, Short and Nguyen"/>
    <n v="26.49"/>
  </r>
  <r>
    <s v="ORD2752"/>
    <x v="1095"/>
    <x v="3"/>
    <s v="PROD121"/>
    <x v="1748"/>
    <n v="747.47"/>
    <n v="18"/>
    <x v="0"/>
    <s v="Whiteboard B2B Content"/>
    <x v="0"/>
    <s v="Romero PLC"/>
    <n v="93.81"/>
  </r>
  <r>
    <s v="ORD2753"/>
    <x v="193"/>
    <x v="1"/>
    <s v="PROD111"/>
    <x v="1749"/>
    <n v="692.03"/>
    <n v="4"/>
    <x v="0"/>
    <s v="Harness Revolutionary Interfaces"/>
    <x v="2"/>
    <s v="Davis, Short and Nguyen"/>
    <n v="26.49"/>
  </r>
  <r>
    <s v="ORD2754"/>
    <x v="506"/>
    <x v="2"/>
    <s v="PROD170"/>
    <x v="1750"/>
    <n v="47.4"/>
    <n v="17"/>
    <x v="2"/>
    <s v="Deliver Sticky Networks"/>
    <x v="2"/>
    <s v="Massey LLC"/>
    <n v="272.33"/>
  </r>
  <r>
    <s v="ORD2755"/>
    <x v="119"/>
    <x v="3"/>
    <s v="PROD146"/>
    <x v="1751"/>
    <n v="391.24"/>
    <n v="14"/>
    <x v="1"/>
    <s v="Engage Rich Web-Readiness"/>
    <x v="0"/>
    <s v="Turner Inc"/>
    <n v="81.069999999999993"/>
  </r>
  <r>
    <s v="ORD2756"/>
    <x v="1096"/>
    <x v="2"/>
    <s v="PROD159"/>
    <x v="1752"/>
    <n v="584.22"/>
    <n v="13"/>
    <x v="0"/>
    <s v="Mesh Intuitive Supply-Chains"/>
    <x v="1"/>
    <s v="Soto, Barnett and Heath"/>
    <n v="281"/>
  </r>
  <r>
    <s v="ORD2757"/>
    <x v="94"/>
    <x v="3"/>
    <s v="PROD197"/>
    <x v="1753"/>
    <n v="775.41"/>
    <n v="6"/>
    <x v="2"/>
    <s v="Leverage Rich Portals"/>
    <x v="0"/>
    <s v="Wilson PLC"/>
    <n v="46.35"/>
  </r>
  <r>
    <s v="ORD2758"/>
    <x v="1097"/>
    <x v="0"/>
    <s v="PROD102"/>
    <x v="1754"/>
    <n v="190.06"/>
    <n v="14"/>
    <x v="0"/>
    <s v="Optimize Transparent E-Markets"/>
    <x v="0"/>
    <s v="Lee, Tyler and Blevins"/>
    <n v="111.22"/>
  </r>
  <r>
    <s v="ORD2759"/>
    <x v="525"/>
    <x v="2"/>
    <s v="PROD106"/>
    <x v="1755"/>
    <n v="611.58000000000004"/>
    <n v="7"/>
    <x v="2"/>
    <s v="Synergize End-To-End Supply-Chains"/>
    <x v="0"/>
    <s v="Higgins-Espinoza"/>
    <n v="279.8"/>
  </r>
  <r>
    <s v="ORD2760"/>
    <x v="279"/>
    <x v="2"/>
    <s v="PROD170"/>
    <x v="1756"/>
    <n v="640.98"/>
    <n v="9"/>
    <x v="0"/>
    <s v="Deliver Sticky Networks"/>
    <x v="2"/>
    <s v="Massey LLC"/>
    <n v="272.33"/>
  </r>
  <r>
    <s v="ORD2761"/>
    <x v="396"/>
    <x v="1"/>
    <s v="PROD171"/>
    <x v="1757"/>
    <n v="644.73"/>
    <n v="14"/>
    <x v="0"/>
    <s v="Scale 24/365 Networks"/>
    <x v="2"/>
    <s v="Kim-Hamilton"/>
    <n v="157.55000000000001"/>
  </r>
  <r>
    <s v="ORD2762"/>
    <x v="507"/>
    <x v="0"/>
    <s v="PROD137"/>
    <x v="1758"/>
    <n v="457.99"/>
    <n v="19"/>
    <x v="1"/>
    <s v="Optimize Collaborative Initiatives"/>
    <x v="1"/>
    <s v="Adkins Ltd"/>
    <n v="34.46"/>
  </r>
  <r>
    <s v="ORD2763"/>
    <x v="1098"/>
    <x v="2"/>
    <s v="PROD174"/>
    <x v="1759"/>
    <n v="322.06"/>
    <n v="10"/>
    <x v="2"/>
    <s v="Disintermediate Scalable Bandwidth"/>
    <x v="1"/>
    <s v="Levy PLC"/>
    <n v="19.86"/>
  </r>
  <r>
    <s v="ORD2764"/>
    <x v="872"/>
    <x v="2"/>
    <s v="PROD144"/>
    <x v="1760"/>
    <n v="952.79"/>
    <n v="17"/>
    <x v="0"/>
    <s v="Expedite Synergistic Web-Readiness"/>
    <x v="1"/>
    <s v="Dunlap, Carpenter and Monroe"/>
    <n v="289.66000000000003"/>
  </r>
  <r>
    <s v="ORD2765"/>
    <x v="1099"/>
    <x v="1"/>
    <s v="PROD137"/>
    <x v="1761"/>
    <n v="612.16999999999996"/>
    <n v="16"/>
    <x v="1"/>
    <s v="Optimize Collaborative Initiatives"/>
    <x v="1"/>
    <s v="Adkins Ltd"/>
    <n v="34.46"/>
  </r>
  <r>
    <s v="ORD2766"/>
    <x v="482"/>
    <x v="3"/>
    <s v="PROD125"/>
    <x v="1762"/>
    <n v="419.23"/>
    <n v="8"/>
    <x v="2"/>
    <s v="Leverage Cutting-Edge Vortals"/>
    <x v="1"/>
    <s v="Robinson, Garrett and Chavez"/>
    <n v="117.3"/>
  </r>
  <r>
    <s v="ORD2767"/>
    <x v="1100"/>
    <x v="0"/>
    <s v="PROD164"/>
    <x v="1763"/>
    <n v="884.21"/>
    <n v="13"/>
    <x v="1"/>
    <s v="Transition Compelling Web-Readiness"/>
    <x v="2"/>
    <s v="Wood-Beck"/>
    <n v="88.34"/>
  </r>
  <r>
    <s v="ORD2768"/>
    <x v="1101"/>
    <x v="2"/>
    <s v="PROD119"/>
    <x v="1764"/>
    <n v="150.97"/>
    <n v="19"/>
    <x v="2"/>
    <s v="Generate Front-End Functionalities"/>
    <x v="0"/>
    <s v="Morales-Brown"/>
    <n v="299.77"/>
  </r>
  <r>
    <s v="ORD2769"/>
    <x v="805"/>
    <x v="3"/>
    <s v="PROD104"/>
    <x v="1765"/>
    <n v="75.63"/>
    <n v="3"/>
    <x v="2"/>
    <s v="Implement Clicks-And-Mortar Partnerships"/>
    <x v="1"/>
    <s v="Smith Inc"/>
    <n v="195.53"/>
  </r>
  <r>
    <s v="ORD2770"/>
    <x v="311"/>
    <x v="2"/>
    <s v="PROD171"/>
    <x v="1766"/>
    <n v="463.42"/>
    <n v="18"/>
    <x v="2"/>
    <s v="Scale 24/365 Networks"/>
    <x v="2"/>
    <s v="Kim-Hamilton"/>
    <n v="157.55000000000001"/>
  </r>
  <r>
    <s v="ORD2771"/>
    <x v="69"/>
    <x v="3"/>
    <s v="PROD148"/>
    <x v="1767"/>
    <n v="358.9"/>
    <n v="8"/>
    <x v="0"/>
    <s v="Empower Seamless Roi"/>
    <x v="0"/>
    <s v="Proctor Group"/>
    <n v="266.64999999999998"/>
  </r>
  <r>
    <s v="ORD2772"/>
    <x v="532"/>
    <x v="1"/>
    <s v="PROD155"/>
    <x v="1768"/>
    <n v="631.33000000000004"/>
    <n v="15"/>
    <x v="2"/>
    <s v="Incentivize User-Centric Mindshare"/>
    <x v="1"/>
    <s v="Becker, Wright and Wong"/>
    <n v="38.51"/>
  </r>
  <r>
    <s v="ORD2773"/>
    <x v="1102"/>
    <x v="1"/>
    <s v="PROD101"/>
    <x v="1769"/>
    <n v="282.39"/>
    <n v="7"/>
    <x v="1"/>
    <s v="Harness Proactive Eyeballs"/>
    <x v="1"/>
    <s v="Moran and Sons"/>
    <n v="58.01"/>
  </r>
  <r>
    <s v="ORD2774"/>
    <x v="236"/>
    <x v="2"/>
    <s v="PROD187"/>
    <x v="1770"/>
    <n v="140.6"/>
    <n v="13"/>
    <x v="2"/>
    <s v="Whiteboard Compelling Experiences"/>
    <x v="2"/>
    <s v="Carrillo, Carr and Ball"/>
    <n v="206.54"/>
  </r>
  <r>
    <s v="ORD2775"/>
    <x v="1103"/>
    <x v="3"/>
    <s v="PROD192"/>
    <x v="1771"/>
    <n v="36.39"/>
    <n v="11"/>
    <x v="1"/>
    <s v="Drive Compelling E-Services"/>
    <x v="0"/>
    <s v="Morris-Villanueva"/>
    <n v="27.22"/>
  </r>
  <r>
    <s v="ORD2776"/>
    <x v="1104"/>
    <x v="2"/>
    <s v="PROD197"/>
    <x v="1772"/>
    <n v="743.04"/>
    <n v="13"/>
    <x v="2"/>
    <s v="Leverage Rich Portals"/>
    <x v="0"/>
    <s v="Wilson PLC"/>
    <n v="46.35"/>
  </r>
  <r>
    <s v="ORD2777"/>
    <x v="1105"/>
    <x v="3"/>
    <s v="PROD115"/>
    <x v="1773"/>
    <n v="612.52"/>
    <n v="10"/>
    <x v="0"/>
    <s v="Morph World-Class Synergies"/>
    <x v="1"/>
    <s v="Bryant Ltd"/>
    <n v="20.69"/>
  </r>
  <r>
    <s v="ORD2778"/>
    <x v="474"/>
    <x v="3"/>
    <s v="PROD151"/>
    <x v="1774"/>
    <n v="389.25"/>
    <n v="11"/>
    <x v="2"/>
    <s v="Re-Contextualize Viral Markets"/>
    <x v="1"/>
    <s v="Meadows-Barber"/>
    <n v="177.52"/>
  </r>
  <r>
    <s v="ORD2779"/>
    <x v="892"/>
    <x v="1"/>
    <s v="PROD166"/>
    <x v="1775"/>
    <n v="337.67"/>
    <n v="1"/>
    <x v="2"/>
    <s v="Monetize Wireless Functionalities"/>
    <x v="2"/>
    <s v="Robinson, Rodriguez and Hernandez"/>
    <n v="162.22"/>
  </r>
  <r>
    <s v="ORD2780"/>
    <x v="1106"/>
    <x v="0"/>
    <s v="PROD175"/>
    <x v="1776"/>
    <n v="435.44"/>
    <n v="13"/>
    <x v="2"/>
    <s v="Empower Bleeding-Edge Action-Items"/>
    <x v="2"/>
    <s v="Gray, Hayes and Banks"/>
    <n v="204.26"/>
  </r>
  <r>
    <s v="ORD2781"/>
    <x v="733"/>
    <x v="1"/>
    <s v="PROD186"/>
    <x v="1777"/>
    <n v="985.4"/>
    <n v="3"/>
    <x v="1"/>
    <s v="Reinvent Mission-Critical Markets"/>
    <x v="2"/>
    <s v="Gilbert-Sanders"/>
    <n v="154.21"/>
  </r>
  <r>
    <s v="ORD2782"/>
    <x v="432"/>
    <x v="1"/>
    <s v="PROD118"/>
    <x v="1778"/>
    <n v="81.33"/>
    <n v="3"/>
    <x v="2"/>
    <s v="Engineer Real-Time Architectures"/>
    <x v="2"/>
    <s v="James and Sons"/>
    <n v="127.23"/>
  </r>
  <r>
    <s v="ORD2783"/>
    <x v="1107"/>
    <x v="1"/>
    <s v="PROD132"/>
    <x v="1779"/>
    <n v="287.58"/>
    <n v="7"/>
    <x v="1"/>
    <s v="Synergize End-To-End Roi"/>
    <x v="1"/>
    <s v="Evans-Smith"/>
    <n v="159.85"/>
  </r>
  <r>
    <s v="ORD2784"/>
    <x v="823"/>
    <x v="2"/>
    <s v="PROD146"/>
    <x v="1780"/>
    <n v="538.94000000000005"/>
    <n v="14"/>
    <x v="2"/>
    <s v="Engage Rich Web-Readiness"/>
    <x v="0"/>
    <s v="Turner Inc"/>
    <n v="81.069999999999993"/>
  </r>
  <r>
    <s v="ORD2785"/>
    <x v="926"/>
    <x v="1"/>
    <s v="PROD116"/>
    <x v="1781"/>
    <n v="528.16999999999996"/>
    <n v="13"/>
    <x v="1"/>
    <s v="Synergize Cross-Platform Vortals"/>
    <x v="2"/>
    <s v="Edwards Group"/>
    <n v="87.18"/>
  </r>
  <r>
    <s v="ORD2786"/>
    <x v="268"/>
    <x v="1"/>
    <s v="PROD138"/>
    <x v="1782"/>
    <n v="949.41"/>
    <n v="7"/>
    <x v="2"/>
    <s v="Deliver Viral Eyeballs"/>
    <x v="0"/>
    <s v="Estes, Chan and Thomas"/>
    <n v="16.89"/>
  </r>
  <r>
    <s v="ORD2787"/>
    <x v="570"/>
    <x v="1"/>
    <s v="PROD176"/>
    <x v="1783"/>
    <n v="534.4"/>
    <n v="16"/>
    <x v="1"/>
    <s v="Facilitate Integrated E-Business"/>
    <x v="0"/>
    <s v="Chang-Vargas"/>
    <n v="130.33000000000001"/>
  </r>
  <r>
    <s v="ORD2788"/>
    <x v="876"/>
    <x v="2"/>
    <s v="PROD138"/>
    <x v="1784"/>
    <n v="332.95"/>
    <n v="19"/>
    <x v="2"/>
    <s v="Deliver Viral Eyeballs"/>
    <x v="0"/>
    <s v="Estes, Chan and Thomas"/>
    <n v="16.89"/>
  </r>
  <r>
    <s v="ORD2789"/>
    <x v="384"/>
    <x v="1"/>
    <s v="PROD128"/>
    <x v="1785"/>
    <n v="903.63"/>
    <n v="20"/>
    <x v="0"/>
    <s v="Brand Distributed Info-Mediaries"/>
    <x v="2"/>
    <s v="Garcia Ltd"/>
    <n v="114.48"/>
  </r>
  <r>
    <s v="ORD2790"/>
    <x v="625"/>
    <x v="1"/>
    <s v="PROD100"/>
    <x v="1786"/>
    <n v="569.85"/>
    <n v="1"/>
    <x v="1"/>
    <s v="Synthesize Scalable Portals"/>
    <x v="2"/>
    <s v="Singh, Villa and Flynn"/>
    <n v="298.57"/>
  </r>
  <r>
    <s v="ORD2791"/>
    <x v="278"/>
    <x v="2"/>
    <s v="PROD170"/>
    <x v="1787"/>
    <n v="253"/>
    <n v="15"/>
    <x v="0"/>
    <s v="Deliver Sticky Networks"/>
    <x v="2"/>
    <s v="Massey LLC"/>
    <n v="272.33"/>
  </r>
  <r>
    <s v="ORD2792"/>
    <x v="1108"/>
    <x v="0"/>
    <s v="PROD168"/>
    <x v="1788"/>
    <n v="758.92"/>
    <n v="5"/>
    <x v="1"/>
    <s v="Facilitate End-To-End Experiences"/>
    <x v="0"/>
    <s v="Pierce-Goodwin"/>
    <n v="260.52999999999997"/>
  </r>
  <r>
    <s v="ORD2793"/>
    <x v="1109"/>
    <x v="2"/>
    <s v="PROD106"/>
    <x v="1789"/>
    <n v="588.79"/>
    <n v="17"/>
    <x v="0"/>
    <s v="Synergize End-To-End Supply-Chains"/>
    <x v="0"/>
    <s v="Higgins-Espinoza"/>
    <n v="279.8"/>
  </r>
  <r>
    <s v="ORD2794"/>
    <x v="1110"/>
    <x v="3"/>
    <s v="PROD105"/>
    <x v="1790"/>
    <n v="14.41"/>
    <n v="19"/>
    <x v="0"/>
    <s v="Transform Holistic Functionalities"/>
    <x v="0"/>
    <s v="Ruiz Ltd"/>
    <n v="179.27"/>
  </r>
  <r>
    <s v="ORD2795"/>
    <x v="1111"/>
    <x v="2"/>
    <s v="PROD125"/>
    <x v="1791"/>
    <n v="258.3"/>
    <n v="18"/>
    <x v="2"/>
    <s v="Leverage Cutting-Edge Vortals"/>
    <x v="1"/>
    <s v="Robinson, Garrett and Chavez"/>
    <n v="117.3"/>
  </r>
  <r>
    <s v="ORD2796"/>
    <x v="859"/>
    <x v="1"/>
    <s v="PROD139"/>
    <x v="1792"/>
    <n v="99.74"/>
    <n v="16"/>
    <x v="2"/>
    <s v="Re-Contextualize Viral Mindshare"/>
    <x v="1"/>
    <s v="Carter-Lane"/>
    <n v="142.25"/>
  </r>
  <r>
    <s v="ORD2797"/>
    <x v="626"/>
    <x v="0"/>
    <s v="PROD168"/>
    <x v="1793"/>
    <n v="56.6"/>
    <n v="15"/>
    <x v="1"/>
    <s v="Facilitate End-To-End Experiences"/>
    <x v="0"/>
    <s v="Pierce-Goodwin"/>
    <n v="260.52999999999997"/>
  </r>
  <r>
    <s v="ORD2798"/>
    <x v="47"/>
    <x v="1"/>
    <s v="PROD178"/>
    <x v="1794"/>
    <n v="418.87"/>
    <n v="4"/>
    <x v="1"/>
    <s v="Monetize Value-Added Niches"/>
    <x v="0"/>
    <s v="Foster, Velazquez and Lee"/>
    <n v="171.51"/>
  </r>
  <r>
    <s v="ORD2799"/>
    <x v="1112"/>
    <x v="0"/>
    <s v="PROD129"/>
    <x v="1795"/>
    <n v="975.28"/>
    <n v="4"/>
    <x v="2"/>
    <s v="Scale Vertical Networks"/>
    <x v="2"/>
    <s v="Lam, Wood and Jacobs"/>
    <n v="133.24"/>
  </r>
  <r>
    <s v="ORD2800"/>
    <x v="972"/>
    <x v="1"/>
    <s v="PROD184"/>
    <x v="1796"/>
    <n v="274.22000000000003"/>
    <n v="6"/>
    <x v="1"/>
    <s v="Embrace 24/365 Functionalities"/>
    <x v="0"/>
    <s v="Smith LLC"/>
    <n v="204.04"/>
  </r>
  <r>
    <s v="ORD2801"/>
    <x v="170"/>
    <x v="2"/>
    <s v="PROD173"/>
    <x v="1797"/>
    <n v="467.91"/>
    <n v="12"/>
    <x v="1"/>
    <s v="Whiteboard Sticky Content"/>
    <x v="2"/>
    <s v="Wolfe Group"/>
    <n v="82.16"/>
  </r>
  <r>
    <s v="ORD2802"/>
    <x v="622"/>
    <x v="1"/>
    <s v="PROD168"/>
    <x v="1798"/>
    <n v="639.9"/>
    <n v="6"/>
    <x v="1"/>
    <s v="Facilitate End-To-End Experiences"/>
    <x v="0"/>
    <s v="Pierce-Goodwin"/>
    <n v="260.52999999999997"/>
  </r>
  <r>
    <s v="ORD2803"/>
    <x v="480"/>
    <x v="2"/>
    <s v="PROD198"/>
    <x v="1799"/>
    <n v="558.9"/>
    <n v="18"/>
    <x v="2"/>
    <s v="Visualize Dynamic E-Commerce"/>
    <x v="2"/>
    <s v="Jones LLC"/>
    <n v="92.61"/>
  </r>
  <r>
    <s v="ORD2804"/>
    <x v="3"/>
    <x v="3"/>
    <s v="PROD156"/>
    <x v="1800"/>
    <n v="992.19"/>
    <n v="1"/>
    <x v="0"/>
    <s v="Empower Killer Info-Mediaries"/>
    <x v="2"/>
    <s v="Jones Ltd"/>
    <n v="213.24"/>
  </r>
  <r>
    <s v="ORD2805"/>
    <x v="1113"/>
    <x v="0"/>
    <s v="PROD139"/>
    <x v="1801"/>
    <n v="401.01"/>
    <n v="7"/>
    <x v="2"/>
    <s v="Re-Contextualize Viral Mindshare"/>
    <x v="1"/>
    <s v="Carter-Lane"/>
    <n v="142.25"/>
  </r>
  <r>
    <s v="ORD2806"/>
    <x v="552"/>
    <x v="1"/>
    <s v="PROD156"/>
    <x v="1802"/>
    <n v="763.83"/>
    <n v="2"/>
    <x v="2"/>
    <s v="Empower Killer Info-Mediaries"/>
    <x v="2"/>
    <s v="Jones Ltd"/>
    <n v="213.24"/>
  </r>
  <r>
    <s v="ORD2807"/>
    <x v="649"/>
    <x v="0"/>
    <s v="PROD104"/>
    <x v="1803"/>
    <n v="836.18"/>
    <n v="1"/>
    <x v="0"/>
    <s v="Implement Clicks-And-Mortar Partnerships"/>
    <x v="1"/>
    <s v="Smith Inc"/>
    <n v="195.53"/>
  </r>
  <r>
    <s v="ORD2808"/>
    <x v="1114"/>
    <x v="2"/>
    <s v="PROD150"/>
    <x v="1804"/>
    <n v="663.63"/>
    <n v="6"/>
    <x v="2"/>
    <s v="Evolve Intuitive Bandwidth"/>
    <x v="0"/>
    <s v="Rogers Group"/>
    <n v="131.63"/>
  </r>
  <r>
    <s v="ORD2809"/>
    <x v="261"/>
    <x v="3"/>
    <s v="PROD137"/>
    <x v="1805"/>
    <n v="244.77"/>
    <n v="20"/>
    <x v="2"/>
    <s v="Optimize Collaborative Initiatives"/>
    <x v="1"/>
    <s v="Adkins Ltd"/>
    <n v="34.46"/>
  </r>
  <r>
    <s v="ORD2810"/>
    <x v="1022"/>
    <x v="1"/>
    <s v="PROD106"/>
    <x v="1806"/>
    <n v="825.62"/>
    <n v="14"/>
    <x v="2"/>
    <s v="Synergize End-To-End Supply-Chains"/>
    <x v="0"/>
    <s v="Higgins-Espinoza"/>
    <n v="279.8"/>
  </r>
  <r>
    <s v="ORD2811"/>
    <x v="912"/>
    <x v="2"/>
    <s v="PROD162"/>
    <x v="1807"/>
    <n v="320.31"/>
    <n v="3"/>
    <x v="0"/>
    <s v="Reinvent Visionary Niches"/>
    <x v="2"/>
    <s v="Huber-Richmond"/>
    <n v="219.81"/>
  </r>
  <r>
    <s v="ORD2812"/>
    <x v="659"/>
    <x v="0"/>
    <s v="PROD116"/>
    <x v="1808"/>
    <n v="431.62"/>
    <n v="2"/>
    <x v="1"/>
    <s v="Synergize Cross-Platform Vortals"/>
    <x v="2"/>
    <s v="Edwards Group"/>
    <n v="87.18"/>
  </r>
  <r>
    <s v="ORD2813"/>
    <x v="566"/>
    <x v="1"/>
    <s v="PROD184"/>
    <x v="1809"/>
    <n v="797.56"/>
    <n v="7"/>
    <x v="0"/>
    <s v="Embrace 24/365 Functionalities"/>
    <x v="0"/>
    <s v="Smith LLC"/>
    <n v="204.04"/>
  </r>
  <r>
    <s v="ORD2814"/>
    <x v="987"/>
    <x v="2"/>
    <s v="PROD148"/>
    <x v="1810"/>
    <n v="628.63"/>
    <n v="20"/>
    <x v="2"/>
    <s v="Empower Seamless Roi"/>
    <x v="0"/>
    <s v="Proctor Group"/>
    <n v="266.64999999999998"/>
  </r>
  <r>
    <s v="ORD2815"/>
    <x v="1115"/>
    <x v="1"/>
    <s v="PROD159"/>
    <x v="1811"/>
    <n v="757.14"/>
    <n v="12"/>
    <x v="1"/>
    <s v="Mesh Intuitive Supply-Chains"/>
    <x v="1"/>
    <s v="Soto, Barnett and Heath"/>
    <n v="281"/>
  </r>
  <r>
    <s v="ORD2816"/>
    <x v="769"/>
    <x v="2"/>
    <s v="PROD160"/>
    <x v="1812"/>
    <n v="72.37"/>
    <n v="4"/>
    <x v="0"/>
    <s v="Deliver Extensible Partnerships"/>
    <x v="2"/>
    <s v="Martin, Paul and Salazar"/>
    <n v="43.76"/>
  </r>
  <r>
    <s v="ORD2817"/>
    <x v="984"/>
    <x v="1"/>
    <s v="PROD192"/>
    <x v="1813"/>
    <n v="150.97"/>
    <n v="17"/>
    <x v="2"/>
    <s v="Drive Compelling E-Services"/>
    <x v="0"/>
    <s v="Morris-Villanueva"/>
    <n v="27.22"/>
  </r>
  <r>
    <s v="ORD2818"/>
    <x v="543"/>
    <x v="3"/>
    <s v="PROD177"/>
    <x v="1814"/>
    <n v="764.44"/>
    <n v="20"/>
    <x v="0"/>
    <s v="Deploy Granular Channels"/>
    <x v="2"/>
    <s v="Barnes Ltd"/>
    <n v="288.99"/>
  </r>
  <r>
    <s v="ORD2819"/>
    <x v="1116"/>
    <x v="0"/>
    <s v="PROD133"/>
    <x v="1815"/>
    <n v="224.14"/>
    <n v="15"/>
    <x v="1"/>
    <s v="Re-Intermediate Seamless Applications"/>
    <x v="0"/>
    <s v="Welch-Reed"/>
    <n v="45.82"/>
  </r>
  <r>
    <s v="ORD2820"/>
    <x v="1075"/>
    <x v="3"/>
    <s v="PROD116"/>
    <x v="1816"/>
    <n v="704.35"/>
    <n v="11"/>
    <x v="1"/>
    <s v="Synergize Cross-Platform Vortals"/>
    <x v="2"/>
    <s v="Edwards Group"/>
    <n v="87.18"/>
  </r>
  <r>
    <s v="ORD2821"/>
    <x v="160"/>
    <x v="2"/>
    <s v="PROD111"/>
    <x v="1817"/>
    <n v="37.18"/>
    <n v="15"/>
    <x v="2"/>
    <s v="Harness Revolutionary Interfaces"/>
    <x v="2"/>
    <s v="Davis, Short and Nguyen"/>
    <n v="26.49"/>
  </r>
  <r>
    <s v="ORD2822"/>
    <x v="176"/>
    <x v="1"/>
    <s v="PROD188"/>
    <x v="1818"/>
    <n v="583.45000000000005"/>
    <n v="8"/>
    <x v="1"/>
    <s v="Transition Mission-Critical Interfaces"/>
    <x v="0"/>
    <s v="Weaver Ltd"/>
    <n v="34.64"/>
  </r>
  <r>
    <s v="ORD2823"/>
    <x v="1117"/>
    <x v="2"/>
    <s v="PROD187"/>
    <x v="1819"/>
    <n v="955.36"/>
    <n v="11"/>
    <x v="2"/>
    <s v="Whiteboard Compelling Experiences"/>
    <x v="2"/>
    <s v="Carrillo, Carr and Ball"/>
    <n v="206.54"/>
  </r>
  <r>
    <s v="ORD2824"/>
    <x v="217"/>
    <x v="0"/>
    <s v="PROD113"/>
    <x v="1820"/>
    <n v="649.02"/>
    <n v="18"/>
    <x v="0"/>
    <s v="Envisioneer B2B Users"/>
    <x v="0"/>
    <s v="Rogers Group"/>
    <n v="239.16"/>
  </r>
  <r>
    <s v="ORD2825"/>
    <x v="1090"/>
    <x v="2"/>
    <s v="PROD137"/>
    <x v="1821"/>
    <n v="297.25"/>
    <n v="3"/>
    <x v="2"/>
    <s v="Optimize Collaborative Initiatives"/>
    <x v="1"/>
    <s v="Adkins Ltd"/>
    <n v="34.46"/>
  </r>
  <r>
    <s v="ORD2826"/>
    <x v="481"/>
    <x v="2"/>
    <s v="PROD175"/>
    <x v="1822"/>
    <n v="25.8"/>
    <n v="18"/>
    <x v="1"/>
    <s v="Empower Bleeding-Edge Action-Items"/>
    <x v="2"/>
    <s v="Gray, Hayes and Banks"/>
    <n v="204.26"/>
  </r>
  <r>
    <s v="ORD2827"/>
    <x v="346"/>
    <x v="0"/>
    <s v="PROD133"/>
    <x v="1823"/>
    <n v="863.51"/>
    <n v="16"/>
    <x v="1"/>
    <s v="Re-Intermediate Seamless Applications"/>
    <x v="0"/>
    <s v="Welch-Reed"/>
    <n v="45.82"/>
  </r>
  <r>
    <s v="ORD2828"/>
    <x v="930"/>
    <x v="2"/>
    <s v="PROD148"/>
    <x v="1824"/>
    <n v="459.07"/>
    <n v="15"/>
    <x v="1"/>
    <s v="Empower Seamless Roi"/>
    <x v="0"/>
    <s v="Proctor Group"/>
    <n v="266.64999999999998"/>
  </r>
  <r>
    <s v="ORD2829"/>
    <x v="1004"/>
    <x v="3"/>
    <s v="PROD106"/>
    <x v="1825"/>
    <n v="524.30999999999995"/>
    <n v="8"/>
    <x v="0"/>
    <s v="Synergize End-To-End Supply-Chains"/>
    <x v="0"/>
    <s v="Higgins-Espinoza"/>
    <n v="279.8"/>
  </r>
  <r>
    <s v="ORD2830"/>
    <x v="798"/>
    <x v="2"/>
    <s v="PROD198"/>
    <x v="1826"/>
    <n v="862.94"/>
    <n v="1"/>
    <x v="1"/>
    <s v="Visualize Dynamic E-Commerce"/>
    <x v="2"/>
    <s v="Jones LLC"/>
    <n v="92.61"/>
  </r>
  <r>
    <s v="ORD2831"/>
    <x v="779"/>
    <x v="3"/>
    <s v="PROD193"/>
    <x v="1827"/>
    <n v="837.79"/>
    <n v="12"/>
    <x v="0"/>
    <s v="Innovate Sticky Web Services"/>
    <x v="1"/>
    <s v="Friedman, Sanders and Adams"/>
    <n v="125.85"/>
  </r>
  <r>
    <s v="ORD2832"/>
    <x v="1118"/>
    <x v="1"/>
    <s v="PROD116"/>
    <x v="1828"/>
    <n v="339.13"/>
    <n v="19"/>
    <x v="0"/>
    <s v="Synergize Cross-Platform Vortals"/>
    <x v="2"/>
    <s v="Edwards Group"/>
    <n v="87.18"/>
  </r>
  <r>
    <s v="ORD2833"/>
    <x v="1119"/>
    <x v="0"/>
    <s v="PROD115"/>
    <x v="1829"/>
    <n v="961.25"/>
    <n v="9"/>
    <x v="2"/>
    <s v="Morph World-Class Synergies"/>
    <x v="1"/>
    <s v="Bryant Ltd"/>
    <n v="20.69"/>
  </r>
  <r>
    <s v="ORD2834"/>
    <x v="1120"/>
    <x v="1"/>
    <s v="PROD121"/>
    <x v="1830"/>
    <n v="71.73"/>
    <n v="2"/>
    <x v="2"/>
    <s v="Whiteboard B2B Content"/>
    <x v="0"/>
    <s v="Romero PLC"/>
    <n v="93.81"/>
  </r>
  <r>
    <s v="ORD2835"/>
    <x v="1121"/>
    <x v="0"/>
    <s v="PROD130"/>
    <x v="1831"/>
    <n v="895.65"/>
    <n v="15"/>
    <x v="1"/>
    <s v="Synthesize Wireless Initiatives"/>
    <x v="1"/>
    <s v="Mosley Ltd"/>
    <n v="162.69999999999999"/>
  </r>
  <r>
    <s v="ORD2836"/>
    <x v="683"/>
    <x v="2"/>
    <s v="PROD189"/>
    <x v="1832"/>
    <n v="713.77"/>
    <n v="9"/>
    <x v="2"/>
    <s v="E-Enable Next-Generation Experiences"/>
    <x v="2"/>
    <s v="Sanchez-Quinn"/>
    <n v="266.93"/>
  </r>
  <r>
    <s v="ORD2837"/>
    <x v="862"/>
    <x v="2"/>
    <s v="PROD152"/>
    <x v="1833"/>
    <n v="547.04999999999995"/>
    <n v="6"/>
    <x v="0"/>
    <s v="Reinvent Frictionless Roi"/>
    <x v="2"/>
    <s v="Bridges, Castillo and Rodriguez"/>
    <n v="253.89"/>
  </r>
  <r>
    <s v="ORD2838"/>
    <x v="1122"/>
    <x v="0"/>
    <s v="PROD127"/>
    <x v="1834"/>
    <n v="156.54"/>
    <n v="2"/>
    <x v="1"/>
    <s v="Deliver Viral Channels"/>
    <x v="2"/>
    <s v="Parker LLC"/>
    <n v="45.41"/>
  </r>
  <r>
    <s v="ORD2839"/>
    <x v="365"/>
    <x v="3"/>
    <s v="PROD143"/>
    <x v="1835"/>
    <n v="34.32"/>
    <n v="14"/>
    <x v="2"/>
    <s v="E-Enable Synergistic Vortals"/>
    <x v="1"/>
    <s v="Guzman Group"/>
    <n v="278.43"/>
  </r>
  <r>
    <s v="ORD2840"/>
    <x v="820"/>
    <x v="2"/>
    <s v="PROD143"/>
    <x v="1836"/>
    <n v="880.42"/>
    <n v="2"/>
    <x v="0"/>
    <s v="E-Enable Synergistic Vortals"/>
    <x v="1"/>
    <s v="Guzman Group"/>
    <n v="278.43"/>
  </r>
  <r>
    <s v="ORD2841"/>
    <x v="1123"/>
    <x v="0"/>
    <s v="PROD107"/>
    <x v="1837"/>
    <n v="124.36"/>
    <n v="15"/>
    <x v="0"/>
    <s v="Utilize Back-End Models"/>
    <x v="2"/>
    <s v="Lewis-Holden"/>
    <n v="241.53"/>
  </r>
  <r>
    <s v="ORD2842"/>
    <x v="1124"/>
    <x v="2"/>
    <s v="PROD137"/>
    <x v="1838"/>
    <n v="222.09"/>
    <n v="8"/>
    <x v="0"/>
    <s v="Optimize Collaborative Initiatives"/>
    <x v="1"/>
    <s v="Adkins Ltd"/>
    <n v="34.46"/>
  </r>
  <r>
    <s v="ORD2843"/>
    <x v="1125"/>
    <x v="0"/>
    <s v="PROD117"/>
    <x v="1839"/>
    <n v="69.09"/>
    <n v="12"/>
    <x v="0"/>
    <s v="Revolutionize Efficient Niches"/>
    <x v="1"/>
    <s v="Lopez-Torres"/>
    <n v="23.02"/>
  </r>
  <r>
    <s v="ORD2844"/>
    <x v="790"/>
    <x v="1"/>
    <s v="PROD101"/>
    <x v="1840"/>
    <n v="870.71"/>
    <n v="9"/>
    <x v="2"/>
    <s v="Harness Proactive Eyeballs"/>
    <x v="1"/>
    <s v="Moran and Sons"/>
    <n v="58.01"/>
  </r>
  <r>
    <s v="ORD2845"/>
    <x v="2"/>
    <x v="0"/>
    <s v="PROD184"/>
    <x v="1841"/>
    <n v="709.45"/>
    <n v="8"/>
    <x v="2"/>
    <s v="Embrace 24/365 Functionalities"/>
    <x v="0"/>
    <s v="Smith LLC"/>
    <n v="204.04"/>
  </r>
  <r>
    <s v="ORD2846"/>
    <x v="686"/>
    <x v="3"/>
    <s v="PROD112"/>
    <x v="1842"/>
    <n v="633.59"/>
    <n v="20"/>
    <x v="1"/>
    <s v="Seize Clicks-And-Mortar Platforms"/>
    <x v="0"/>
    <s v="Owens, Campos and Wood"/>
    <n v="271.16000000000003"/>
  </r>
  <r>
    <s v="ORD2847"/>
    <x v="522"/>
    <x v="1"/>
    <s v="PROD153"/>
    <x v="1843"/>
    <n v="724.74"/>
    <n v="20"/>
    <x v="1"/>
    <s v="Seize Plug-And-Play Web-Readiness"/>
    <x v="1"/>
    <s v="Joseph, Mayer and Carr"/>
    <n v="102.73"/>
  </r>
  <r>
    <s v="ORD2848"/>
    <x v="330"/>
    <x v="0"/>
    <s v="PROD196"/>
    <x v="1844"/>
    <n v="898.03"/>
    <n v="11"/>
    <x v="1"/>
    <s v="Strategize E-Business Content"/>
    <x v="1"/>
    <s v="Patterson LLC"/>
    <n v="294.02"/>
  </r>
  <r>
    <s v="ORD2849"/>
    <x v="47"/>
    <x v="3"/>
    <s v="PROD117"/>
    <x v="1845"/>
    <n v="475.88"/>
    <n v="12"/>
    <x v="0"/>
    <s v="Revolutionize Efficient Niches"/>
    <x v="1"/>
    <s v="Lopez-Torres"/>
    <n v="23.02"/>
  </r>
  <r>
    <s v="ORD2850"/>
    <x v="227"/>
    <x v="2"/>
    <s v="PROD199"/>
    <x v="1846"/>
    <n v="856.48"/>
    <n v="13"/>
    <x v="0"/>
    <s v="Scale Cross-Platform Web Services"/>
    <x v="2"/>
    <s v="Morrow, Brock and Lewis"/>
    <n v="115.21"/>
  </r>
  <r>
    <s v="ORD2851"/>
    <x v="1126"/>
    <x v="3"/>
    <s v="PROD172"/>
    <x v="1847"/>
    <n v="115.52"/>
    <n v="17"/>
    <x v="0"/>
    <s v="E-Enable Virtual Methodologies"/>
    <x v="0"/>
    <s v="Floyd-Love"/>
    <n v="283.64999999999998"/>
  </r>
  <r>
    <s v="ORD2852"/>
    <x v="85"/>
    <x v="2"/>
    <s v="PROD182"/>
    <x v="1848"/>
    <n v="675.83"/>
    <n v="20"/>
    <x v="1"/>
    <s v="Strategize Best-Of-Breed Web-Readiness"/>
    <x v="0"/>
    <s v="Morris, King and Ayers"/>
    <n v="220.16"/>
  </r>
  <r>
    <s v="ORD2853"/>
    <x v="308"/>
    <x v="0"/>
    <s v="PROD105"/>
    <x v="1849"/>
    <n v="408.46"/>
    <n v="17"/>
    <x v="1"/>
    <s v="Transform Holistic Functionalities"/>
    <x v="0"/>
    <s v="Ruiz Ltd"/>
    <n v="179.27"/>
  </r>
  <r>
    <s v="ORD2854"/>
    <x v="802"/>
    <x v="2"/>
    <s v="PROD164"/>
    <x v="1850"/>
    <n v="327.16000000000003"/>
    <n v="13"/>
    <x v="2"/>
    <s v="Transition Compelling Web-Readiness"/>
    <x v="2"/>
    <s v="Wood-Beck"/>
    <n v="88.34"/>
  </r>
  <r>
    <s v="ORD2855"/>
    <x v="1127"/>
    <x v="2"/>
    <s v="PROD112"/>
    <x v="1851"/>
    <n v="897.08"/>
    <n v="11"/>
    <x v="0"/>
    <s v="Seize Clicks-And-Mortar Platforms"/>
    <x v="0"/>
    <s v="Owens, Campos and Wood"/>
    <n v="271.16000000000003"/>
  </r>
  <r>
    <s v="ORD2856"/>
    <x v="1128"/>
    <x v="2"/>
    <s v="PROD103"/>
    <x v="1852"/>
    <n v="668.39"/>
    <n v="6"/>
    <x v="2"/>
    <s v="Monetize Collaborative Metrics"/>
    <x v="1"/>
    <s v="Ramirez-Brown"/>
    <n v="286.04000000000002"/>
  </r>
  <r>
    <s v="ORD2857"/>
    <x v="1129"/>
    <x v="1"/>
    <s v="PROD176"/>
    <x v="1853"/>
    <n v="957.43"/>
    <n v="20"/>
    <x v="2"/>
    <s v="Facilitate Integrated E-Business"/>
    <x v="0"/>
    <s v="Chang-Vargas"/>
    <n v="130.33000000000001"/>
  </r>
  <r>
    <s v="ORD2858"/>
    <x v="317"/>
    <x v="2"/>
    <s v="PROD192"/>
    <x v="1854"/>
    <n v="989.42"/>
    <n v="3"/>
    <x v="1"/>
    <s v="Drive Compelling E-Services"/>
    <x v="0"/>
    <s v="Morris-Villanueva"/>
    <n v="27.22"/>
  </r>
  <r>
    <s v="ORD2859"/>
    <x v="286"/>
    <x v="1"/>
    <s v="PROD138"/>
    <x v="1855"/>
    <n v="252.66"/>
    <n v="13"/>
    <x v="1"/>
    <s v="Deliver Viral Eyeballs"/>
    <x v="0"/>
    <s v="Estes, Chan and Thomas"/>
    <n v="16.89"/>
  </r>
  <r>
    <s v="ORD2860"/>
    <x v="865"/>
    <x v="0"/>
    <s v="PROD156"/>
    <x v="1856"/>
    <n v="386.8"/>
    <n v="8"/>
    <x v="0"/>
    <s v="Empower Killer Info-Mediaries"/>
    <x v="2"/>
    <s v="Jones Ltd"/>
    <n v="213.24"/>
  </r>
  <r>
    <s v="ORD2861"/>
    <x v="380"/>
    <x v="2"/>
    <s v="PROD150"/>
    <x v="1857"/>
    <n v="289.98"/>
    <n v="9"/>
    <x v="0"/>
    <s v="Evolve Intuitive Bandwidth"/>
    <x v="0"/>
    <s v="Rogers Group"/>
    <n v="131.63"/>
  </r>
  <r>
    <s v="ORD2862"/>
    <x v="1130"/>
    <x v="0"/>
    <s v="PROD147"/>
    <x v="1858"/>
    <n v="117.47"/>
    <n v="2"/>
    <x v="2"/>
    <s v="Brand B2C Info-Mediaries"/>
    <x v="0"/>
    <s v="Preston Ltd"/>
    <n v="13.46"/>
  </r>
  <r>
    <s v="ORD2863"/>
    <x v="1131"/>
    <x v="3"/>
    <s v="PROD128"/>
    <x v="1859"/>
    <n v="832.58"/>
    <n v="11"/>
    <x v="0"/>
    <s v="Brand Distributed Info-Mediaries"/>
    <x v="2"/>
    <s v="Garcia Ltd"/>
    <n v="114.48"/>
  </r>
  <r>
    <s v="ORD2864"/>
    <x v="1132"/>
    <x v="2"/>
    <s v="PROD169"/>
    <x v="1860"/>
    <n v="112.67"/>
    <n v="11"/>
    <x v="0"/>
    <s v="Unleash End-To-End Web Services"/>
    <x v="0"/>
    <s v="Jones Ltd"/>
    <n v="188.02"/>
  </r>
  <r>
    <s v="ORD2865"/>
    <x v="966"/>
    <x v="3"/>
    <s v="PROD163"/>
    <x v="1861"/>
    <n v="379.87"/>
    <n v="18"/>
    <x v="2"/>
    <s v="Grow Back-End Supply-Chains"/>
    <x v="1"/>
    <s v="Green LLC"/>
    <n v="140.08000000000001"/>
  </r>
  <r>
    <s v="ORD2866"/>
    <x v="1133"/>
    <x v="0"/>
    <s v="PROD106"/>
    <x v="1862"/>
    <n v="58.14"/>
    <n v="8"/>
    <x v="2"/>
    <s v="Synergize End-To-End Supply-Chains"/>
    <x v="0"/>
    <s v="Higgins-Espinoza"/>
    <n v="279.8"/>
  </r>
  <r>
    <s v="ORD2867"/>
    <x v="270"/>
    <x v="0"/>
    <s v="PROD164"/>
    <x v="1863"/>
    <n v="415.94"/>
    <n v="3"/>
    <x v="1"/>
    <s v="Transition Compelling Web-Readiness"/>
    <x v="2"/>
    <s v="Wood-Beck"/>
    <n v="88.34"/>
  </r>
  <r>
    <s v="ORD2868"/>
    <x v="1134"/>
    <x v="3"/>
    <s v="PROD116"/>
    <x v="1864"/>
    <n v="255.39"/>
    <n v="16"/>
    <x v="1"/>
    <s v="Synergize Cross-Platform Vortals"/>
    <x v="2"/>
    <s v="Edwards Group"/>
    <n v="87.18"/>
  </r>
  <r>
    <s v="ORD2869"/>
    <x v="474"/>
    <x v="2"/>
    <s v="PROD189"/>
    <x v="1865"/>
    <n v="279.52999999999997"/>
    <n v="9"/>
    <x v="2"/>
    <s v="E-Enable Next-Generation Experiences"/>
    <x v="2"/>
    <s v="Sanchez-Quinn"/>
    <n v="266.93"/>
  </r>
  <r>
    <s v="ORD2870"/>
    <x v="943"/>
    <x v="2"/>
    <s v="PROD118"/>
    <x v="1866"/>
    <n v="829.75"/>
    <n v="19"/>
    <x v="1"/>
    <s v="Engineer Real-Time Architectures"/>
    <x v="2"/>
    <s v="James and Sons"/>
    <n v="127.23"/>
  </r>
  <r>
    <s v="ORD2871"/>
    <x v="1109"/>
    <x v="0"/>
    <s v="PROD148"/>
    <x v="1867"/>
    <n v="566.23"/>
    <n v="3"/>
    <x v="1"/>
    <s v="Empower Seamless Roi"/>
    <x v="0"/>
    <s v="Proctor Group"/>
    <n v="266.64999999999998"/>
  </r>
  <r>
    <s v="ORD2872"/>
    <x v="96"/>
    <x v="1"/>
    <s v="PROD185"/>
    <x v="1868"/>
    <n v="449.25"/>
    <n v="2"/>
    <x v="2"/>
    <s v="Generate End-To-End Functionalities"/>
    <x v="1"/>
    <s v="Sanchez-Stewart"/>
    <n v="196.15"/>
  </r>
  <r>
    <s v="ORD2873"/>
    <x v="1135"/>
    <x v="3"/>
    <s v="PROD111"/>
    <x v="1869"/>
    <n v="573.80999999999995"/>
    <n v="20"/>
    <x v="1"/>
    <s v="Harness Revolutionary Interfaces"/>
    <x v="2"/>
    <s v="Davis, Short and Nguyen"/>
    <n v="26.49"/>
  </r>
  <r>
    <s v="ORD2874"/>
    <x v="50"/>
    <x v="2"/>
    <s v="PROD198"/>
    <x v="1870"/>
    <n v="745.34"/>
    <n v="2"/>
    <x v="0"/>
    <s v="Visualize Dynamic E-Commerce"/>
    <x v="2"/>
    <s v="Jones LLC"/>
    <n v="92.61"/>
  </r>
  <r>
    <s v="ORD2875"/>
    <x v="1024"/>
    <x v="2"/>
    <s v="PROD167"/>
    <x v="1871"/>
    <n v="369.67"/>
    <n v="3"/>
    <x v="2"/>
    <s v="Grow Synergistic Infrastructures"/>
    <x v="2"/>
    <s v="Adams-Carter"/>
    <n v="113.17"/>
  </r>
  <r>
    <s v="ORD2876"/>
    <x v="473"/>
    <x v="3"/>
    <s v="PROD184"/>
    <x v="1872"/>
    <n v="136.55000000000001"/>
    <n v="10"/>
    <x v="2"/>
    <s v="Embrace 24/365 Functionalities"/>
    <x v="0"/>
    <s v="Smith LLC"/>
    <n v="204.04"/>
  </r>
  <r>
    <s v="ORD2877"/>
    <x v="132"/>
    <x v="0"/>
    <s v="PROD128"/>
    <x v="1873"/>
    <n v="820.61"/>
    <n v="3"/>
    <x v="1"/>
    <s v="Brand Distributed Info-Mediaries"/>
    <x v="2"/>
    <s v="Garcia Ltd"/>
    <n v="114.48"/>
  </r>
  <r>
    <s v="ORD2878"/>
    <x v="409"/>
    <x v="1"/>
    <s v="PROD192"/>
    <x v="1874"/>
    <n v="137.43"/>
    <n v="18"/>
    <x v="2"/>
    <s v="Drive Compelling E-Services"/>
    <x v="0"/>
    <s v="Morris-Villanueva"/>
    <n v="27.22"/>
  </r>
  <r>
    <s v="ORD2879"/>
    <x v="233"/>
    <x v="2"/>
    <s v="PROD149"/>
    <x v="1875"/>
    <n v="110.8"/>
    <n v="20"/>
    <x v="0"/>
    <s v="Envisioneer B2C Web-Readiness"/>
    <x v="1"/>
    <s v="Kemp Group"/>
    <n v="97.23"/>
  </r>
  <r>
    <s v="ORD2880"/>
    <x v="644"/>
    <x v="2"/>
    <s v="PROD198"/>
    <x v="1876"/>
    <n v="293.81"/>
    <n v="11"/>
    <x v="2"/>
    <s v="Visualize Dynamic E-Commerce"/>
    <x v="2"/>
    <s v="Jones LLC"/>
    <n v="92.61"/>
  </r>
  <r>
    <s v="ORD2881"/>
    <x v="942"/>
    <x v="0"/>
    <s v="PROD104"/>
    <x v="1877"/>
    <n v="552.28"/>
    <n v="17"/>
    <x v="2"/>
    <s v="Implement Clicks-And-Mortar Partnerships"/>
    <x v="1"/>
    <s v="Smith Inc"/>
    <n v="195.53"/>
  </r>
  <r>
    <s v="ORD2882"/>
    <x v="850"/>
    <x v="1"/>
    <s v="PROD195"/>
    <x v="1878"/>
    <n v="237.21"/>
    <n v="12"/>
    <x v="2"/>
    <s v="Reinvent Out-Of-The-Box Models"/>
    <x v="0"/>
    <s v="Wagner-Curtis"/>
    <n v="172.34"/>
  </r>
  <r>
    <s v="ORD2883"/>
    <x v="177"/>
    <x v="2"/>
    <s v="PROD159"/>
    <x v="1879"/>
    <n v="798.14"/>
    <n v="20"/>
    <x v="0"/>
    <s v="Mesh Intuitive Supply-Chains"/>
    <x v="1"/>
    <s v="Soto, Barnett and Heath"/>
    <n v="281"/>
  </r>
  <r>
    <s v="ORD2884"/>
    <x v="1136"/>
    <x v="0"/>
    <s v="PROD166"/>
    <x v="1880"/>
    <n v="420.97"/>
    <n v="1"/>
    <x v="2"/>
    <s v="Monetize Wireless Functionalities"/>
    <x v="2"/>
    <s v="Robinson, Rodriguez and Hernandez"/>
    <n v="162.22"/>
  </r>
  <r>
    <s v="ORD2885"/>
    <x v="618"/>
    <x v="1"/>
    <s v="PROD160"/>
    <x v="1881"/>
    <n v="63.5"/>
    <n v="13"/>
    <x v="2"/>
    <s v="Deliver Extensible Partnerships"/>
    <x v="2"/>
    <s v="Martin, Paul and Salazar"/>
    <n v="43.76"/>
  </r>
  <r>
    <s v="ORD2886"/>
    <x v="1137"/>
    <x v="2"/>
    <s v="PROD114"/>
    <x v="1882"/>
    <n v="514.59"/>
    <n v="9"/>
    <x v="1"/>
    <s v="Orchestrate User-Centric Platforms"/>
    <x v="2"/>
    <s v="Wells Ltd"/>
    <n v="201.87"/>
  </r>
  <r>
    <s v="ORD2887"/>
    <x v="5"/>
    <x v="1"/>
    <s v="PROD114"/>
    <x v="1883"/>
    <n v="328.21"/>
    <n v="14"/>
    <x v="0"/>
    <s v="Orchestrate User-Centric Platforms"/>
    <x v="2"/>
    <s v="Wells Ltd"/>
    <n v="201.87"/>
  </r>
  <r>
    <s v="ORD2888"/>
    <x v="11"/>
    <x v="3"/>
    <s v="PROD100"/>
    <x v="1884"/>
    <n v="143.88999999999999"/>
    <n v="6"/>
    <x v="0"/>
    <s v="Synthesize Scalable Portals"/>
    <x v="2"/>
    <s v="Singh, Villa and Flynn"/>
    <n v="298.57"/>
  </r>
  <r>
    <s v="ORD2889"/>
    <x v="698"/>
    <x v="3"/>
    <s v="PROD189"/>
    <x v="1885"/>
    <n v="466.05"/>
    <n v="5"/>
    <x v="1"/>
    <s v="E-Enable Next-Generation Experiences"/>
    <x v="2"/>
    <s v="Sanchez-Quinn"/>
    <n v="266.93"/>
  </r>
  <r>
    <s v="ORD2890"/>
    <x v="15"/>
    <x v="3"/>
    <s v="PROD103"/>
    <x v="1886"/>
    <n v="295.77999999999997"/>
    <n v="12"/>
    <x v="2"/>
    <s v="Monetize Collaborative Metrics"/>
    <x v="1"/>
    <s v="Ramirez-Brown"/>
    <n v="286.04000000000002"/>
  </r>
  <r>
    <s v="ORD2891"/>
    <x v="626"/>
    <x v="1"/>
    <s v="PROD135"/>
    <x v="1887"/>
    <n v="551.74"/>
    <n v="13"/>
    <x v="1"/>
    <s v="Optimize 24/365 E-Services"/>
    <x v="0"/>
    <s v="Chase Ltd"/>
    <n v="100.35"/>
  </r>
  <r>
    <s v="ORD2892"/>
    <x v="866"/>
    <x v="0"/>
    <s v="PROD175"/>
    <x v="1888"/>
    <n v="707.62"/>
    <n v="16"/>
    <x v="1"/>
    <s v="Empower Bleeding-Edge Action-Items"/>
    <x v="2"/>
    <s v="Gray, Hayes and Banks"/>
    <n v="204.26"/>
  </r>
  <r>
    <s v="ORD2893"/>
    <x v="1138"/>
    <x v="3"/>
    <s v="PROD180"/>
    <x v="1889"/>
    <n v="128.37"/>
    <n v="8"/>
    <x v="0"/>
    <s v="Iterate Extensible Roi"/>
    <x v="0"/>
    <s v="Hill-Kelly"/>
    <n v="180"/>
  </r>
  <r>
    <s v="ORD2894"/>
    <x v="878"/>
    <x v="2"/>
    <s v="PROD182"/>
    <x v="1890"/>
    <n v="784.14"/>
    <n v="16"/>
    <x v="1"/>
    <s v="Strategize Best-Of-Breed Web-Readiness"/>
    <x v="0"/>
    <s v="Morris, King and Ayers"/>
    <n v="220.16"/>
  </r>
  <r>
    <s v="ORD2895"/>
    <x v="218"/>
    <x v="0"/>
    <s v="PROD167"/>
    <x v="1891"/>
    <n v="733.32"/>
    <n v="17"/>
    <x v="2"/>
    <s v="Grow Synergistic Infrastructures"/>
    <x v="2"/>
    <s v="Adams-Carter"/>
    <n v="113.17"/>
  </r>
  <r>
    <s v="ORD2896"/>
    <x v="1139"/>
    <x v="0"/>
    <s v="PROD132"/>
    <x v="1892"/>
    <n v="455.32"/>
    <n v="4"/>
    <x v="2"/>
    <s v="Synergize End-To-End Roi"/>
    <x v="1"/>
    <s v="Evans-Smith"/>
    <n v="159.85"/>
  </r>
  <r>
    <s v="ORD2897"/>
    <x v="1140"/>
    <x v="2"/>
    <s v="PROD107"/>
    <x v="1893"/>
    <n v="617.19000000000005"/>
    <n v="14"/>
    <x v="0"/>
    <s v="Utilize Back-End Models"/>
    <x v="2"/>
    <s v="Lewis-Holden"/>
    <n v="241.53"/>
  </r>
  <r>
    <s v="ORD2898"/>
    <x v="825"/>
    <x v="3"/>
    <s v="PROD129"/>
    <x v="1894"/>
    <n v="948.82"/>
    <n v="15"/>
    <x v="1"/>
    <s v="Scale Vertical Networks"/>
    <x v="2"/>
    <s v="Lam, Wood and Jacobs"/>
    <n v="133.24"/>
  </r>
  <r>
    <s v="ORD2899"/>
    <x v="594"/>
    <x v="2"/>
    <s v="PROD160"/>
    <x v="1895"/>
    <n v="586.09"/>
    <n v="18"/>
    <x v="1"/>
    <s v="Deliver Extensible Partnerships"/>
    <x v="2"/>
    <s v="Martin, Paul and Salazar"/>
    <n v="43.76"/>
  </r>
  <r>
    <s v="ORD2900"/>
    <x v="532"/>
    <x v="3"/>
    <s v="PROD151"/>
    <x v="1896"/>
    <n v="352.53"/>
    <n v="9"/>
    <x v="0"/>
    <s v="Re-Contextualize Viral Markets"/>
    <x v="1"/>
    <s v="Meadows-Barber"/>
    <n v="177.52"/>
  </r>
  <r>
    <s v="ORD2901"/>
    <x v="686"/>
    <x v="0"/>
    <s v="PROD189"/>
    <x v="1897"/>
    <n v="857.37"/>
    <n v="17"/>
    <x v="2"/>
    <s v="E-Enable Next-Generation Experiences"/>
    <x v="2"/>
    <s v="Sanchez-Quinn"/>
    <n v="266.93"/>
  </r>
  <r>
    <s v="ORD2902"/>
    <x v="1064"/>
    <x v="2"/>
    <s v="PROD108"/>
    <x v="1898"/>
    <n v="910.6"/>
    <n v="12"/>
    <x v="2"/>
    <s v="Synergize World-Class Networks"/>
    <x v="1"/>
    <s v="Gomez-Lawrence"/>
    <n v="72.37"/>
  </r>
  <r>
    <s v="ORD2903"/>
    <x v="874"/>
    <x v="2"/>
    <s v="PROD105"/>
    <x v="1899"/>
    <n v="923.62"/>
    <n v="13"/>
    <x v="2"/>
    <s v="Transform Holistic Functionalities"/>
    <x v="0"/>
    <s v="Ruiz Ltd"/>
    <n v="179.27"/>
  </r>
  <r>
    <s v="ORD2904"/>
    <x v="1141"/>
    <x v="2"/>
    <s v="PROD150"/>
    <x v="1900"/>
    <n v="926.89"/>
    <n v="10"/>
    <x v="1"/>
    <s v="Evolve Intuitive Bandwidth"/>
    <x v="0"/>
    <s v="Rogers Group"/>
    <n v="131.63"/>
  </r>
  <r>
    <s v="ORD2905"/>
    <x v="1142"/>
    <x v="3"/>
    <s v="PROD168"/>
    <x v="1901"/>
    <n v="995.66"/>
    <n v="11"/>
    <x v="0"/>
    <s v="Facilitate End-To-End Experiences"/>
    <x v="0"/>
    <s v="Pierce-Goodwin"/>
    <n v="260.52999999999997"/>
  </r>
  <r>
    <s v="ORD2906"/>
    <x v="132"/>
    <x v="1"/>
    <s v="PROD109"/>
    <x v="1902"/>
    <n v="939.88"/>
    <n v="19"/>
    <x v="2"/>
    <s v="Orchestrate E-Business Niches"/>
    <x v="2"/>
    <s v="Johnson LLC"/>
    <n v="198.99"/>
  </r>
  <r>
    <s v="ORD2907"/>
    <x v="1143"/>
    <x v="0"/>
    <s v="PROD184"/>
    <x v="1903"/>
    <n v="751.86"/>
    <n v="2"/>
    <x v="0"/>
    <s v="Embrace 24/365 Functionalities"/>
    <x v="0"/>
    <s v="Smith LLC"/>
    <n v="204.04"/>
  </r>
  <r>
    <s v="ORD2908"/>
    <x v="1144"/>
    <x v="3"/>
    <s v="PROD146"/>
    <x v="1904"/>
    <n v="88.01"/>
    <n v="16"/>
    <x v="0"/>
    <s v="Engage Rich Web-Readiness"/>
    <x v="0"/>
    <s v="Turner Inc"/>
    <n v="81.069999999999993"/>
  </r>
  <r>
    <s v="ORD2909"/>
    <x v="331"/>
    <x v="3"/>
    <s v="PROD135"/>
    <x v="1905"/>
    <n v="692.94"/>
    <n v="3"/>
    <x v="2"/>
    <s v="Optimize 24/365 E-Services"/>
    <x v="0"/>
    <s v="Chase Ltd"/>
    <n v="100.35"/>
  </r>
  <r>
    <s v="ORD2910"/>
    <x v="1145"/>
    <x v="2"/>
    <s v="PROD177"/>
    <x v="1906"/>
    <n v="546.1"/>
    <n v="7"/>
    <x v="2"/>
    <s v="Deploy Granular Channels"/>
    <x v="2"/>
    <s v="Barnes Ltd"/>
    <n v="288.99"/>
  </r>
  <r>
    <s v="ORD2911"/>
    <x v="1146"/>
    <x v="2"/>
    <s v="PROD112"/>
    <x v="1907"/>
    <n v="821.32"/>
    <n v="20"/>
    <x v="1"/>
    <s v="Seize Clicks-And-Mortar Platforms"/>
    <x v="0"/>
    <s v="Owens, Campos and Wood"/>
    <n v="271.16000000000003"/>
  </r>
  <r>
    <s v="ORD2912"/>
    <x v="143"/>
    <x v="3"/>
    <s v="PROD138"/>
    <x v="1908"/>
    <n v="378.33"/>
    <n v="6"/>
    <x v="0"/>
    <s v="Deliver Viral Eyeballs"/>
    <x v="0"/>
    <s v="Estes, Chan and Thomas"/>
    <n v="16.89"/>
  </r>
  <r>
    <s v="ORD2913"/>
    <x v="1147"/>
    <x v="2"/>
    <s v="PROD129"/>
    <x v="1909"/>
    <n v="397.62"/>
    <n v="19"/>
    <x v="0"/>
    <s v="Scale Vertical Networks"/>
    <x v="2"/>
    <s v="Lam, Wood and Jacobs"/>
    <n v="133.24"/>
  </r>
  <r>
    <s v="ORD2914"/>
    <x v="1148"/>
    <x v="0"/>
    <s v="PROD106"/>
    <x v="1910"/>
    <n v="22.23"/>
    <n v="9"/>
    <x v="0"/>
    <s v="Synergize End-To-End Supply-Chains"/>
    <x v="0"/>
    <s v="Higgins-Espinoza"/>
    <n v="279.8"/>
  </r>
  <r>
    <s v="ORD2915"/>
    <x v="119"/>
    <x v="1"/>
    <s v="PROD158"/>
    <x v="1911"/>
    <n v="675.04"/>
    <n v="20"/>
    <x v="0"/>
    <s v="Brand Web-Enabled Solutions"/>
    <x v="1"/>
    <s v="Russell Group"/>
    <n v="51.67"/>
  </r>
  <r>
    <s v="ORD2916"/>
    <x v="286"/>
    <x v="2"/>
    <s v="PROD112"/>
    <x v="1912"/>
    <n v="164.93"/>
    <n v="7"/>
    <x v="0"/>
    <s v="Seize Clicks-And-Mortar Platforms"/>
    <x v="0"/>
    <s v="Owens, Campos and Wood"/>
    <n v="271.16000000000003"/>
  </r>
  <r>
    <s v="ORD2917"/>
    <x v="1050"/>
    <x v="1"/>
    <s v="PROD157"/>
    <x v="1913"/>
    <n v="323.52"/>
    <n v="2"/>
    <x v="0"/>
    <s v="Implement Rich Platforms"/>
    <x v="1"/>
    <s v="Parker, Anderson and Salazar"/>
    <n v="53.59"/>
  </r>
  <r>
    <s v="ORD2918"/>
    <x v="1149"/>
    <x v="0"/>
    <s v="PROD144"/>
    <x v="1914"/>
    <n v="193.82"/>
    <n v="13"/>
    <x v="1"/>
    <s v="Expedite Synergistic Web-Readiness"/>
    <x v="1"/>
    <s v="Dunlap, Carpenter and Monroe"/>
    <n v="289.66000000000003"/>
  </r>
  <r>
    <s v="ORD2919"/>
    <x v="925"/>
    <x v="1"/>
    <s v="PROD127"/>
    <x v="1915"/>
    <n v="455.81"/>
    <n v="15"/>
    <x v="2"/>
    <s v="Deliver Viral Channels"/>
    <x v="2"/>
    <s v="Parker LLC"/>
    <n v="45.41"/>
  </r>
  <r>
    <s v="ORD2920"/>
    <x v="1150"/>
    <x v="0"/>
    <s v="PROD165"/>
    <x v="1916"/>
    <n v="747.3"/>
    <n v="15"/>
    <x v="1"/>
    <s v="Benchmark Cross-Platform Markets"/>
    <x v="2"/>
    <s v="Murphy, Mathews and Wilson"/>
    <n v="78.88"/>
  </r>
  <r>
    <s v="ORD2921"/>
    <x v="167"/>
    <x v="1"/>
    <s v="PROD127"/>
    <x v="1917"/>
    <n v="297.11"/>
    <n v="18"/>
    <x v="0"/>
    <s v="Deliver Viral Channels"/>
    <x v="2"/>
    <s v="Parker LLC"/>
    <n v="45.41"/>
  </r>
  <r>
    <s v="ORD2922"/>
    <x v="317"/>
    <x v="1"/>
    <s v="PROD124"/>
    <x v="1918"/>
    <n v="478.16"/>
    <n v="3"/>
    <x v="0"/>
    <s v="Incubate Real-Time E-Tailers"/>
    <x v="1"/>
    <s v="Johnson-Riley"/>
    <n v="86.67"/>
  </r>
  <r>
    <s v="ORD2923"/>
    <x v="1151"/>
    <x v="2"/>
    <s v="PROD101"/>
    <x v="1919"/>
    <n v="147.09"/>
    <n v="6"/>
    <x v="2"/>
    <s v="Harness Proactive Eyeballs"/>
    <x v="1"/>
    <s v="Moran and Sons"/>
    <n v="58.01"/>
  </r>
  <r>
    <s v="ORD2924"/>
    <x v="1152"/>
    <x v="3"/>
    <s v="PROD104"/>
    <x v="1920"/>
    <n v="337.64"/>
    <n v="20"/>
    <x v="0"/>
    <s v="Implement Clicks-And-Mortar Partnerships"/>
    <x v="1"/>
    <s v="Smith Inc"/>
    <n v="195.53"/>
  </r>
  <r>
    <s v="ORD2925"/>
    <x v="570"/>
    <x v="1"/>
    <s v="PROD174"/>
    <x v="1921"/>
    <n v="441.92"/>
    <n v="8"/>
    <x v="1"/>
    <s v="Disintermediate Scalable Bandwidth"/>
    <x v="1"/>
    <s v="Levy PLC"/>
    <n v="19.86"/>
  </r>
  <r>
    <s v="ORD2926"/>
    <x v="1153"/>
    <x v="3"/>
    <s v="PROD142"/>
    <x v="1922"/>
    <n v="891.82"/>
    <n v="3"/>
    <x v="1"/>
    <s v="Target Bricks-And-Clicks Channels"/>
    <x v="1"/>
    <s v="Dunn, Christensen and Meyer"/>
    <n v="126.86"/>
  </r>
  <r>
    <s v="ORD2927"/>
    <x v="894"/>
    <x v="3"/>
    <s v="PROD140"/>
    <x v="1923"/>
    <n v="313.51"/>
    <n v="18"/>
    <x v="1"/>
    <s v="Extend Bricks-And-Clicks Architectures"/>
    <x v="2"/>
    <s v="Fuller PLC"/>
    <n v="202.99"/>
  </r>
  <r>
    <s v="ORD2928"/>
    <x v="274"/>
    <x v="0"/>
    <s v="PROD197"/>
    <x v="1924"/>
    <n v="756.63"/>
    <n v="13"/>
    <x v="0"/>
    <s v="Leverage Rich Portals"/>
    <x v="0"/>
    <s v="Wilson PLC"/>
    <n v="46.35"/>
  </r>
  <r>
    <s v="ORD2929"/>
    <x v="1154"/>
    <x v="1"/>
    <s v="PROD197"/>
    <x v="1925"/>
    <n v="707.01"/>
    <n v="17"/>
    <x v="1"/>
    <s v="Leverage Rich Portals"/>
    <x v="0"/>
    <s v="Wilson PLC"/>
    <n v="46.35"/>
  </r>
  <r>
    <s v="ORD2930"/>
    <x v="218"/>
    <x v="2"/>
    <s v="PROD172"/>
    <x v="1926"/>
    <n v="695.21"/>
    <n v="18"/>
    <x v="1"/>
    <s v="E-Enable Virtual Methodologies"/>
    <x v="0"/>
    <s v="Floyd-Love"/>
    <n v="283.64999999999998"/>
  </r>
  <r>
    <s v="ORD2931"/>
    <x v="376"/>
    <x v="2"/>
    <s v="PROD121"/>
    <x v="1927"/>
    <n v="332.25"/>
    <n v="19"/>
    <x v="0"/>
    <s v="Whiteboard B2B Content"/>
    <x v="0"/>
    <s v="Romero PLC"/>
    <n v="93.81"/>
  </r>
  <r>
    <s v="ORD2932"/>
    <x v="54"/>
    <x v="0"/>
    <s v="PROD122"/>
    <x v="1928"/>
    <n v="36.200000000000003"/>
    <n v="9"/>
    <x v="0"/>
    <s v="Empower Dot-Com Deliverables"/>
    <x v="1"/>
    <s v="Davis LLC"/>
    <n v="250.66"/>
  </r>
  <r>
    <s v="ORD2933"/>
    <x v="1155"/>
    <x v="3"/>
    <s v="PROD171"/>
    <x v="1929"/>
    <n v="677.01"/>
    <n v="1"/>
    <x v="0"/>
    <s v="Scale 24/365 Networks"/>
    <x v="2"/>
    <s v="Kim-Hamilton"/>
    <n v="157.55000000000001"/>
  </r>
  <r>
    <s v="ORD2934"/>
    <x v="1009"/>
    <x v="1"/>
    <s v="PROD134"/>
    <x v="1930"/>
    <n v="689.27"/>
    <n v="7"/>
    <x v="0"/>
    <s v="Utilize Ubiquitous Synergies"/>
    <x v="1"/>
    <s v="Kramer, Huang and Shaw"/>
    <n v="295.89999999999998"/>
  </r>
  <r>
    <s v="ORD2935"/>
    <x v="1156"/>
    <x v="3"/>
    <s v="PROD140"/>
    <x v="1931"/>
    <n v="707.72"/>
    <n v="12"/>
    <x v="0"/>
    <s v="Extend Bricks-And-Clicks Architectures"/>
    <x v="2"/>
    <s v="Fuller PLC"/>
    <n v="202.99"/>
  </r>
  <r>
    <s v="ORD2936"/>
    <x v="1157"/>
    <x v="3"/>
    <s v="PROD100"/>
    <x v="1932"/>
    <n v="414.14"/>
    <n v="9"/>
    <x v="0"/>
    <s v="Synthesize Scalable Portals"/>
    <x v="2"/>
    <s v="Singh, Villa and Flynn"/>
    <n v="298.57"/>
  </r>
  <r>
    <s v="ORD2937"/>
    <x v="1158"/>
    <x v="3"/>
    <s v="PROD153"/>
    <x v="1933"/>
    <n v="860.63"/>
    <n v="16"/>
    <x v="1"/>
    <s v="Seize Plug-And-Play Web-Readiness"/>
    <x v="1"/>
    <s v="Joseph, Mayer and Carr"/>
    <n v="102.73"/>
  </r>
  <r>
    <s v="ORD2938"/>
    <x v="456"/>
    <x v="3"/>
    <s v="PROD157"/>
    <x v="1934"/>
    <n v="350.2"/>
    <n v="5"/>
    <x v="1"/>
    <s v="Implement Rich Platforms"/>
    <x v="1"/>
    <s v="Parker, Anderson and Salazar"/>
    <n v="53.59"/>
  </r>
  <r>
    <s v="ORD2939"/>
    <x v="1159"/>
    <x v="3"/>
    <s v="PROD192"/>
    <x v="1935"/>
    <n v="870.77"/>
    <n v="1"/>
    <x v="0"/>
    <s v="Drive Compelling E-Services"/>
    <x v="0"/>
    <s v="Morris-Villanueva"/>
    <n v="27.22"/>
  </r>
  <r>
    <s v="ORD2940"/>
    <x v="1160"/>
    <x v="0"/>
    <s v="PROD146"/>
    <x v="1936"/>
    <n v="386"/>
    <n v="3"/>
    <x v="0"/>
    <s v="Engage Rich Web-Readiness"/>
    <x v="0"/>
    <s v="Turner Inc"/>
    <n v="81.069999999999993"/>
  </r>
  <r>
    <s v="ORD2941"/>
    <x v="1161"/>
    <x v="0"/>
    <s v="PROD124"/>
    <x v="1937"/>
    <n v="196.01"/>
    <n v="9"/>
    <x v="2"/>
    <s v="Incubate Real-Time E-Tailers"/>
    <x v="1"/>
    <s v="Johnson-Riley"/>
    <n v="86.67"/>
  </r>
  <r>
    <s v="ORD2942"/>
    <x v="955"/>
    <x v="1"/>
    <s v="PROD105"/>
    <x v="1938"/>
    <n v="332.03"/>
    <n v="9"/>
    <x v="0"/>
    <s v="Transform Holistic Functionalities"/>
    <x v="0"/>
    <s v="Ruiz Ltd"/>
    <n v="179.27"/>
  </r>
  <r>
    <s v="ORD2943"/>
    <x v="1162"/>
    <x v="0"/>
    <s v="PROD197"/>
    <x v="1939"/>
    <n v="909.87"/>
    <n v="14"/>
    <x v="2"/>
    <s v="Leverage Rich Portals"/>
    <x v="0"/>
    <s v="Wilson PLC"/>
    <n v="46.35"/>
  </r>
  <r>
    <s v="ORD2944"/>
    <x v="466"/>
    <x v="0"/>
    <s v="PROD171"/>
    <x v="1940"/>
    <n v="675.29"/>
    <n v="7"/>
    <x v="0"/>
    <s v="Scale 24/365 Networks"/>
    <x v="2"/>
    <s v="Kim-Hamilton"/>
    <n v="157.55000000000001"/>
  </r>
  <r>
    <s v="ORD2945"/>
    <x v="28"/>
    <x v="3"/>
    <s v="PROD197"/>
    <x v="1941"/>
    <n v="172.08"/>
    <n v="12"/>
    <x v="2"/>
    <s v="Leverage Rich Portals"/>
    <x v="0"/>
    <s v="Wilson PLC"/>
    <n v="46.35"/>
  </r>
  <r>
    <s v="ORD2946"/>
    <x v="1008"/>
    <x v="1"/>
    <s v="PROD177"/>
    <x v="1942"/>
    <n v="955.45"/>
    <n v="2"/>
    <x v="2"/>
    <s v="Deploy Granular Channels"/>
    <x v="2"/>
    <s v="Barnes Ltd"/>
    <n v="288.99"/>
  </r>
  <r>
    <s v="ORD2947"/>
    <x v="891"/>
    <x v="1"/>
    <s v="PROD118"/>
    <x v="1943"/>
    <n v="280.10000000000002"/>
    <n v="8"/>
    <x v="2"/>
    <s v="Engineer Real-Time Architectures"/>
    <x v="2"/>
    <s v="James and Sons"/>
    <n v="127.23"/>
  </r>
  <r>
    <s v="ORD2948"/>
    <x v="1163"/>
    <x v="3"/>
    <s v="PROD173"/>
    <x v="1944"/>
    <n v="433.9"/>
    <n v="14"/>
    <x v="0"/>
    <s v="Whiteboard Sticky Content"/>
    <x v="2"/>
    <s v="Wolfe Group"/>
    <n v="82.16"/>
  </r>
  <r>
    <s v="ORD2949"/>
    <x v="1164"/>
    <x v="0"/>
    <s v="PROD190"/>
    <x v="1945"/>
    <n v="276.43"/>
    <n v="11"/>
    <x v="0"/>
    <s v="Repurpose End-To-End Networks"/>
    <x v="0"/>
    <s v="Torres-Rush"/>
    <n v="97.02"/>
  </r>
  <r>
    <s v="ORD2950"/>
    <x v="376"/>
    <x v="0"/>
    <s v="PROD127"/>
    <x v="1946"/>
    <n v="901.42"/>
    <n v="14"/>
    <x v="2"/>
    <s v="Deliver Viral Channels"/>
    <x v="2"/>
    <s v="Parker LLC"/>
    <n v="45.41"/>
  </r>
  <r>
    <s v="ORD2951"/>
    <x v="493"/>
    <x v="1"/>
    <s v="PROD100"/>
    <x v="1947"/>
    <n v="990.14"/>
    <n v="2"/>
    <x v="0"/>
    <s v="Synthesize Scalable Portals"/>
    <x v="2"/>
    <s v="Singh, Villa and Flynn"/>
    <n v="298.57"/>
  </r>
  <r>
    <s v="ORD2952"/>
    <x v="135"/>
    <x v="1"/>
    <s v="PROD183"/>
    <x v="1948"/>
    <n v="230.49"/>
    <n v="14"/>
    <x v="0"/>
    <s v="Incentivize Front-End Mindshare"/>
    <x v="1"/>
    <s v="Phillips-Tran"/>
    <n v="196.86"/>
  </r>
  <r>
    <s v="ORD2953"/>
    <x v="1165"/>
    <x v="0"/>
    <s v="PROD165"/>
    <x v="1949"/>
    <n v="755.48"/>
    <n v="13"/>
    <x v="1"/>
    <s v="Benchmark Cross-Platform Markets"/>
    <x v="2"/>
    <s v="Murphy, Mathews and Wilson"/>
    <n v="78.88"/>
  </r>
  <r>
    <s v="ORD2954"/>
    <x v="1057"/>
    <x v="1"/>
    <s v="PROD154"/>
    <x v="1950"/>
    <n v="751.13"/>
    <n v="18"/>
    <x v="2"/>
    <s v="Utilize Virtual Partnerships"/>
    <x v="2"/>
    <s v="Smith, Diaz and Heath"/>
    <n v="193.02"/>
  </r>
  <r>
    <s v="ORD2955"/>
    <x v="310"/>
    <x v="1"/>
    <s v="PROD101"/>
    <x v="1951"/>
    <n v="35.81"/>
    <n v="7"/>
    <x v="2"/>
    <s v="Harness Proactive Eyeballs"/>
    <x v="1"/>
    <s v="Moran and Sons"/>
    <n v="58.01"/>
  </r>
  <r>
    <s v="ORD2956"/>
    <x v="975"/>
    <x v="1"/>
    <s v="PROD175"/>
    <x v="1952"/>
    <n v="85.06"/>
    <n v="20"/>
    <x v="1"/>
    <s v="Empower Bleeding-Edge Action-Items"/>
    <x v="2"/>
    <s v="Gray, Hayes and Banks"/>
    <n v="204.26"/>
  </r>
  <r>
    <s v="ORD2957"/>
    <x v="323"/>
    <x v="0"/>
    <s v="PROD101"/>
    <x v="1953"/>
    <n v="886.25"/>
    <n v="6"/>
    <x v="1"/>
    <s v="Harness Proactive Eyeballs"/>
    <x v="1"/>
    <s v="Moran and Sons"/>
    <n v="58.01"/>
  </r>
  <r>
    <s v="ORD2958"/>
    <x v="384"/>
    <x v="0"/>
    <s v="PROD173"/>
    <x v="1954"/>
    <n v="710.09"/>
    <n v="6"/>
    <x v="1"/>
    <s v="Whiteboard Sticky Content"/>
    <x v="2"/>
    <s v="Wolfe Group"/>
    <n v="82.16"/>
  </r>
  <r>
    <s v="ORD2959"/>
    <x v="1166"/>
    <x v="1"/>
    <s v="PROD126"/>
    <x v="1955"/>
    <n v="152.26"/>
    <n v="8"/>
    <x v="2"/>
    <s v="Streamline Innovative Architectures"/>
    <x v="2"/>
    <s v="Price, Valentine and Lutz"/>
    <n v="291.14999999999998"/>
  </r>
  <r>
    <s v="ORD2960"/>
    <x v="505"/>
    <x v="2"/>
    <s v="PROD167"/>
    <x v="1956"/>
    <n v="65.59"/>
    <n v="8"/>
    <x v="1"/>
    <s v="Grow Synergistic Infrastructures"/>
    <x v="2"/>
    <s v="Adams-Carter"/>
    <n v="113.17"/>
  </r>
  <r>
    <s v="ORD2961"/>
    <x v="1167"/>
    <x v="0"/>
    <s v="PROD118"/>
    <x v="1957"/>
    <n v="347.54"/>
    <n v="10"/>
    <x v="2"/>
    <s v="Engineer Real-Time Architectures"/>
    <x v="2"/>
    <s v="James and Sons"/>
    <n v="127.23"/>
  </r>
  <r>
    <s v="ORD2962"/>
    <x v="488"/>
    <x v="3"/>
    <s v="PROD133"/>
    <x v="1958"/>
    <n v="937.39"/>
    <n v="12"/>
    <x v="1"/>
    <s v="Re-Intermediate Seamless Applications"/>
    <x v="0"/>
    <s v="Welch-Reed"/>
    <n v="45.82"/>
  </r>
  <r>
    <s v="ORD2963"/>
    <x v="772"/>
    <x v="0"/>
    <s v="PROD109"/>
    <x v="1959"/>
    <n v="624.01"/>
    <n v="16"/>
    <x v="2"/>
    <s v="Orchestrate E-Business Niches"/>
    <x v="2"/>
    <s v="Johnson LLC"/>
    <n v="198.99"/>
  </r>
  <r>
    <s v="ORD2964"/>
    <x v="1066"/>
    <x v="3"/>
    <s v="PROD167"/>
    <x v="1960"/>
    <n v="855.18"/>
    <n v="13"/>
    <x v="0"/>
    <s v="Grow Synergistic Infrastructures"/>
    <x v="2"/>
    <s v="Adams-Carter"/>
    <n v="113.17"/>
  </r>
  <r>
    <s v="ORD2965"/>
    <x v="503"/>
    <x v="1"/>
    <s v="PROD107"/>
    <x v="1961"/>
    <n v="354.25"/>
    <n v="12"/>
    <x v="1"/>
    <s v="Utilize Back-End Models"/>
    <x v="2"/>
    <s v="Lewis-Holden"/>
    <n v="241.53"/>
  </r>
  <r>
    <s v="ORD2966"/>
    <x v="1137"/>
    <x v="1"/>
    <s v="PROD126"/>
    <x v="1962"/>
    <n v="901.62"/>
    <n v="13"/>
    <x v="2"/>
    <s v="Streamline Innovative Architectures"/>
    <x v="2"/>
    <s v="Price, Valentine and Lutz"/>
    <n v="291.14999999999998"/>
  </r>
  <r>
    <s v="ORD2967"/>
    <x v="658"/>
    <x v="2"/>
    <s v="PROD185"/>
    <x v="1963"/>
    <n v="289.67"/>
    <n v="7"/>
    <x v="1"/>
    <s v="Generate End-To-End Functionalities"/>
    <x v="1"/>
    <s v="Sanchez-Stewart"/>
    <n v="196.15"/>
  </r>
  <r>
    <s v="ORD2968"/>
    <x v="848"/>
    <x v="1"/>
    <s v="PROD164"/>
    <x v="1964"/>
    <n v="455.08"/>
    <n v="11"/>
    <x v="0"/>
    <s v="Transition Compelling Web-Readiness"/>
    <x v="2"/>
    <s v="Wood-Beck"/>
    <n v="88.34"/>
  </r>
  <r>
    <s v="ORD2969"/>
    <x v="652"/>
    <x v="0"/>
    <s v="PROD124"/>
    <x v="1965"/>
    <n v="456.18"/>
    <n v="7"/>
    <x v="1"/>
    <s v="Incubate Real-Time E-Tailers"/>
    <x v="1"/>
    <s v="Johnson-Riley"/>
    <n v="86.67"/>
  </r>
  <r>
    <s v="ORD2970"/>
    <x v="41"/>
    <x v="1"/>
    <s v="PROD180"/>
    <x v="1966"/>
    <n v="638.98"/>
    <n v="6"/>
    <x v="1"/>
    <s v="Iterate Extensible Roi"/>
    <x v="0"/>
    <s v="Hill-Kelly"/>
    <n v="180"/>
  </r>
  <r>
    <s v="ORD2971"/>
    <x v="1135"/>
    <x v="2"/>
    <s v="PROD143"/>
    <x v="1967"/>
    <n v="371.08"/>
    <n v="8"/>
    <x v="0"/>
    <s v="E-Enable Synergistic Vortals"/>
    <x v="1"/>
    <s v="Guzman Group"/>
    <n v="278.43"/>
  </r>
  <r>
    <s v="ORD2972"/>
    <x v="1168"/>
    <x v="2"/>
    <s v="PROD114"/>
    <x v="1968"/>
    <n v="73.91"/>
    <n v="10"/>
    <x v="1"/>
    <s v="Orchestrate User-Centric Platforms"/>
    <x v="2"/>
    <s v="Wells Ltd"/>
    <n v="201.87"/>
  </r>
  <r>
    <s v="ORD2973"/>
    <x v="1169"/>
    <x v="3"/>
    <s v="PROD168"/>
    <x v="1969"/>
    <n v="722.23"/>
    <n v="5"/>
    <x v="2"/>
    <s v="Facilitate End-To-End Experiences"/>
    <x v="0"/>
    <s v="Pierce-Goodwin"/>
    <n v="260.52999999999997"/>
  </r>
  <r>
    <s v="ORD2974"/>
    <x v="1170"/>
    <x v="3"/>
    <s v="PROD181"/>
    <x v="1970"/>
    <n v="316.64999999999998"/>
    <n v="7"/>
    <x v="1"/>
    <s v="Extend Bricks-And-Clicks Niches"/>
    <x v="0"/>
    <s v="Hernandez-Rios"/>
    <n v="65.989999999999995"/>
  </r>
  <r>
    <s v="ORD2975"/>
    <x v="785"/>
    <x v="3"/>
    <s v="PROD114"/>
    <x v="1971"/>
    <n v="56.57"/>
    <n v="12"/>
    <x v="2"/>
    <s v="Orchestrate User-Centric Platforms"/>
    <x v="2"/>
    <s v="Wells Ltd"/>
    <n v="201.87"/>
  </r>
  <r>
    <s v="ORD2976"/>
    <x v="705"/>
    <x v="3"/>
    <s v="PROD150"/>
    <x v="1972"/>
    <n v="758.38"/>
    <n v="4"/>
    <x v="1"/>
    <s v="Evolve Intuitive Bandwidth"/>
    <x v="0"/>
    <s v="Rogers Group"/>
    <n v="131.63"/>
  </r>
  <r>
    <s v="ORD2977"/>
    <x v="356"/>
    <x v="1"/>
    <s v="PROD172"/>
    <x v="1973"/>
    <n v="505.04"/>
    <n v="12"/>
    <x v="0"/>
    <s v="E-Enable Virtual Methodologies"/>
    <x v="0"/>
    <s v="Floyd-Love"/>
    <n v="283.64999999999998"/>
  </r>
  <r>
    <s v="ORD2978"/>
    <x v="855"/>
    <x v="2"/>
    <s v="PROD106"/>
    <x v="1974"/>
    <n v="800.14"/>
    <n v="20"/>
    <x v="1"/>
    <s v="Synergize End-To-End Supply-Chains"/>
    <x v="0"/>
    <s v="Higgins-Espinoza"/>
    <n v="279.8"/>
  </r>
  <r>
    <s v="ORD2979"/>
    <x v="1171"/>
    <x v="3"/>
    <s v="PROD177"/>
    <x v="1975"/>
    <n v="560.71"/>
    <n v="7"/>
    <x v="2"/>
    <s v="Deploy Granular Channels"/>
    <x v="2"/>
    <s v="Barnes Ltd"/>
    <n v="288.99"/>
  </r>
  <r>
    <s v="ORD2980"/>
    <x v="1172"/>
    <x v="3"/>
    <s v="PROD184"/>
    <x v="1976"/>
    <n v="571.86"/>
    <n v="7"/>
    <x v="0"/>
    <s v="Embrace 24/365 Functionalities"/>
    <x v="0"/>
    <s v="Smith LLC"/>
    <n v="204.04"/>
  </r>
  <r>
    <s v="ORD2981"/>
    <x v="1173"/>
    <x v="1"/>
    <s v="PROD131"/>
    <x v="1977"/>
    <n v="943.42"/>
    <n v="11"/>
    <x v="0"/>
    <s v="Scale Bleeding-Edge Schemas"/>
    <x v="1"/>
    <s v="Frazier-Schneider"/>
    <n v="54.8"/>
  </r>
  <r>
    <s v="ORD2982"/>
    <x v="889"/>
    <x v="3"/>
    <s v="PROD130"/>
    <x v="1978"/>
    <n v="850.02"/>
    <n v="10"/>
    <x v="2"/>
    <s v="Synthesize Wireless Initiatives"/>
    <x v="1"/>
    <s v="Mosley Ltd"/>
    <n v="162.69999999999999"/>
  </r>
  <r>
    <s v="ORD2983"/>
    <x v="265"/>
    <x v="0"/>
    <s v="PROD147"/>
    <x v="1979"/>
    <n v="279.48"/>
    <n v="12"/>
    <x v="0"/>
    <s v="Brand B2C Info-Mediaries"/>
    <x v="0"/>
    <s v="Preston Ltd"/>
    <n v="13.46"/>
  </r>
  <r>
    <s v="ORD2984"/>
    <x v="786"/>
    <x v="0"/>
    <s v="PROD176"/>
    <x v="1980"/>
    <n v="424.08"/>
    <n v="16"/>
    <x v="0"/>
    <s v="Facilitate Integrated E-Business"/>
    <x v="0"/>
    <s v="Chang-Vargas"/>
    <n v="130.33000000000001"/>
  </r>
  <r>
    <s v="ORD2985"/>
    <x v="333"/>
    <x v="3"/>
    <s v="PROD171"/>
    <x v="1981"/>
    <n v="750.59"/>
    <n v="12"/>
    <x v="2"/>
    <s v="Scale 24/365 Networks"/>
    <x v="2"/>
    <s v="Kim-Hamilton"/>
    <n v="157.55000000000001"/>
  </r>
  <r>
    <s v="ORD2986"/>
    <x v="1174"/>
    <x v="1"/>
    <s v="PROD111"/>
    <x v="1982"/>
    <n v="575.76"/>
    <n v="5"/>
    <x v="0"/>
    <s v="Harness Revolutionary Interfaces"/>
    <x v="2"/>
    <s v="Davis, Short and Nguyen"/>
    <n v="26.49"/>
  </r>
  <r>
    <s v="ORD2987"/>
    <x v="707"/>
    <x v="0"/>
    <s v="PROD171"/>
    <x v="1983"/>
    <n v="601.11"/>
    <n v="16"/>
    <x v="1"/>
    <s v="Scale 24/365 Networks"/>
    <x v="2"/>
    <s v="Kim-Hamilton"/>
    <n v="157.55000000000001"/>
  </r>
  <r>
    <s v="ORD2988"/>
    <x v="1175"/>
    <x v="0"/>
    <s v="PROD160"/>
    <x v="1984"/>
    <n v="190.88"/>
    <n v="4"/>
    <x v="1"/>
    <s v="Deliver Extensible Partnerships"/>
    <x v="2"/>
    <s v="Martin, Paul and Salazar"/>
    <n v="43.76"/>
  </r>
  <r>
    <s v="ORD2989"/>
    <x v="279"/>
    <x v="2"/>
    <s v="PROD183"/>
    <x v="1985"/>
    <n v="215.81"/>
    <n v="13"/>
    <x v="1"/>
    <s v="Incentivize Front-End Mindshare"/>
    <x v="1"/>
    <s v="Phillips-Tran"/>
    <n v="196.86"/>
  </r>
  <r>
    <s v="ORD2990"/>
    <x v="1116"/>
    <x v="3"/>
    <s v="PROD148"/>
    <x v="1986"/>
    <n v="340.99"/>
    <n v="7"/>
    <x v="1"/>
    <s v="Empower Seamless Roi"/>
    <x v="0"/>
    <s v="Proctor Group"/>
    <n v="266.64999999999998"/>
  </r>
  <r>
    <s v="ORD2991"/>
    <x v="59"/>
    <x v="0"/>
    <s v="PROD194"/>
    <x v="1987"/>
    <n v="409.89"/>
    <n v="16"/>
    <x v="2"/>
    <s v="Leverage Scalable Interfaces"/>
    <x v="0"/>
    <s v="Kaufman-Jones"/>
    <n v="73.33"/>
  </r>
  <r>
    <s v="ORD2992"/>
    <x v="1176"/>
    <x v="2"/>
    <s v="PROD123"/>
    <x v="1988"/>
    <n v="807.78"/>
    <n v="11"/>
    <x v="0"/>
    <s v="Redefine Real-Time Convergence"/>
    <x v="1"/>
    <s v="Hayes, Peters and Douglas"/>
    <n v="78.260000000000005"/>
  </r>
  <r>
    <s v="ORD2993"/>
    <x v="1177"/>
    <x v="2"/>
    <s v="PROD156"/>
    <x v="1989"/>
    <n v="19.62"/>
    <n v="6"/>
    <x v="2"/>
    <s v="Empower Killer Info-Mediaries"/>
    <x v="2"/>
    <s v="Jones Ltd"/>
    <n v="213.24"/>
  </r>
  <r>
    <s v="ORD2994"/>
    <x v="16"/>
    <x v="3"/>
    <s v="PROD141"/>
    <x v="1990"/>
    <n v="233.39"/>
    <n v="14"/>
    <x v="2"/>
    <s v="Re-Contextualize Integrated Info-Mediaries"/>
    <x v="1"/>
    <s v="Jones-Schroeder"/>
    <n v="26.02"/>
  </r>
  <r>
    <s v="ORD2995"/>
    <x v="1178"/>
    <x v="3"/>
    <s v="PROD127"/>
    <x v="1991"/>
    <n v="357.86"/>
    <n v="17"/>
    <x v="0"/>
    <s v="Deliver Viral Channels"/>
    <x v="2"/>
    <s v="Parker LLC"/>
    <n v="45.41"/>
  </r>
  <r>
    <s v="ORD2996"/>
    <x v="121"/>
    <x v="0"/>
    <s v="PROD183"/>
    <x v="1992"/>
    <n v="52.98"/>
    <n v="2"/>
    <x v="2"/>
    <s v="Incentivize Front-End Mindshare"/>
    <x v="1"/>
    <s v="Phillips-Tran"/>
    <n v="196.86"/>
  </r>
  <r>
    <s v="ORD2997"/>
    <x v="510"/>
    <x v="3"/>
    <s v="PROD185"/>
    <x v="1993"/>
    <n v="712.09"/>
    <n v="6"/>
    <x v="2"/>
    <s v="Generate End-To-End Functionalities"/>
    <x v="1"/>
    <s v="Sanchez-Stewart"/>
    <n v="196.15"/>
  </r>
  <r>
    <s v="ORD2998"/>
    <x v="1179"/>
    <x v="0"/>
    <s v="PROD119"/>
    <x v="1994"/>
    <n v="310.08999999999997"/>
    <n v="19"/>
    <x v="0"/>
    <s v="Generate Front-End Functionalities"/>
    <x v="0"/>
    <s v="Morales-Brown"/>
    <n v="299.77"/>
  </r>
  <r>
    <s v="ORD2999"/>
    <x v="1090"/>
    <x v="2"/>
    <s v="PROD184"/>
    <x v="1995"/>
    <n v="242.37"/>
    <n v="1"/>
    <x v="0"/>
    <s v="Embrace 24/365 Functionalities"/>
    <x v="0"/>
    <s v="Smith LLC"/>
    <n v="204.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0"/>
    <d v="2024-01-11T00:00:00"/>
    <x v="0"/>
    <s v="PROD133"/>
    <n v="1908.61"/>
    <n v="397.75"/>
    <n v="13"/>
    <s v="Corporate"/>
    <s v="Re-Intermediate Seamless Applications"/>
    <x v="0"/>
    <s v="Welch-Reed"/>
    <n v="45.82"/>
    <n v="0.208397734476923"/>
  </r>
  <r>
    <s v="ORD1001"/>
    <d v="2023-04-23T00:00:00"/>
    <x v="1"/>
    <s v="PROD143"/>
    <n v="3605.39"/>
    <n v="960.26"/>
    <n v="19"/>
    <s v="Small Business"/>
    <s v="E-Enable Synergistic Vortals"/>
    <x v="1"/>
    <s v="Guzman Group"/>
    <n v="278.43"/>
    <n v="0.26634011854473444"/>
  </r>
  <r>
    <s v="ORD1002"/>
    <d v="2021-03-21T00:00:00"/>
    <x v="0"/>
    <s v="PROD158"/>
    <n v="3804.89"/>
    <n v="922.51"/>
    <n v="18"/>
    <s v="Corporate"/>
    <s v="Brand Web-Enabled Solutions"/>
    <x v="1"/>
    <s v="Russell Group"/>
    <n v="51.67"/>
    <n v="0.242453789728481"/>
  </r>
  <r>
    <s v="ORD1003"/>
    <d v="2023-07-22T00:00:00"/>
    <x v="2"/>
    <s v="PROD117"/>
    <n v="3516.82"/>
    <n v="304.19"/>
    <n v="6"/>
    <s v="Small Business"/>
    <s v="Revolutionize Efficient Niches"/>
    <x v="1"/>
    <s v="Lopez-Torres"/>
    <n v="23.02"/>
    <n v="8.6495754687473336E-2"/>
  </r>
  <r>
    <s v="ORD1004"/>
    <d v="2023-09-29T00:00:00"/>
    <x v="3"/>
    <s v="PROD142"/>
    <n v="1236.98"/>
    <n v="623.91"/>
    <n v="2"/>
    <s v="Corporate"/>
    <s v="Target Bricks-And-Clicks Channels"/>
    <x v="1"/>
    <s v="Dunn, Christensen and Meyer"/>
    <n v="126.86"/>
    <n v="0.50438163915342205"/>
  </r>
  <r>
    <s v="ORD1005"/>
    <d v="2021-04-06T00:00:00"/>
    <x v="1"/>
    <s v="PROD170"/>
    <n v="1074.73"/>
    <n v="331.69"/>
    <n v="9"/>
    <s v="Small Business"/>
    <s v="Deliver Sticky Networks"/>
    <x v="2"/>
    <s v="Massey LLC"/>
    <n v="272.33"/>
    <n v="0.30862635266532057"/>
  </r>
  <r>
    <s v="ORD1006"/>
    <d v="2020-02-15T00:00:00"/>
    <x v="3"/>
    <s v="PROD104"/>
    <n v="3182.57"/>
    <n v="938.95"/>
    <n v="2"/>
    <s v="Small Business"/>
    <s v="Implement Clicks-And-Mortar Partnerships"/>
    <x v="1"/>
    <s v="Smith Inc"/>
    <n v="195.53"/>
    <n v="0.29502886032357495"/>
  </r>
  <r>
    <s v="ORD1007"/>
    <d v="2021-03-30T00:00:00"/>
    <x v="3"/>
    <s v="PROD111"/>
    <n v="4694.2"/>
    <n v="945.15"/>
    <n v="2"/>
    <s v="Small Business"/>
    <s v="Harness Revolutionary Interfaces"/>
    <x v="2"/>
    <s v="Davis, Short and Nguyen"/>
    <n v="26.49"/>
    <n v="0.20134421200630565"/>
  </r>
  <r>
    <s v="ORD1008"/>
    <d v="2023-03-22T00:00:00"/>
    <x v="0"/>
    <s v="PROD187"/>
    <n v="2514.25"/>
    <n v="311.77999999999997"/>
    <n v="12"/>
    <s v="Small Business"/>
    <s v="Whiteboard Compelling Experiences"/>
    <x v="2"/>
    <s v="Carrillo, Carr and Ball"/>
    <n v="206.54"/>
    <n v="0.12400517052799044"/>
  </r>
  <r>
    <s v="ORD1009"/>
    <d v="2024-05-04T00:00:00"/>
    <x v="3"/>
    <s v="PROD103"/>
    <n v="1179.95"/>
    <n v="726.44"/>
    <n v="14"/>
    <s v="Consumer"/>
    <s v="Monetize Collaborative Metrics"/>
    <x v="1"/>
    <s v="Ramirez-Brown"/>
    <n v="286.04000000000002"/>
    <n v="0.61565320564430703"/>
  </r>
  <r>
    <s v="ORD1010"/>
    <d v="2022-01-11T00:00:00"/>
    <x v="3"/>
    <s v="PROD125"/>
    <n v="2945.07"/>
    <n v="532.04"/>
    <n v="4"/>
    <s v="Small Business"/>
    <s v="Leverage Cutting-Edge Vortals"/>
    <x v="1"/>
    <s v="Robinson, Garrett and Chavez"/>
    <n v="117.3"/>
    <n v="0.18065444963956712"/>
  </r>
  <r>
    <s v="ORD1011"/>
    <d v="2022-01-11T00:00:00"/>
    <x v="1"/>
    <s v="PROD179"/>
    <n v="401"/>
    <n v="135.59"/>
    <n v="16"/>
    <s v="Small Business"/>
    <s v="Target Viral Methodologies"/>
    <x v="1"/>
    <s v="Alvarez, Myers and Walter"/>
    <n v="149.26"/>
    <n v="0.33812967581047382"/>
  </r>
  <r>
    <s v="ORD1012"/>
    <d v="2024-08-12T00:00:00"/>
    <x v="3"/>
    <s v="PROD126"/>
    <n v="508.92"/>
    <n v="702.4"/>
    <n v="3"/>
    <s v="Corporate"/>
    <s v="Streamline Innovative Architectures"/>
    <x v="2"/>
    <s v="Price, Valentine and Lutz"/>
    <n v="291.14999999999998"/>
    <n v="1.3801776310618563"/>
  </r>
  <r>
    <s v="ORD1013"/>
    <d v="2023-01-24T00:00:00"/>
    <x v="2"/>
    <s v="PROD166"/>
    <n v="3178.29"/>
    <n v="199.73"/>
    <n v="10"/>
    <s v="Consumer"/>
    <s v="Monetize Wireless Functionalities"/>
    <x v="2"/>
    <s v="Robinson, Rodriguez and Hernandez"/>
    <n v="162.22"/>
    <n v="6.2841968479905863E-2"/>
  </r>
  <r>
    <s v="ORD1014"/>
    <d v="2022-05-01T00:00:00"/>
    <x v="2"/>
    <s v="PROD178"/>
    <n v="1642.61"/>
    <n v="869.14"/>
    <n v="5"/>
    <s v="Small Business"/>
    <s v="Monetize Value-Added Niches"/>
    <x v="0"/>
    <s v="Foster, Velazquez and Lee"/>
    <n v="171.51"/>
    <n v="0.52912133738379774"/>
  </r>
  <r>
    <s v="ORD1015"/>
    <d v="2022-01-12T00:00:00"/>
    <x v="1"/>
    <s v="PROD108"/>
    <n v="2717.48"/>
    <n v="317"/>
    <n v="15"/>
    <s v="Corporate"/>
    <s v="Synergize World-Class Networks"/>
    <x v="1"/>
    <s v="Gomez-Lawrence"/>
    <n v="72.37"/>
    <n v="0.1166521924724377"/>
  </r>
  <r>
    <s v="ORD1016"/>
    <d v="2020-07-03T00:00:00"/>
    <x v="3"/>
    <s v="PROD189"/>
    <n v="2183.89"/>
    <n v="229.89"/>
    <n v="1"/>
    <s v="Small Business"/>
    <s v="E-Enable Next-Generation Experiences"/>
    <x v="2"/>
    <s v="Sanchez-Quinn"/>
    <n v="266.93"/>
    <n v="0.10526629088461416"/>
  </r>
  <r>
    <s v="ORD1017"/>
    <d v="2022-04-13T00:00:00"/>
    <x v="3"/>
    <s v="PROD146"/>
    <n v="4686.58"/>
    <n v="591.41999999999996"/>
    <n v="16"/>
    <s v="Corporate"/>
    <s v="Engage Rich Web-Readiness"/>
    <x v="0"/>
    <s v="Turner Inc"/>
    <n v="81.069999999999993"/>
    <n v="0.12619436774790999"/>
  </r>
  <r>
    <s v="ORD1018"/>
    <d v="2022-05-13T00:00:00"/>
    <x v="3"/>
    <s v="PROD108"/>
    <n v="3425.69"/>
    <n v="948.19"/>
    <n v="3"/>
    <s v="Consumer"/>
    <s v="Synergize World-Class Networks"/>
    <x v="1"/>
    <s v="Gomez-Lawrence"/>
    <n v="72.37"/>
    <n v="0.27678803394352669"/>
  </r>
  <r>
    <s v="ORD1019"/>
    <d v="2024-06-04T00:00:00"/>
    <x v="0"/>
    <s v="PROD184"/>
    <n v="561.88"/>
    <n v="477.79"/>
    <n v="13"/>
    <s v="Corporate"/>
    <s v="Embrace 24/365 Functionalities"/>
    <x v="0"/>
    <s v="Smith LLC"/>
    <n v="204.04"/>
    <n v="0.85034170997365988"/>
  </r>
  <r>
    <s v="ORD1020"/>
    <d v="2022-05-20T00:00:00"/>
    <x v="2"/>
    <s v="PROD152"/>
    <n v="4818.87"/>
    <n v="902.62"/>
    <n v="17"/>
    <s v="Consumer"/>
    <s v="Reinvent Frictionless Roi"/>
    <x v="2"/>
    <s v="Bridges, Castillo and Rodriguez"/>
    <n v="253.89"/>
    <n v="0.18730947296772896"/>
  </r>
  <r>
    <s v="ORD1021"/>
    <d v="2023-12-07T00:00:00"/>
    <x v="2"/>
    <s v="PROD197"/>
    <n v="1001.81"/>
    <n v="840.05"/>
    <n v="8"/>
    <s v="Small Business"/>
    <s v="Leverage Rich Portals"/>
    <x v="0"/>
    <s v="Wilson PLC"/>
    <n v="46.35"/>
    <n v="0.83853225661552588"/>
  </r>
  <r>
    <s v="ORD1022"/>
    <d v="2022-01-09T00:00:00"/>
    <x v="0"/>
    <s v="PROD154"/>
    <n v="3266.83"/>
    <n v="763.26"/>
    <n v="1"/>
    <s v="Small Business"/>
    <s v="Utilize Virtual Partnerships"/>
    <x v="2"/>
    <s v="Smith, Diaz and Heath"/>
    <n v="193.02"/>
    <n v="0.23363933844124121"/>
  </r>
  <r>
    <s v="ORD1023"/>
    <d v="2024-02-21T00:00:00"/>
    <x v="0"/>
    <s v="PROD135"/>
    <n v="2511.89"/>
    <n v="578.23"/>
    <n v="1"/>
    <s v="Consumer"/>
    <s v="Optimize 24/365 E-Services"/>
    <x v="0"/>
    <s v="Chase Ltd"/>
    <n v="100.35"/>
    <n v="0.23019718220144991"/>
  </r>
  <r>
    <s v="ORD1024"/>
    <d v="2024-06-18T00:00:00"/>
    <x v="0"/>
    <s v="PROD108"/>
    <n v="4069.56"/>
    <n v="479.89"/>
    <n v="2"/>
    <s v="Consumer"/>
    <s v="Synergize World-Class Networks"/>
    <x v="1"/>
    <s v="Gomez-Lawrence"/>
    <n v="72.37"/>
    <n v="0.11792183921603318"/>
  </r>
  <r>
    <s v="ORD1025"/>
    <d v="2020-12-26T00:00:00"/>
    <x v="0"/>
    <s v="PROD145"/>
    <n v="4565.33"/>
    <n v="387.7"/>
    <n v="15"/>
    <s v="Consumer"/>
    <s v="Innovate Strategic Systems"/>
    <x v="0"/>
    <s v="Mcfarland, Parker and Armstrong"/>
    <n v="70.239999999999995"/>
    <n v="8.492266714563898E-2"/>
  </r>
  <r>
    <s v="ORD1026"/>
    <d v="2021-02-24T00:00:00"/>
    <x v="3"/>
    <s v="PROD107"/>
    <n v="3357.15"/>
    <n v="499.99"/>
    <n v="4"/>
    <s v="Corporate"/>
    <s v="Utilize Back-End Models"/>
    <x v="2"/>
    <s v="Lewis-Holden"/>
    <n v="241.53"/>
    <n v="0.14893287461090507"/>
  </r>
  <r>
    <s v="ORD1027"/>
    <d v="2024-08-31T00:00:00"/>
    <x v="1"/>
    <s v="PROD186"/>
    <n v="1315.66"/>
    <n v="295.93"/>
    <n v="11"/>
    <s v="Consumer"/>
    <s v="Reinvent Mission-Critical Markets"/>
    <x v="2"/>
    <s v="Gilbert-Sanders"/>
    <n v="154.21"/>
    <n v="0.22492893300700789"/>
  </r>
  <r>
    <s v="ORD1028"/>
    <d v="2021-11-04T00:00:00"/>
    <x v="0"/>
    <s v="PROD122"/>
    <n v="4143.2"/>
    <n v="95.25"/>
    <n v="15"/>
    <s v="Corporate"/>
    <s v="Empower Dot-Com Deliverables"/>
    <x v="1"/>
    <s v="Davis LLC"/>
    <n v="250.66"/>
    <n v="2.2989476732960031E-2"/>
  </r>
  <r>
    <s v="ORD1029"/>
    <d v="2020-09-01T00:00:00"/>
    <x v="3"/>
    <s v="PROD106"/>
    <n v="4738.3900000000003"/>
    <n v="574.78"/>
    <n v="18"/>
    <s v="Small Business"/>
    <s v="Synergize End-To-End Supply-Chains"/>
    <x v="0"/>
    <s v="Higgins-Espinoza"/>
    <n v="279.8"/>
    <n v="0.12130280538326307"/>
  </r>
  <r>
    <s v="ORD1030"/>
    <d v="2022-09-30T00:00:00"/>
    <x v="2"/>
    <s v="PROD144"/>
    <n v="2251.63"/>
    <n v="350.41"/>
    <n v="15"/>
    <s v="Corporate"/>
    <s v="Expedite Synergistic Web-Readiness"/>
    <x v="1"/>
    <s v="Dunlap, Carpenter and Monroe"/>
    <n v="289.66000000000003"/>
    <n v="0.15562503608496955"/>
  </r>
  <r>
    <s v="ORD1031"/>
    <d v="2020-07-25T00:00:00"/>
    <x v="2"/>
    <s v="PROD117"/>
    <n v="1451.5"/>
    <n v="238.18"/>
    <n v="18"/>
    <s v="Small Business"/>
    <s v="Revolutionize Efficient Niches"/>
    <x v="1"/>
    <s v="Lopez-Torres"/>
    <n v="23.02"/>
    <n v="0.16409231829142268"/>
  </r>
  <r>
    <s v="ORD1032"/>
    <d v="2024-10-13T00:00:00"/>
    <x v="1"/>
    <s v="PROD109"/>
    <n v="2767.9"/>
    <n v="416.17"/>
    <n v="3"/>
    <s v="Small Business"/>
    <s v="Orchestrate E-Business Niches"/>
    <x v="2"/>
    <s v="Johnson LLC"/>
    <n v="198.99"/>
    <n v="0.1503558654575671"/>
  </r>
  <r>
    <s v="ORD1033"/>
    <d v="2023-09-04T00:00:00"/>
    <x v="2"/>
    <s v="PROD128"/>
    <n v="488.99"/>
    <n v="730"/>
    <n v="12"/>
    <s v="Small Business"/>
    <s v="Brand Distributed Info-Mediaries"/>
    <x v="2"/>
    <s v="Garcia Ltd"/>
    <n v="114.48"/>
    <n v="1.4928730648888524"/>
  </r>
  <r>
    <s v="ORD1034"/>
    <d v="2020-02-20T00:00:00"/>
    <x v="1"/>
    <s v="PROD142"/>
    <n v="198.88"/>
    <n v="904.77"/>
    <n v="19"/>
    <s v="Small Business"/>
    <s v="Target Bricks-And-Clicks Channels"/>
    <x v="1"/>
    <s v="Dunn, Christensen and Meyer"/>
    <n v="126.86"/>
    <n v="4.5493262268704751"/>
  </r>
  <r>
    <s v="ORD1035"/>
    <d v="2024-03-09T00:00:00"/>
    <x v="3"/>
    <s v="PROD163"/>
    <n v="4224.26"/>
    <n v="964.81"/>
    <n v="19"/>
    <s v="Consumer"/>
    <s v="Grow Back-End Supply-Chains"/>
    <x v="1"/>
    <s v="Green LLC"/>
    <n v="140.08000000000001"/>
    <n v="0.22839739978126344"/>
  </r>
  <r>
    <s v="ORD1036"/>
    <d v="2021-11-11T00:00:00"/>
    <x v="3"/>
    <s v="PROD194"/>
    <n v="1006.65"/>
    <n v="541.97"/>
    <n v="2"/>
    <s v="Small Business"/>
    <s v="Leverage Scalable Interfaces"/>
    <x v="0"/>
    <s v="Kaufman-Jones"/>
    <n v="73.33"/>
    <n v="0.53838970843888145"/>
  </r>
  <r>
    <s v="ORD1037"/>
    <d v="2020-12-15T00:00:00"/>
    <x v="0"/>
    <s v="PROD168"/>
    <n v="462.16"/>
    <n v="56.5"/>
    <n v="14"/>
    <s v="Corporate"/>
    <s v="Facilitate End-To-End Experiences"/>
    <x v="0"/>
    <s v="Pierce-Goodwin"/>
    <n v="260.52999999999997"/>
    <n v="0.1222520339276441"/>
  </r>
  <r>
    <s v="ORD1038"/>
    <d v="2022-09-04T00:00:00"/>
    <x v="0"/>
    <s v="PROD105"/>
    <n v="1200.4100000000001"/>
    <n v="415.28"/>
    <n v="13"/>
    <s v="Consumer"/>
    <s v="Transform Holistic Functionalities"/>
    <x v="0"/>
    <s v="Ruiz Ltd"/>
    <n v="179.27"/>
    <n v="0.34594846760690096"/>
  </r>
  <r>
    <s v="ORD1039"/>
    <d v="2021-11-29T00:00:00"/>
    <x v="1"/>
    <s v="PROD103"/>
    <n v="420.01"/>
    <n v="261.82"/>
    <n v="2"/>
    <s v="Consumer"/>
    <s v="Monetize Collaborative Metrics"/>
    <x v="1"/>
    <s v="Ramirez-Brown"/>
    <n v="286.04000000000002"/>
    <n v="0.62336611033070644"/>
  </r>
  <r>
    <s v="ORD1040"/>
    <d v="2022-08-05T00:00:00"/>
    <x v="3"/>
    <s v="PROD192"/>
    <n v="214.18"/>
    <n v="910.8"/>
    <n v="17"/>
    <s v="Corporate"/>
    <s v="Drive Compelling E-Services"/>
    <x v="0"/>
    <s v="Morris-Villanueva"/>
    <n v="27.22"/>
    <n v="4.2524978989634885"/>
  </r>
  <r>
    <s v="ORD1041"/>
    <d v="2020-02-02T00:00:00"/>
    <x v="0"/>
    <s v="PROD171"/>
    <n v="113.07"/>
    <n v="470.47"/>
    <n v="6"/>
    <s v="Consumer"/>
    <s v="Scale 24/365 Networks"/>
    <x v="2"/>
    <s v="Kim-Hamilton"/>
    <n v="157.55000000000001"/>
    <n v="4.1608737949942523"/>
  </r>
  <r>
    <s v="ORD1042"/>
    <d v="2024-02-19T00:00:00"/>
    <x v="3"/>
    <s v="PROD140"/>
    <n v="4560.07"/>
    <n v="748.73"/>
    <n v="15"/>
    <s v="Corporate"/>
    <s v="Extend Bricks-And-Clicks Architectures"/>
    <x v="2"/>
    <s v="Fuller PLC"/>
    <n v="202.99"/>
    <n v="0.16419265493731458"/>
  </r>
  <r>
    <s v="ORD1043"/>
    <d v="2022-02-19T00:00:00"/>
    <x v="3"/>
    <s v="PROD105"/>
    <n v="283.73"/>
    <n v="224.86"/>
    <n v="9"/>
    <s v="Corporate"/>
    <s v="Transform Holistic Functionalities"/>
    <x v="0"/>
    <s v="Ruiz Ltd"/>
    <n v="179.27"/>
    <n v="0.79251400979804743"/>
  </r>
  <r>
    <s v="ORD1044"/>
    <d v="2023-03-31T00:00:00"/>
    <x v="2"/>
    <s v="PROD194"/>
    <n v="685.2"/>
    <n v="167.41"/>
    <n v="20"/>
    <s v="Small Business"/>
    <s v="Leverage Scalable Interfaces"/>
    <x v="0"/>
    <s v="Kaufman-Jones"/>
    <n v="73.33"/>
    <n v="0.24432282545242262"/>
  </r>
  <r>
    <s v="ORD1045"/>
    <d v="2024-09-30T00:00:00"/>
    <x v="1"/>
    <s v="PROD154"/>
    <n v="3541.72"/>
    <n v="777.6"/>
    <n v="2"/>
    <s v="Consumer"/>
    <s v="Utilize Virtual Partnerships"/>
    <x v="2"/>
    <s v="Smith, Diaz and Heath"/>
    <n v="193.02"/>
    <n v="0.21955434082874989"/>
  </r>
  <r>
    <s v="ORD1046"/>
    <d v="2021-02-09T00:00:00"/>
    <x v="3"/>
    <s v="PROD163"/>
    <n v="2239.04"/>
    <n v="880.78"/>
    <n v="10"/>
    <s v="Small Business"/>
    <s v="Grow Back-End Supply-Chains"/>
    <x v="1"/>
    <s v="Green LLC"/>
    <n v="140.08000000000001"/>
    <n v="0.39337394597684722"/>
  </r>
  <r>
    <s v="ORD1047"/>
    <d v="2020-12-01T00:00:00"/>
    <x v="2"/>
    <s v="PROD140"/>
    <n v="3761.19"/>
    <n v="952.42"/>
    <n v="17"/>
    <s v="Consumer"/>
    <s v="Extend Bricks-And-Clicks Architectures"/>
    <x v="2"/>
    <s v="Fuller PLC"/>
    <n v="202.99"/>
    <n v="0.25322304908818749"/>
  </r>
  <r>
    <s v="ORD1048"/>
    <d v="2020-03-04T00:00:00"/>
    <x v="2"/>
    <s v="PROD119"/>
    <n v="3633.29"/>
    <n v="451.59"/>
    <n v="12"/>
    <s v="Corporate"/>
    <s v="Generate Front-End Functionalities"/>
    <x v="0"/>
    <s v="Morales-Brown"/>
    <n v="299.77"/>
    <n v="0.12429230807339904"/>
  </r>
  <r>
    <s v="ORD1049"/>
    <d v="2021-02-21T00:00:00"/>
    <x v="1"/>
    <s v="PROD193"/>
    <n v="220.85"/>
    <n v="109.89"/>
    <n v="14"/>
    <s v="Consumer"/>
    <s v="Innovate Sticky Web Services"/>
    <x v="1"/>
    <s v="Friedman, Sanders and Adams"/>
    <n v="125.85"/>
    <n v="0.49757754131763643"/>
  </r>
  <r>
    <s v="ORD1050"/>
    <d v="2020-04-05T00:00:00"/>
    <x v="0"/>
    <s v="PROD188"/>
    <n v="4626.08"/>
    <n v="836.58"/>
    <n v="9"/>
    <s v="Consumer"/>
    <s v="Transition Mission-Critical Interfaces"/>
    <x v="0"/>
    <s v="Weaver Ltd"/>
    <n v="34.64"/>
    <n v="0.18083993359388512"/>
  </r>
  <r>
    <s v="ORD1051"/>
    <d v="2022-08-28T00:00:00"/>
    <x v="1"/>
    <s v="PROD156"/>
    <n v="1984.99"/>
    <n v="139.36000000000001"/>
    <n v="13"/>
    <s v="Consumer"/>
    <s v="Empower Killer Info-Mediaries"/>
    <x v="2"/>
    <s v="Jones Ltd"/>
    <n v="213.24"/>
    <n v="7.0206902805555707E-2"/>
  </r>
  <r>
    <s v="ORD1052"/>
    <d v="2020-06-07T00:00:00"/>
    <x v="1"/>
    <s v="PROD156"/>
    <n v="2620.37"/>
    <n v="423.47"/>
    <n v="7"/>
    <s v="Consumer"/>
    <s v="Empower Killer Info-Mediaries"/>
    <x v="2"/>
    <s v="Jones Ltd"/>
    <n v="213.24"/>
    <n v="0.16160694863702457"/>
  </r>
  <r>
    <s v="ORD1053"/>
    <d v="2023-12-15T00:00:00"/>
    <x v="0"/>
    <s v="PROD118"/>
    <n v="2145.6799999999998"/>
    <n v="281.61"/>
    <n v="15"/>
    <s v="Corporate"/>
    <s v="Engineer Real-Time Architectures"/>
    <x v="2"/>
    <s v="James and Sons"/>
    <n v="127.23"/>
    <n v="0.13124510644644125"/>
  </r>
  <r>
    <s v="ORD1054"/>
    <d v="2022-09-18T00:00:00"/>
    <x v="0"/>
    <s v="PROD159"/>
    <n v="1537.19"/>
    <n v="500.98"/>
    <n v="6"/>
    <s v="Small Business"/>
    <s v="Mesh Intuitive Supply-Chains"/>
    <x v="1"/>
    <s v="Soto, Barnett and Heath"/>
    <n v="281"/>
    <n v="0.3259063616078689"/>
  </r>
  <r>
    <s v="ORD1055"/>
    <d v="2020-08-14T00:00:00"/>
    <x v="2"/>
    <s v="PROD195"/>
    <n v="2035.47"/>
    <n v="815.92"/>
    <n v="15"/>
    <s v="Corporate"/>
    <s v="Reinvent Out-Of-The-Box Models"/>
    <x v="0"/>
    <s v="Wagner-Curtis"/>
    <n v="172.34"/>
    <n v="0.40085090912663901"/>
  </r>
  <r>
    <s v="ORD1056"/>
    <d v="2021-11-24T00:00:00"/>
    <x v="3"/>
    <s v="PROD119"/>
    <n v="2205.2600000000002"/>
    <n v="165.29"/>
    <n v="14"/>
    <s v="Corporate"/>
    <s v="Generate Front-End Functionalities"/>
    <x v="0"/>
    <s v="Morales-Brown"/>
    <n v="299.77"/>
    <n v="7.4952613297298271E-2"/>
  </r>
  <r>
    <s v="ORD1057"/>
    <d v="2021-12-09T00:00:00"/>
    <x v="2"/>
    <s v="PROD117"/>
    <n v="1729.08"/>
    <n v="945.46"/>
    <n v="5"/>
    <s v="Corporate"/>
    <s v="Revolutionize Efficient Niches"/>
    <x v="1"/>
    <s v="Lopez-Torres"/>
    <n v="23.02"/>
    <n v="0.54679945404492569"/>
  </r>
  <r>
    <s v="ORD1058"/>
    <d v="2020-11-12T00:00:00"/>
    <x v="1"/>
    <s v="PROD192"/>
    <n v="4169.8999999999996"/>
    <n v="98.29"/>
    <n v="1"/>
    <s v="Consumer"/>
    <s v="Drive Compelling E-Services"/>
    <x v="0"/>
    <s v="Morris-Villanueva"/>
    <n v="27.22"/>
    <n v="2.3571308664476369E-2"/>
  </r>
  <r>
    <s v="ORD1059"/>
    <d v="2022-01-18T00:00:00"/>
    <x v="3"/>
    <s v="PROD149"/>
    <n v="1527.8"/>
    <n v="558.34"/>
    <n v="10"/>
    <s v="Small Business"/>
    <s v="Envisioneer B2C Web-Readiness"/>
    <x v="1"/>
    <s v="Kemp Group"/>
    <n v="97.23"/>
    <n v="0.36545359340227784"/>
  </r>
  <r>
    <s v="ORD1060"/>
    <d v="2024-09-09T00:00:00"/>
    <x v="2"/>
    <s v="PROD123"/>
    <n v="4379.74"/>
    <n v="385.67"/>
    <n v="12"/>
    <s v="Small Business"/>
    <s v="Redefine Real-Time Convergence"/>
    <x v="1"/>
    <s v="Hayes, Peters and Douglas"/>
    <n v="78.260000000000005"/>
    <n v="8.8057738587222087E-2"/>
  </r>
  <r>
    <s v="ORD1061"/>
    <d v="2024-10-09T00:00:00"/>
    <x v="3"/>
    <s v="PROD132"/>
    <n v="4310.79"/>
    <n v="691.64"/>
    <n v="2"/>
    <s v="Small Business"/>
    <s v="Synergize End-To-End Roi"/>
    <x v="1"/>
    <s v="Evans-Smith"/>
    <n v="159.85"/>
    <n v="0.16044390935304201"/>
  </r>
  <r>
    <s v="ORD1062"/>
    <d v="2023-04-15T00:00:00"/>
    <x v="1"/>
    <s v="PROD137"/>
    <n v="2035.86"/>
    <n v="737.24"/>
    <n v="14"/>
    <s v="Corporate"/>
    <s v="Optimize Collaborative Initiatives"/>
    <x v="1"/>
    <s v="Adkins Ltd"/>
    <n v="34.46"/>
    <n v="0.36212706178224441"/>
  </r>
  <r>
    <s v="ORD1063"/>
    <d v="2023-12-06T00:00:00"/>
    <x v="1"/>
    <s v="PROD124"/>
    <n v="4531.28"/>
    <n v="662.12"/>
    <n v="3"/>
    <s v="Corporate"/>
    <s v="Incubate Real-Time E-Tailers"/>
    <x v="1"/>
    <s v="Johnson-Riley"/>
    <n v="86.67"/>
    <n v="0.14612206705390091"/>
  </r>
  <r>
    <s v="ORD1064"/>
    <d v="2020-10-26T00:00:00"/>
    <x v="2"/>
    <s v="PROD169"/>
    <n v="101.99"/>
    <n v="391.49"/>
    <n v="18"/>
    <s v="Corporate"/>
    <s v="Unleash End-To-End Web Services"/>
    <x v="0"/>
    <s v="Jones Ltd"/>
    <n v="188.02"/>
    <n v="3.8385135797627221"/>
  </r>
  <r>
    <s v="ORD1065"/>
    <d v="2023-04-18T00:00:00"/>
    <x v="0"/>
    <s v="PROD133"/>
    <n v="2687.89"/>
    <n v="514.78"/>
    <n v="7"/>
    <s v="Consumer"/>
    <s v="Re-Intermediate Seamless Applications"/>
    <x v="0"/>
    <s v="Welch-Reed"/>
    <n v="45.82"/>
    <n v="0.19151825409521966"/>
  </r>
  <r>
    <s v="ORD1066"/>
    <d v="2024-09-09T00:00:00"/>
    <x v="2"/>
    <s v="PROD161"/>
    <n v="2001.89"/>
    <n v="537.45000000000005"/>
    <n v="14"/>
    <s v="Corporate"/>
    <s v="Synergize E-Business Deliverables"/>
    <x v="1"/>
    <s v="Crawford, Warren and Williams"/>
    <n v="125.93"/>
    <n v="0.26847129462657787"/>
  </r>
  <r>
    <s v="ORD1067"/>
    <d v="2020-01-13T00:00:00"/>
    <x v="0"/>
    <s v="PROD141"/>
    <n v="1672.71"/>
    <n v="525.21"/>
    <n v="13"/>
    <s v="Consumer"/>
    <s v="Re-Contextualize Integrated Info-Mediaries"/>
    <x v="1"/>
    <s v="Jones-Schroeder"/>
    <n v="26.02"/>
    <n v="0.3139874813924709"/>
  </r>
  <r>
    <s v="ORD1068"/>
    <d v="2020-10-25T00:00:00"/>
    <x v="2"/>
    <s v="PROD111"/>
    <n v="3639.49"/>
    <n v="992.3"/>
    <n v="3"/>
    <s v="Small Business"/>
    <s v="Harness Revolutionary Interfaces"/>
    <x v="2"/>
    <s v="Davis, Short and Nguyen"/>
    <n v="26.49"/>
    <n v="0.27264809080393132"/>
  </r>
  <r>
    <s v="ORD1069"/>
    <d v="2024-10-29T00:00:00"/>
    <x v="1"/>
    <s v="PROD122"/>
    <n v="2618.38"/>
    <n v="122.11"/>
    <n v="8"/>
    <s v="Corporate"/>
    <s v="Empower Dot-Com Deliverables"/>
    <x v="1"/>
    <s v="Davis LLC"/>
    <n v="250.66"/>
    <n v="4.6635706047250591E-2"/>
  </r>
  <r>
    <s v="ORD1070"/>
    <d v="2022-02-23T00:00:00"/>
    <x v="3"/>
    <s v="PROD176"/>
    <n v="393.09"/>
    <n v="456.81"/>
    <n v="2"/>
    <s v="Small Business"/>
    <s v="Facilitate Integrated E-Business"/>
    <x v="0"/>
    <s v="Chang-Vargas"/>
    <n v="130.33000000000001"/>
    <n v="1.1621002823780815"/>
  </r>
  <r>
    <s v="ORD1071"/>
    <d v="2022-08-01T00:00:00"/>
    <x v="1"/>
    <s v="PROD146"/>
    <n v="3460.49"/>
    <n v="116.35"/>
    <n v="1"/>
    <s v="Corporate"/>
    <s v="Engage Rich Web-Readiness"/>
    <x v="0"/>
    <s v="Turner Inc"/>
    <n v="81.069999999999993"/>
    <n v="3.3622406075440182E-2"/>
  </r>
  <r>
    <s v="ORD1072"/>
    <d v="2021-08-08T00:00:00"/>
    <x v="1"/>
    <s v="PROD164"/>
    <n v="3208.49"/>
    <n v="810.28"/>
    <n v="1"/>
    <s v="Small Business"/>
    <s v="Transition Compelling Web-Readiness"/>
    <x v="2"/>
    <s v="Wood-Beck"/>
    <n v="88.34"/>
    <n v="0.25254247325065687"/>
  </r>
  <r>
    <s v="ORD1073"/>
    <d v="2022-04-09T00:00:00"/>
    <x v="0"/>
    <s v="PROD172"/>
    <n v="3643.91"/>
    <n v="342.82"/>
    <n v="15"/>
    <s v="Small Business"/>
    <s v="E-Enable Virtual Methodologies"/>
    <x v="0"/>
    <s v="Floyd-Love"/>
    <n v="283.64999999999998"/>
    <n v="9.4080259940558353E-2"/>
  </r>
  <r>
    <s v="ORD1074"/>
    <d v="2022-10-24T00:00:00"/>
    <x v="0"/>
    <s v="PROD102"/>
    <n v="1237.7"/>
    <n v="180.14"/>
    <n v="5"/>
    <s v="Small Business"/>
    <s v="Optimize Transparent E-Markets"/>
    <x v="0"/>
    <s v="Lee, Tyler and Blevins"/>
    <n v="111.22"/>
    <n v="0.14554415448008401"/>
  </r>
  <r>
    <s v="ORD1075"/>
    <d v="2022-09-09T00:00:00"/>
    <x v="3"/>
    <s v="PROD108"/>
    <n v="4890.7299999999996"/>
    <n v="756.15"/>
    <n v="19"/>
    <s v="Small Business"/>
    <s v="Synergize World-Class Networks"/>
    <x v="1"/>
    <s v="Gomez-Lawrence"/>
    <n v="72.37"/>
    <n v="0.15460882117802455"/>
  </r>
  <r>
    <s v="ORD1076"/>
    <d v="2024-09-12T00:00:00"/>
    <x v="3"/>
    <s v="PROD117"/>
    <n v="4786.6000000000004"/>
    <n v="486.41"/>
    <n v="4"/>
    <s v="Small Business"/>
    <s v="Revolutionize Efficient Niches"/>
    <x v="1"/>
    <s v="Lopez-Torres"/>
    <n v="23.02"/>
    <n v="0.10161910333012994"/>
  </r>
  <r>
    <s v="ORD1077"/>
    <d v="2022-06-15T00:00:00"/>
    <x v="0"/>
    <s v="PROD122"/>
    <n v="2641.75"/>
    <n v="304.49"/>
    <n v="17"/>
    <s v="Corporate"/>
    <s v="Empower Dot-Com Deliverables"/>
    <x v="1"/>
    <s v="Davis LLC"/>
    <n v="250.66"/>
    <n v="0.1152607173275291"/>
  </r>
  <r>
    <s v="ORD1078"/>
    <d v="2024-07-19T00:00:00"/>
    <x v="2"/>
    <s v="PROD172"/>
    <n v="1068.8599999999999"/>
    <n v="100.98"/>
    <n v="14"/>
    <s v="Small Business"/>
    <s v="E-Enable Virtual Methodologies"/>
    <x v="0"/>
    <s v="Floyd-Love"/>
    <n v="283.64999999999998"/>
    <n v="9.4474486836442578E-2"/>
  </r>
  <r>
    <s v="ORD1079"/>
    <d v="2022-08-17T00:00:00"/>
    <x v="1"/>
    <s v="PROD153"/>
    <n v="3337.96"/>
    <n v="286.08999999999997"/>
    <n v="18"/>
    <s v="Consumer"/>
    <s v="Seize Plug-And-Play Web-Readiness"/>
    <x v="1"/>
    <s v="Joseph, Mayer and Carr"/>
    <n v="102.73"/>
    <n v="8.5708037244304897E-2"/>
  </r>
  <r>
    <s v="ORD1080"/>
    <d v="2020-10-01T00:00:00"/>
    <x v="0"/>
    <s v="PROD122"/>
    <n v="903.63"/>
    <n v="741.36"/>
    <n v="14"/>
    <s v="Consumer"/>
    <s v="Empower Dot-Com Deliverables"/>
    <x v="1"/>
    <s v="Davis LLC"/>
    <n v="250.66"/>
    <n v="0.82042428870223438"/>
  </r>
  <r>
    <s v="ORD1081"/>
    <d v="2020-08-23T00:00:00"/>
    <x v="2"/>
    <s v="PROD183"/>
    <n v="3829.31"/>
    <n v="204.65"/>
    <n v="16"/>
    <s v="Corporate"/>
    <s v="Incentivize Front-End Mindshare"/>
    <x v="1"/>
    <s v="Phillips-Tran"/>
    <n v="196.86"/>
    <n v="5.3443048486541966E-2"/>
  </r>
  <r>
    <s v="ORD1082"/>
    <d v="2024-06-19T00:00:00"/>
    <x v="0"/>
    <s v="PROD164"/>
    <n v="3634.59"/>
    <n v="385.68"/>
    <n v="16"/>
    <s v="Corporate"/>
    <s v="Transition Compelling Web-Readiness"/>
    <x v="2"/>
    <s v="Wood-Beck"/>
    <n v="88.34"/>
    <n v="0.10611375698496942"/>
  </r>
  <r>
    <s v="ORD1083"/>
    <d v="2022-07-05T00:00:00"/>
    <x v="2"/>
    <s v="PROD144"/>
    <n v="2832.09"/>
    <n v="172.78"/>
    <n v="16"/>
    <s v="Consumer"/>
    <s v="Expedite Synergistic Web-Readiness"/>
    <x v="1"/>
    <s v="Dunlap, Carpenter and Monroe"/>
    <n v="289.66000000000003"/>
    <n v="6.1007948193736776E-2"/>
  </r>
  <r>
    <s v="ORD1084"/>
    <d v="2022-02-08T00:00:00"/>
    <x v="1"/>
    <s v="PROD192"/>
    <n v="2362.11"/>
    <n v="505.07"/>
    <n v="19"/>
    <s v="Consumer"/>
    <s v="Drive Compelling E-Services"/>
    <x v="0"/>
    <s v="Morris-Villanueva"/>
    <n v="27.22"/>
    <n v="0.21382154091045716"/>
  </r>
  <r>
    <s v="ORD1085"/>
    <d v="2022-08-12T00:00:00"/>
    <x v="1"/>
    <s v="PROD168"/>
    <n v="1703.89"/>
    <n v="136.19"/>
    <n v="12"/>
    <s v="Corporate"/>
    <s v="Facilitate End-To-End Experiences"/>
    <x v="0"/>
    <s v="Pierce-Goodwin"/>
    <n v="260.52999999999997"/>
    <n v="7.9928868647623955E-2"/>
  </r>
  <r>
    <s v="ORD1086"/>
    <d v="2021-01-16T00:00:00"/>
    <x v="0"/>
    <s v="PROD158"/>
    <n v="658.29"/>
    <n v="638.54999999999995"/>
    <n v="7"/>
    <s v="Consumer"/>
    <s v="Brand Web-Enabled Solutions"/>
    <x v="1"/>
    <s v="Russell Group"/>
    <n v="51.67"/>
    <n v="0.97001321605979129"/>
  </r>
  <r>
    <s v="ORD1087"/>
    <d v="2021-11-25T00:00:00"/>
    <x v="1"/>
    <s v="PROD136"/>
    <n v="2740.1"/>
    <n v="728.43"/>
    <n v="6"/>
    <s v="Small Business"/>
    <s v="Evolve Innovative Web Services"/>
    <x v="2"/>
    <s v="Bush Inc"/>
    <n v="87.75"/>
    <n v="0.26584066274953466"/>
  </r>
  <r>
    <s v="ORD1088"/>
    <d v="2022-10-29T00:00:00"/>
    <x v="1"/>
    <s v="PROD198"/>
    <n v="1005.44"/>
    <n v="661.3"/>
    <n v="2"/>
    <s v="Small Business"/>
    <s v="Visualize Dynamic E-Commerce"/>
    <x v="2"/>
    <s v="Jones LLC"/>
    <n v="92.61"/>
    <n v="0.65772199236155304"/>
  </r>
  <r>
    <s v="ORD1089"/>
    <d v="2022-06-08T00:00:00"/>
    <x v="0"/>
    <s v="PROD134"/>
    <n v="1844.31"/>
    <n v="371.71"/>
    <n v="9"/>
    <s v="Consumer"/>
    <s v="Utilize Ubiquitous Synergies"/>
    <x v="1"/>
    <s v="Kramer, Huang and Shaw"/>
    <n v="295.89999999999998"/>
    <n v="0.20154420894535083"/>
  </r>
  <r>
    <s v="ORD1090"/>
    <d v="2021-11-24T00:00:00"/>
    <x v="2"/>
    <s v="PROD162"/>
    <n v="3305.44"/>
    <n v="361.4"/>
    <n v="18"/>
    <s v="Consumer"/>
    <s v="Reinvent Visionary Niches"/>
    <x v="2"/>
    <s v="Huber-Richmond"/>
    <n v="219.81"/>
    <n v="0.10933491456508058"/>
  </r>
  <r>
    <s v="ORD1091"/>
    <d v="2023-11-12T00:00:00"/>
    <x v="3"/>
    <s v="PROD135"/>
    <n v="2568.64"/>
    <n v="206.74"/>
    <n v="6"/>
    <s v="Corporate"/>
    <s v="Optimize 24/365 E-Services"/>
    <x v="0"/>
    <s v="Chase Ltd"/>
    <n v="100.35"/>
    <n v="8.0486171670611686E-2"/>
  </r>
  <r>
    <s v="ORD1092"/>
    <d v="2022-04-15T00:00:00"/>
    <x v="2"/>
    <s v="PROD160"/>
    <n v="3682.52"/>
    <n v="202.32"/>
    <n v="4"/>
    <s v="Corporate"/>
    <s v="Deliver Extensible Partnerships"/>
    <x v="2"/>
    <s v="Martin, Paul and Salazar"/>
    <n v="43.76"/>
    <n v="5.4940638475826337E-2"/>
  </r>
  <r>
    <s v="ORD1093"/>
    <d v="2021-12-18T00:00:00"/>
    <x v="1"/>
    <s v="PROD124"/>
    <n v="1611.44"/>
    <n v="695.93"/>
    <n v="10"/>
    <s v="Consumer"/>
    <s v="Incubate Real-Time E-Tailers"/>
    <x v="1"/>
    <s v="Johnson-Riley"/>
    <n v="86.67"/>
    <n v="0.43186839100431906"/>
  </r>
  <r>
    <s v="ORD1094"/>
    <d v="2024-01-06T00:00:00"/>
    <x v="2"/>
    <s v="PROD184"/>
    <n v="4920.3500000000004"/>
    <n v="79.150000000000006"/>
    <n v="8"/>
    <s v="Consumer"/>
    <s v="Embrace 24/365 Functionalities"/>
    <x v="0"/>
    <s v="Smith LLC"/>
    <n v="204.04"/>
    <n v="1.6086254026644445E-2"/>
  </r>
  <r>
    <s v="ORD1095"/>
    <d v="2022-04-11T00:00:00"/>
    <x v="3"/>
    <s v="PROD122"/>
    <n v="4129.58"/>
    <n v="476.54"/>
    <n v="17"/>
    <s v="Small Business"/>
    <s v="Empower Dot-Com Deliverables"/>
    <x v="1"/>
    <s v="Davis LLC"/>
    <n v="250.66"/>
    <n v="0.11539672315344418"/>
  </r>
  <r>
    <s v="ORD1096"/>
    <d v="2024-10-01T00:00:00"/>
    <x v="1"/>
    <s v="PROD111"/>
    <n v="2597.71"/>
    <n v="378.42"/>
    <n v="15"/>
    <s v="Corporate"/>
    <s v="Harness Revolutionary Interfaces"/>
    <x v="2"/>
    <s v="Davis, Short and Nguyen"/>
    <n v="26.49"/>
    <n v="0.14567445942772672"/>
  </r>
  <r>
    <s v="ORD1097"/>
    <d v="2020-04-27T00:00:00"/>
    <x v="2"/>
    <s v="PROD146"/>
    <n v="3382.39"/>
    <n v="273.31"/>
    <n v="12"/>
    <s v="Small Business"/>
    <s v="Engage Rich Web-Readiness"/>
    <x v="0"/>
    <s v="Turner Inc"/>
    <n v="81.069999999999993"/>
    <n v="8.0803810323469505E-2"/>
  </r>
  <r>
    <s v="ORD1098"/>
    <d v="2020-02-08T00:00:00"/>
    <x v="1"/>
    <s v="PROD130"/>
    <n v="2253.66"/>
    <n v="453.84"/>
    <n v="2"/>
    <s v="Consumer"/>
    <s v="Synthesize Wireless Initiatives"/>
    <x v="1"/>
    <s v="Mosley Ltd"/>
    <n v="162.69999999999999"/>
    <n v="0.20137909001357793"/>
  </r>
  <r>
    <s v="ORD1099"/>
    <d v="2024-05-23T00:00:00"/>
    <x v="3"/>
    <s v="PROD196"/>
    <n v="4827.91"/>
    <n v="333"/>
    <n v="14"/>
    <s v="Consumer"/>
    <s v="Strategize E-Business Content"/>
    <x v="1"/>
    <s v="Patterson LLC"/>
    <n v="294.02"/>
    <n v="6.8973945247529478E-2"/>
  </r>
  <r>
    <s v="ORD1100"/>
    <d v="2024-06-01T00:00:00"/>
    <x v="3"/>
    <s v="PROD105"/>
    <n v="387.17"/>
    <n v="616.64"/>
    <n v="16"/>
    <s v="Small Business"/>
    <s v="Transform Holistic Functionalities"/>
    <x v="0"/>
    <s v="Ruiz Ltd"/>
    <n v="179.27"/>
    <n v="1.5926853836815869"/>
  </r>
  <r>
    <s v="ORD1101"/>
    <d v="2020-09-25T00:00:00"/>
    <x v="0"/>
    <s v="PROD180"/>
    <n v="1063.9000000000001"/>
    <n v="554.38"/>
    <n v="5"/>
    <s v="Small Business"/>
    <s v="Iterate Extensible Roi"/>
    <x v="0"/>
    <s v="Hill-Kelly"/>
    <n v="180"/>
    <n v="0.52108280853463662"/>
  </r>
  <r>
    <s v="ORD1102"/>
    <d v="2023-06-15T00:00:00"/>
    <x v="3"/>
    <s v="PROD133"/>
    <n v="2753.78"/>
    <n v="930.89"/>
    <n v="18"/>
    <s v="Small Business"/>
    <s v="Re-Intermediate Seamless Applications"/>
    <x v="0"/>
    <s v="Welch-Reed"/>
    <n v="45.82"/>
    <n v="0.3380408020974805"/>
  </r>
  <r>
    <s v="ORD1103"/>
    <d v="2024-02-22T00:00:00"/>
    <x v="2"/>
    <s v="PROD129"/>
    <n v="3121.82"/>
    <n v="719.48"/>
    <n v="20"/>
    <s v="Corporate"/>
    <s v="Scale Vertical Networks"/>
    <x v="2"/>
    <s v="Lam, Wood and Jacobs"/>
    <n v="133.24"/>
    <n v="0.23046812436335215"/>
  </r>
  <r>
    <s v="ORD1104"/>
    <d v="2021-09-17T00:00:00"/>
    <x v="3"/>
    <s v="PROD114"/>
    <n v="1684.63"/>
    <n v="652.88"/>
    <n v="3"/>
    <s v="Corporate"/>
    <s v="Orchestrate User-Centric Platforms"/>
    <x v="2"/>
    <s v="Wells Ltd"/>
    <n v="201.87"/>
    <n v="0.38755097558514329"/>
  </r>
  <r>
    <s v="ORD1105"/>
    <d v="2020-04-11T00:00:00"/>
    <x v="3"/>
    <s v="PROD192"/>
    <n v="4769.18"/>
    <n v="802.33"/>
    <n v="1"/>
    <s v="Consumer"/>
    <s v="Drive Compelling E-Services"/>
    <x v="0"/>
    <s v="Morris-Villanueva"/>
    <n v="27.22"/>
    <n v="0.16823227473066649"/>
  </r>
  <r>
    <s v="ORD1106"/>
    <d v="2024-10-29T00:00:00"/>
    <x v="0"/>
    <s v="PROD196"/>
    <n v="2019.54"/>
    <n v="481.76"/>
    <n v="8"/>
    <s v="Consumer"/>
    <s v="Strategize E-Business Content"/>
    <x v="1"/>
    <s v="Patterson LLC"/>
    <n v="294.02"/>
    <n v="0.23854937262941064"/>
  </r>
  <r>
    <s v="ORD1107"/>
    <d v="2023-02-17T00:00:00"/>
    <x v="3"/>
    <s v="PROD151"/>
    <n v="3675.57"/>
    <n v="672.7"/>
    <n v="7"/>
    <s v="Small Business"/>
    <s v="Re-Contextualize Viral Markets"/>
    <x v="1"/>
    <s v="Meadows-Barber"/>
    <n v="177.52"/>
    <n v="0.18301923239116655"/>
  </r>
  <r>
    <s v="ORD1108"/>
    <d v="2020-11-09T00:00:00"/>
    <x v="2"/>
    <s v="PROD179"/>
    <n v="1729.87"/>
    <n v="119.79"/>
    <n v="5"/>
    <s v="Corporate"/>
    <s v="Target Viral Methodologies"/>
    <x v="1"/>
    <s v="Alvarez, Myers and Walter"/>
    <n v="149.26"/>
    <n v="6.9247978171770141E-2"/>
  </r>
  <r>
    <s v="ORD1109"/>
    <d v="2020-08-29T00:00:00"/>
    <x v="2"/>
    <s v="PROD134"/>
    <n v="195.33"/>
    <n v="843.64"/>
    <n v="8"/>
    <s v="Corporate"/>
    <s v="Utilize Ubiquitous Synergies"/>
    <x v="1"/>
    <s v="Kramer, Huang and Shaw"/>
    <n v="295.89999999999998"/>
    <n v="4.3190498131367425"/>
  </r>
  <r>
    <s v="ORD1110"/>
    <d v="2021-04-30T00:00:00"/>
    <x v="3"/>
    <s v="PROD173"/>
    <n v="2923.5"/>
    <n v="134.44"/>
    <n v="3"/>
    <s v="Corporate"/>
    <s v="Whiteboard Sticky Content"/>
    <x v="2"/>
    <s v="Wolfe Group"/>
    <n v="82.16"/>
    <n v="4.5985975714041387E-2"/>
  </r>
  <r>
    <s v="ORD1111"/>
    <d v="2021-03-15T00:00:00"/>
    <x v="1"/>
    <s v="PROD133"/>
    <n v="639.13"/>
    <n v="168.42"/>
    <n v="1"/>
    <s v="Small Business"/>
    <s v="Re-Intermediate Seamless Applications"/>
    <x v="0"/>
    <s v="Welch-Reed"/>
    <n v="45.82"/>
    <n v="0.26351446497582648"/>
  </r>
  <r>
    <s v="ORD1112"/>
    <d v="2020-07-04T00:00:00"/>
    <x v="0"/>
    <s v="PROD145"/>
    <n v="2832.75"/>
    <n v="384.31"/>
    <n v="19"/>
    <s v="Consumer"/>
    <s v="Innovate Strategic Systems"/>
    <x v="0"/>
    <s v="Mcfarland, Parker and Armstrong"/>
    <n v="70.239999999999995"/>
    <n v="0.13566675492013061"/>
  </r>
  <r>
    <s v="ORD1113"/>
    <d v="2023-02-09T00:00:00"/>
    <x v="3"/>
    <s v="PROD186"/>
    <n v="3777.35"/>
    <n v="139.49"/>
    <n v="2"/>
    <s v="Consumer"/>
    <s v="Reinvent Mission-Critical Markets"/>
    <x v="2"/>
    <s v="Gilbert-Sanders"/>
    <n v="154.21"/>
    <n v="3.6928005082928511E-2"/>
  </r>
  <r>
    <s v="ORD1114"/>
    <d v="2022-03-16T00:00:00"/>
    <x v="3"/>
    <s v="PROD137"/>
    <n v="2239.63"/>
    <n v="763.75"/>
    <n v="1"/>
    <s v="Small Business"/>
    <s v="Optimize Collaborative Initiatives"/>
    <x v="1"/>
    <s v="Adkins Ltd"/>
    <n v="34.46"/>
    <n v="0.34101614998906066"/>
  </r>
  <r>
    <s v="ORD1115"/>
    <d v="2021-03-11T00:00:00"/>
    <x v="1"/>
    <s v="PROD163"/>
    <n v="685.74"/>
    <n v="939.28"/>
    <n v="20"/>
    <s v="Small Business"/>
    <s v="Grow Back-End Supply-Chains"/>
    <x v="1"/>
    <s v="Green LLC"/>
    <n v="140.08000000000001"/>
    <n v="1.3697319683845188"/>
  </r>
  <r>
    <s v="ORD1116"/>
    <d v="2022-02-04T00:00:00"/>
    <x v="3"/>
    <s v="PROD122"/>
    <n v="2271.3200000000002"/>
    <n v="876.32"/>
    <n v="7"/>
    <s v="Corporate"/>
    <s v="Empower Dot-Com Deliverables"/>
    <x v="1"/>
    <s v="Davis LLC"/>
    <n v="250.66"/>
    <n v="0.3858196995579663"/>
  </r>
  <r>
    <s v="ORD1117"/>
    <d v="2021-07-28T00:00:00"/>
    <x v="1"/>
    <s v="PROD198"/>
    <n v="256.39999999999998"/>
    <n v="839.85"/>
    <n v="4"/>
    <s v="Consumer"/>
    <s v="Visualize Dynamic E-Commerce"/>
    <x v="2"/>
    <s v="Jones LLC"/>
    <n v="92.61"/>
    <n v="3.2755460218408738"/>
  </r>
  <r>
    <s v="ORD1118"/>
    <d v="2023-07-26T00:00:00"/>
    <x v="3"/>
    <s v="PROD189"/>
    <n v="1491.89"/>
    <n v="170.24"/>
    <n v="9"/>
    <s v="Small Business"/>
    <s v="E-Enable Next-Generation Experiences"/>
    <x v="2"/>
    <s v="Sanchez-Quinn"/>
    <n v="266.93"/>
    <n v="0.11411028963261366"/>
  </r>
  <r>
    <s v="ORD1119"/>
    <d v="2024-10-30T00:00:00"/>
    <x v="2"/>
    <s v="PROD118"/>
    <n v="2937.57"/>
    <n v="358.77"/>
    <n v="9"/>
    <s v="Corporate"/>
    <s v="Engineer Real-Time Architectures"/>
    <x v="2"/>
    <s v="James and Sons"/>
    <n v="127.23"/>
    <n v="0.12213155771607144"/>
  </r>
  <r>
    <s v="ORD1120"/>
    <d v="2023-03-11T00:00:00"/>
    <x v="1"/>
    <s v="PROD133"/>
    <n v="2768.6"/>
    <n v="199.98"/>
    <n v="2"/>
    <s v="Small Business"/>
    <s v="Re-Intermediate Seamless Applications"/>
    <x v="0"/>
    <s v="Welch-Reed"/>
    <n v="45.82"/>
    <n v="7.2231452719786177E-2"/>
  </r>
  <r>
    <s v="ORD1121"/>
    <d v="2022-03-08T00:00:00"/>
    <x v="0"/>
    <s v="PROD167"/>
    <n v="2167.1"/>
    <n v="632.48"/>
    <n v="4"/>
    <s v="Consumer"/>
    <s v="Grow Synergistic Infrastructures"/>
    <x v="2"/>
    <s v="Adams-Carter"/>
    <n v="113.17"/>
    <n v="0.29185547505883441"/>
  </r>
  <r>
    <s v="ORD1122"/>
    <d v="2020-12-02T00:00:00"/>
    <x v="3"/>
    <s v="PROD155"/>
    <n v="2265.2399999999998"/>
    <n v="75.39"/>
    <n v="2"/>
    <s v="Small Business"/>
    <s v="Incentivize User-Centric Mindshare"/>
    <x v="1"/>
    <s v="Becker, Wright and Wong"/>
    <n v="38.51"/>
    <n v="3.3281241722731371E-2"/>
  </r>
  <r>
    <s v="ORD1123"/>
    <d v="2022-10-20T00:00:00"/>
    <x v="3"/>
    <s v="PROD102"/>
    <n v="3647.86"/>
    <n v="906.62"/>
    <n v="8"/>
    <s v="Small Business"/>
    <s v="Optimize Transparent E-Markets"/>
    <x v="0"/>
    <s v="Lee, Tyler and Blevins"/>
    <n v="111.22"/>
    <n v="0.24853475736459182"/>
  </r>
  <r>
    <s v="ORD1124"/>
    <d v="2022-03-11T00:00:00"/>
    <x v="0"/>
    <s v="PROD171"/>
    <n v="2665.73"/>
    <n v="80.39"/>
    <n v="4"/>
    <s v="Consumer"/>
    <s v="Scale 24/365 Networks"/>
    <x v="2"/>
    <s v="Kim-Hamilton"/>
    <n v="157.55000000000001"/>
    <n v="3.0156842590960076E-2"/>
  </r>
  <r>
    <s v="ORD1125"/>
    <d v="2022-02-26T00:00:00"/>
    <x v="2"/>
    <s v="PROD159"/>
    <n v="4087.08"/>
    <n v="207.95"/>
    <n v="8"/>
    <s v="Corporate"/>
    <s v="Mesh Intuitive Supply-Chains"/>
    <x v="1"/>
    <s v="Soto, Barnett and Heath"/>
    <n v="281"/>
    <n v="5.0879845757851566E-2"/>
  </r>
  <r>
    <s v="ORD1126"/>
    <d v="2022-11-08T00:00:00"/>
    <x v="3"/>
    <s v="PROD101"/>
    <n v="4777.8599999999997"/>
    <n v="458.06"/>
    <n v="5"/>
    <s v="Consumer"/>
    <s v="Harness Proactive Eyeballs"/>
    <x v="1"/>
    <s v="Moran and Sons"/>
    <n v="58.01"/>
    <n v="9.5871373376365157E-2"/>
  </r>
  <r>
    <s v="ORD1127"/>
    <d v="2023-02-25T00:00:00"/>
    <x v="0"/>
    <s v="PROD128"/>
    <n v="641.27"/>
    <n v="865.72"/>
    <n v="14"/>
    <s v="Consumer"/>
    <s v="Brand Distributed Info-Mediaries"/>
    <x v="2"/>
    <s v="Garcia Ltd"/>
    <n v="114.48"/>
    <n v="1.3500085767305503"/>
  </r>
  <r>
    <s v="ORD1128"/>
    <d v="2023-12-29T00:00:00"/>
    <x v="3"/>
    <s v="PROD161"/>
    <n v="1738.23"/>
    <n v="284.85000000000002"/>
    <n v="7"/>
    <s v="Corporate"/>
    <s v="Synergize E-Business Deliverables"/>
    <x v="1"/>
    <s v="Crawford, Warren and Williams"/>
    <n v="125.93"/>
    <n v="0.16387359555409814"/>
  </r>
  <r>
    <s v="ORD1129"/>
    <d v="2021-12-11T00:00:00"/>
    <x v="2"/>
    <s v="PROD148"/>
    <n v="3693.88"/>
    <n v="733.18"/>
    <n v="10"/>
    <s v="Small Business"/>
    <s v="Empower Seamless Roi"/>
    <x v="0"/>
    <s v="Proctor Group"/>
    <n v="266.64999999999998"/>
    <n v="0.19848506177785957"/>
  </r>
  <r>
    <s v="ORD1130"/>
    <d v="2021-10-23T00:00:00"/>
    <x v="0"/>
    <s v="PROD173"/>
    <n v="4480.79"/>
    <n v="137.77000000000001"/>
    <n v="10"/>
    <s v="Small Business"/>
    <s v="Whiteboard Sticky Content"/>
    <x v="2"/>
    <s v="Wolfe Group"/>
    <n v="82.16"/>
    <n v="3.0746810272295737E-2"/>
  </r>
  <r>
    <s v="ORD1131"/>
    <d v="2022-12-18T00:00:00"/>
    <x v="3"/>
    <s v="PROD148"/>
    <n v="1203.18"/>
    <n v="365.08"/>
    <n v="18"/>
    <s v="Small Business"/>
    <s v="Empower Seamless Roi"/>
    <x v="0"/>
    <s v="Proctor Group"/>
    <n v="266.64999999999998"/>
    <n v="0.3034292458318788"/>
  </r>
  <r>
    <s v="ORD1132"/>
    <d v="2020-10-02T00:00:00"/>
    <x v="3"/>
    <s v="PROD136"/>
    <n v="4075.22"/>
    <n v="840.06"/>
    <n v="1"/>
    <s v="Small Business"/>
    <s v="Evolve Innovative Web Services"/>
    <x v="2"/>
    <s v="Bush Inc"/>
    <n v="87.75"/>
    <n v="0.20613856429836916"/>
  </r>
  <r>
    <s v="ORD1133"/>
    <d v="2020-02-22T00:00:00"/>
    <x v="2"/>
    <s v="PROD186"/>
    <n v="2468.8000000000002"/>
    <n v="427.74"/>
    <n v="1"/>
    <s v="Corporate"/>
    <s v="Reinvent Mission-Critical Markets"/>
    <x v="2"/>
    <s v="Gilbert-Sanders"/>
    <n v="154.21"/>
    <n v="0.17325826312378484"/>
  </r>
  <r>
    <s v="ORD1134"/>
    <d v="2021-05-22T00:00:00"/>
    <x v="3"/>
    <s v="PROD171"/>
    <n v="3101.77"/>
    <n v="948.71"/>
    <n v="4"/>
    <s v="Corporate"/>
    <s v="Scale 24/365 Networks"/>
    <x v="2"/>
    <s v="Kim-Hamilton"/>
    <n v="157.55000000000001"/>
    <n v="0.3058608471936991"/>
  </r>
  <r>
    <s v="ORD1135"/>
    <d v="2022-01-04T00:00:00"/>
    <x v="0"/>
    <s v="PROD125"/>
    <n v="812.1"/>
    <n v="331.59"/>
    <n v="15"/>
    <s v="Corporate"/>
    <s v="Leverage Cutting-Edge Vortals"/>
    <x v="1"/>
    <s v="Robinson, Garrett and Chavez"/>
    <n v="117.3"/>
    <n v="0.40831178426302173"/>
  </r>
  <r>
    <s v="ORD1136"/>
    <d v="2021-11-03T00:00:00"/>
    <x v="0"/>
    <s v="PROD187"/>
    <n v="208.41"/>
    <n v="76.42"/>
    <n v="17"/>
    <s v="Consumer"/>
    <s v="Whiteboard Compelling Experiences"/>
    <x v="2"/>
    <s v="Carrillo, Carr and Ball"/>
    <n v="206.54"/>
    <n v="0.36668106136941608"/>
  </r>
  <r>
    <s v="ORD1137"/>
    <d v="2024-09-02T00:00:00"/>
    <x v="3"/>
    <s v="PROD142"/>
    <n v="601.79"/>
    <n v="203.76"/>
    <n v="6"/>
    <s v="Corporate"/>
    <s v="Target Bricks-And-Clicks Channels"/>
    <x v="1"/>
    <s v="Dunn, Christensen and Meyer"/>
    <n v="126.86"/>
    <n v="0.33858987354392728"/>
  </r>
  <r>
    <s v="ORD1138"/>
    <d v="2023-11-12T00:00:00"/>
    <x v="1"/>
    <s v="PROD192"/>
    <n v="1113.25"/>
    <n v="659.07"/>
    <n v="4"/>
    <s v="Small Business"/>
    <s v="Drive Compelling E-Services"/>
    <x v="0"/>
    <s v="Morris-Villanueva"/>
    <n v="27.22"/>
    <n v="0.59202335504154502"/>
  </r>
  <r>
    <s v="ORD1139"/>
    <d v="2023-09-30T00:00:00"/>
    <x v="1"/>
    <s v="PROD180"/>
    <n v="4648.99"/>
    <n v="209.64"/>
    <n v="13"/>
    <s v="Small Business"/>
    <s v="Iterate Extensible Roi"/>
    <x v="0"/>
    <s v="Hill-Kelly"/>
    <n v="180"/>
    <n v="4.5093665505841055E-2"/>
  </r>
  <r>
    <s v="ORD1140"/>
    <d v="2023-08-13T00:00:00"/>
    <x v="2"/>
    <s v="PROD110"/>
    <n v="428.54"/>
    <n v="844.3"/>
    <n v="3"/>
    <s v="Corporate"/>
    <s v="E-Enable Holistic Supply-Chains"/>
    <x v="2"/>
    <s v="Lin-Mcdaniel"/>
    <n v="160.33000000000001"/>
    <n v="1.9701778130396228"/>
  </r>
  <r>
    <s v="ORD1141"/>
    <d v="2024-02-03T00:00:00"/>
    <x v="2"/>
    <s v="PROD115"/>
    <n v="2541.0100000000002"/>
    <n v="608.61"/>
    <n v="10"/>
    <s v="Small Business"/>
    <s v="Morph World-Class Synergies"/>
    <x v="1"/>
    <s v="Bryant Ltd"/>
    <n v="20.69"/>
    <n v="0.23951499600552534"/>
  </r>
  <r>
    <s v="ORD1142"/>
    <d v="2024-05-23T00:00:00"/>
    <x v="2"/>
    <s v="PROD175"/>
    <n v="595.72"/>
    <n v="380.99"/>
    <n v="3"/>
    <s v="Corporate"/>
    <s v="Empower Bleeding-Edge Action-Items"/>
    <x v="2"/>
    <s v="Gray, Hayes and Banks"/>
    <n v="204.26"/>
    <n v="0.6395454240247096"/>
  </r>
  <r>
    <s v="ORD1143"/>
    <d v="2020-12-20T00:00:00"/>
    <x v="1"/>
    <s v="PROD100"/>
    <n v="77.16"/>
    <n v="542.99"/>
    <n v="12"/>
    <s v="Consumer"/>
    <s v="Synthesize Scalable Portals"/>
    <x v="2"/>
    <s v="Singh, Villa and Flynn"/>
    <n v="298.57"/>
    <n v="7.0371954380508042"/>
  </r>
  <r>
    <s v="ORD1144"/>
    <d v="2022-04-09T00:00:00"/>
    <x v="0"/>
    <s v="PROD161"/>
    <n v="597.87"/>
    <n v="928.2"/>
    <n v="16"/>
    <s v="Small Business"/>
    <s v="Synergize E-Business Deliverables"/>
    <x v="1"/>
    <s v="Crawford, Warren and Williams"/>
    <n v="125.93"/>
    <n v="1.5525114155251143"/>
  </r>
  <r>
    <s v="ORD1145"/>
    <d v="2020-08-03T00:00:00"/>
    <x v="1"/>
    <s v="PROD112"/>
    <n v="4374.3500000000004"/>
    <n v="420.7"/>
    <n v="12"/>
    <s v="Corporate"/>
    <s v="Seize Clicks-And-Mortar Platforms"/>
    <x v="0"/>
    <s v="Owens, Campos and Wood"/>
    <n v="271.16000000000003"/>
    <n v="9.6174288751471632E-2"/>
  </r>
  <r>
    <s v="ORD1146"/>
    <d v="2024-03-31T00:00:00"/>
    <x v="1"/>
    <s v="PROD191"/>
    <n v="677.19"/>
    <n v="494.93"/>
    <n v="19"/>
    <s v="Corporate"/>
    <s v="Synergize Frictionless Synergies"/>
    <x v="2"/>
    <s v="Hester and Sons"/>
    <n v="289.06"/>
    <n v="0.73085840015357573"/>
  </r>
  <r>
    <s v="ORD1147"/>
    <d v="2021-04-18T00:00:00"/>
    <x v="0"/>
    <s v="PROD134"/>
    <n v="3472.91"/>
    <n v="991.68"/>
    <n v="9"/>
    <s v="Small Business"/>
    <s v="Utilize Ubiquitous Synergies"/>
    <x v="1"/>
    <s v="Kramer, Huang and Shaw"/>
    <n v="295.89999999999998"/>
    <n v="0.28554727879501629"/>
  </r>
  <r>
    <s v="ORD1148"/>
    <d v="2023-05-16T00:00:00"/>
    <x v="1"/>
    <s v="PROD148"/>
    <n v="3484.07"/>
    <n v="177.94"/>
    <n v="5"/>
    <s v="Corporate"/>
    <s v="Empower Seamless Roi"/>
    <x v="0"/>
    <s v="Proctor Group"/>
    <n v="266.64999999999998"/>
    <n v="5.1072452620067904E-2"/>
  </r>
  <r>
    <s v="ORD1149"/>
    <d v="2023-12-19T00:00:00"/>
    <x v="2"/>
    <s v="PROD157"/>
    <n v="2569.12"/>
    <n v="125.16"/>
    <n v="19"/>
    <s v="Corporate"/>
    <s v="Implement Rich Platforms"/>
    <x v="1"/>
    <s v="Parker, Anderson and Salazar"/>
    <n v="53.59"/>
    <n v="4.8717070436569719E-2"/>
  </r>
  <r>
    <s v="ORD1150"/>
    <d v="2021-11-17T00:00:00"/>
    <x v="1"/>
    <s v="PROD113"/>
    <n v="2303.34"/>
    <n v="883.93"/>
    <n v="2"/>
    <s v="Small Business"/>
    <s v="Envisioneer B2B Users"/>
    <x v="0"/>
    <s v="Rogers Group"/>
    <n v="239.16"/>
    <n v="0.38376010489115803"/>
  </r>
  <r>
    <s v="ORD1151"/>
    <d v="2022-07-25T00:00:00"/>
    <x v="2"/>
    <s v="PROD174"/>
    <n v="2817.1"/>
    <n v="518.97"/>
    <n v="17"/>
    <s v="Small Business"/>
    <s v="Disintermediate Scalable Bandwidth"/>
    <x v="1"/>
    <s v="Levy PLC"/>
    <n v="19.86"/>
    <n v="0.18422136239395123"/>
  </r>
  <r>
    <s v="ORD1152"/>
    <d v="2023-05-26T00:00:00"/>
    <x v="3"/>
    <s v="PROD102"/>
    <n v="4931.68"/>
    <n v="915.91"/>
    <n v="5"/>
    <s v="Consumer"/>
    <s v="Optimize Transparent E-Markets"/>
    <x v="0"/>
    <s v="Lee, Tyler and Blevins"/>
    <n v="111.22"/>
    <n v="0.18571967362034841"/>
  </r>
  <r>
    <s v="ORD1153"/>
    <d v="2021-10-30T00:00:00"/>
    <x v="1"/>
    <s v="PROD185"/>
    <n v="672.65"/>
    <n v="456.45"/>
    <n v="14"/>
    <s v="Small Business"/>
    <s v="Generate End-To-End Functionalities"/>
    <x v="1"/>
    <s v="Sanchez-Stewart"/>
    <n v="196.15"/>
    <n v="0.6785847022968855"/>
  </r>
  <r>
    <s v="ORD1154"/>
    <d v="2022-09-07T00:00:00"/>
    <x v="2"/>
    <s v="PROD127"/>
    <n v="4118.74"/>
    <n v="624.41999999999996"/>
    <n v="1"/>
    <s v="Consumer"/>
    <s v="Deliver Viral Channels"/>
    <x v="2"/>
    <s v="Parker LLC"/>
    <n v="45.41"/>
    <n v="0.1516046169459592"/>
  </r>
  <r>
    <s v="ORD1155"/>
    <d v="2024-08-02T00:00:00"/>
    <x v="0"/>
    <s v="PROD116"/>
    <n v="1284.75"/>
    <n v="628.16"/>
    <n v="9"/>
    <s v="Small Business"/>
    <s v="Synergize Cross-Platform Vortals"/>
    <x v="2"/>
    <s v="Edwards Group"/>
    <n v="87.18"/>
    <n v="0.48893559058182523"/>
  </r>
  <r>
    <s v="ORD1156"/>
    <d v="2020-12-02T00:00:00"/>
    <x v="1"/>
    <s v="PROD179"/>
    <n v="3289.46"/>
    <n v="615.78"/>
    <n v="20"/>
    <s v="Consumer"/>
    <s v="Target Viral Methodologies"/>
    <x v="1"/>
    <s v="Alvarez, Myers and Walter"/>
    <n v="149.26"/>
    <n v="0.18719789874325876"/>
  </r>
  <r>
    <s v="ORD1157"/>
    <d v="2022-02-16T00:00:00"/>
    <x v="2"/>
    <s v="PROD180"/>
    <n v="1625.58"/>
    <n v="956.16"/>
    <n v="8"/>
    <s v="Small Business"/>
    <s v="Iterate Extensible Roi"/>
    <x v="0"/>
    <s v="Hill-Kelly"/>
    <n v="180"/>
    <n v="0.58819621304395975"/>
  </r>
  <r>
    <s v="ORD1158"/>
    <d v="2021-12-09T00:00:00"/>
    <x v="2"/>
    <s v="PROD182"/>
    <n v="1161.1300000000001"/>
    <n v="764.92"/>
    <n v="17"/>
    <s v="Consumer"/>
    <s v="Strategize Best-Of-Breed Web-Readiness"/>
    <x v="0"/>
    <s v="Morris, King and Ayers"/>
    <n v="220.16"/>
    <n v="0.65877205825359764"/>
  </r>
  <r>
    <s v="ORD1159"/>
    <d v="2021-09-29T00:00:00"/>
    <x v="3"/>
    <s v="PROD177"/>
    <n v="2223.36"/>
    <n v="731.25"/>
    <n v="11"/>
    <s v="Small Business"/>
    <s v="Deploy Granular Channels"/>
    <x v="2"/>
    <s v="Barnes Ltd"/>
    <n v="288.99"/>
    <n v="0.32889410621761656"/>
  </r>
  <r>
    <s v="ORD1160"/>
    <d v="2021-03-23T00:00:00"/>
    <x v="1"/>
    <s v="PROD112"/>
    <n v="2688.84"/>
    <n v="615.79"/>
    <n v="12"/>
    <s v="Small Business"/>
    <s v="Seize Clicks-And-Mortar Platforms"/>
    <x v="0"/>
    <s v="Owens, Campos and Wood"/>
    <n v="271.16000000000003"/>
    <n v="0.22901697386233466"/>
  </r>
  <r>
    <s v="ORD1161"/>
    <d v="2023-05-17T00:00:00"/>
    <x v="3"/>
    <s v="PROD110"/>
    <n v="4700.6499999999996"/>
    <n v="706.17"/>
    <n v="15"/>
    <s v="Consumer"/>
    <s v="E-Enable Holistic Supply-Chains"/>
    <x v="2"/>
    <s v="Lin-Mcdaniel"/>
    <n v="160.33000000000001"/>
    <n v="0.15022815993532809"/>
  </r>
  <r>
    <s v="ORD1162"/>
    <d v="2022-03-01T00:00:00"/>
    <x v="1"/>
    <s v="PROD103"/>
    <n v="3126.49"/>
    <n v="972.35"/>
    <n v="16"/>
    <s v="Small Business"/>
    <s v="Monetize Collaborative Metrics"/>
    <x v="1"/>
    <s v="Ramirez-Brown"/>
    <n v="286.04000000000002"/>
    <n v="0.31100371342943689"/>
  </r>
  <r>
    <s v="ORD1163"/>
    <d v="2023-12-05T00:00:00"/>
    <x v="3"/>
    <s v="PROD146"/>
    <n v="228.14"/>
    <n v="942.02"/>
    <n v="6"/>
    <s v="Corporate"/>
    <s v="Engage Rich Web-Readiness"/>
    <x v="0"/>
    <s v="Turner Inc"/>
    <n v="81.069999999999993"/>
    <n v="4.1291312352064526"/>
  </r>
  <r>
    <s v="ORD1164"/>
    <d v="2024-09-04T00:00:00"/>
    <x v="3"/>
    <s v="PROD129"/>
    <n v="3685.18"/>
    <n v="343"/>
    <n v="20"/>
    <s v="Corporate"/>
    <s v="Scale Vertical Networks"/>
    <x v="2"/>
    <s v="Lam, Wood and Jacobs"/>
    <n v="133.24"/>
    <n v="9.3075507844935665E-2"/>
  </r>
  <r>
    <s v="ORD1165"/>
    <d v="2023-06-06T00:00:00"/>
    <x v="2"/>
    <s v="PROD166"/>
    <n v="3120.96"/>
    <n v="848.72"/>
    <n v="5"/>
    <s v="Corporate"/>
    <s v="Monetize Wireless Functionalities"/>
    <x v="2"/>
    <s v="Robinson, Rodriguez and Hernandez"/>
    <n v="162.22"/>
    <n v="0.27194196657438735"/>
  </r>
  <r>
    <s v="ORD1166"/>
    <d v="2020-06-30T00:00:00"/>
    <x v="2"/>
    <s v="PROD178"/>
    <n v="4220.93"/>
    <n v="165.78"/>
    <n v="18"/>
    <s v="Small Business"/>
    <s v="Monetize Value-Added Niches"/>
    <x v="0"/>
    <s v="Foster, Velazquez and Lee"/>
    <n v="171.51"/>
    <n v="3.9275704643289507E-2"/>
  </r>
  <r>
    <s v="ORD1167"/>
    <d v="2024-03-15T00:00:00"/>
    <x v="1"/>
    <s v="PROD191"/>
    <n v="3206.76"/>
    <n v="254.78"/>
    <n v="2"/>
    <s v="Small Business"/>
    <s v="Synergize Frictionless Synergies"/>
    <x v="2"/>
    <s v="Hester and Sons"/>
    <n v="289.06"/>
    <n v="7.9450909952724857E-2"/>
  </r>
  <r>
    <s v="ORD1168"/>
    <d v="2020-04-29T00:00:00"/>
    <x v="3"/>
    <s v="PROD180"/>
    <n v="2652.73"/>
    <n v="587.5"/>
    <n v="6"/>
    <s v="Small Business"/>
    <s v="Iterate Extensible Roi"/>
    <x v="0"/>
    <s v="Hill-Kelly"/>
    <n v="180"/>
    <n v="0.22146995736467714"/>
  </r>
  <r>
    <s v="ORD1169"/>
    <d v="2022-02-04T00:00:00"/>
    <x v="3"/>
    <s v="PROD157"/>
    <n v="437.36"/>
    <n v="853.06"/>
    <n v="8"/>
    <s v="Consumer"/>
    <s v="Implement Rich Platforms"/>
    <x v="1"/>
    <s v="Parker, Anderson and Salazar"/>
    <n v="53.59"/>
    <n v="1.9504755807572707"/>
  </r>
  <r>
    <s v="ORD1170"/>
    <d v="2021-11-05T00:00:00"/>
    <x v="3"/>
    <s v="PROD172"/>
    <n v="3676"/>
    <n v="655.83"/>
    <n v="12"/>
    <s v="Small Business"/>
    <s v="E-Enable Virtual Methodologies"/>
    <x v="0"/>
    <s v="Floyd-Love"/>
    <n v="283.64999999999998"/>
    <n v="0.17840859630032646"/>
  </r>
  <r>
    <s v="ORD1171"/>
    <d v="2022-11-13T00:00:00"/>
    <x v="0"/>
    <s v="PROD112"/>
    <n v="1784.7"/>
    <n v="921.65"/>
    <n v="14"/>
    <s v="Small Business"/>
    <s v="Seize Clicks-And-Mortar Platforms"/>
    <x v="0"/>
    <s v="Owens, Campos and Wood"/>
    <n v="271.16000000000003"/>
    <n v="0.5164173250406231"/>
  </r>
  <r>
    <s v="ORD1172"/>
    <d v="2024-08-29T00:00:00"/>
    <x v="1"/>
    <s v="PROD111"/>
    <n v="1005.16"/>
    <n v="456.81"/>
    <n v="11"/>
    <s v="Small Business"/>
    <s v="Harness Revolutionary Interfaces"/>
    <x v="2"/>
    <s v="Davis, Short and Nguyen"/>
    <n v="26.49"/>
    <n v="0.45446496080226034"/>
  </r>
  <r>
    <s v="ORD1173"/>
    <d v="2022-07-01T00:00:00"/>
    <x v="0"/>
    <s v="PROD107"/>
    <n v="2804.49"/>
    <n v="639.09"/>
    <n v="13"/>
    <s v="Consumer"/>
    <s v="Utilize Back-End Models"/>
    <x v="2"/>
    <s v="Lewis-Holden"/>
    <n v="241.53"/>
    <n v="0.22788100510253204"/>
  </r>
  <r>
    <s v="ORD1174"/>
    <d v="2021-05-25T00:00:00"/>
    <x v="0"/>
    <s v="PROD195"/>
    <n v="4878.17"/>
    <n v="114.47"/>
    <n v="9"/>
    <s v="Small Business"/>
    <s v="Reinvent Out-Of-The-Box Models"/>
    <x v="0"/>
    <s v="Wagner-Curtis"/>
    <n v="172.34"/>
    <n v="2.3465766875693139E-2"/>
  </r>
  <r>
    <s v="ORD1175"/>
    <d v="2024-03-04T00:00:00"/>
    <x v="0"/>
    <s v="PROD158"/>
    <n v="4851.63"/>
    <n v="626.78"/>
    <n v="20"/>
    <s v="Small Business"/>
    <s v="Brand Web-Enabled Solutions"/>
    <x v="1"/>
    <s v="Russell Group"/>
    <n v="51.67"/>
    <n v="0.12918957133994141"/>
  </r>
  <r>
    <s v="ORD1176"/>
    <d v="2021-07-20T00:00:00"/>
    <x v="3"/>
    <s v="PROD145"/>
    <n v="3491.38"/>
    <n v="823.11"/>
    <n v="17"/>
    <s v="Consumer"/>
    <s v="Innovate Strategic Systems"/>
    <x v="0"/>
    <s v="Mcfarland, Parker and Armstrong"/>
    <n v="70.239999999999995"/>
    <n v="0.23575491639409057"/>
  </r>
  <r>
    <s v="ORD1177"/>
    <d v="2022-05-20T00:00:00"/>
    <x v="2"/>
    <s v="PROD139"/>
    <n v="1584.51"/>
    <n v="628.84"/>
    <n v="5"/>
    <s v="Corporate"/>
    <s v="Re-Contextualize Viral Mindshare"/>
    <x v="1"/>
    <s v="Carter-Lane"/>
    <n v="142.25"/>
    <n v="0.39686717029239327"/>
  </r>
  <r>
    <s v="ORD1178"/>
    <d v="2021-12-06T00:00:00"/>
    <x v="2"/>
    <s v="PROD153"/>
    <n v="3878.18"/>
    <n v="610.32000000000005"/>
    <n v="2"/>
    <s v="Consumer"/>
    <s v="Seize Plug-And-Play Web-Readiness"/>
    <x v="1"/>
    <s v="Joseph, Mayer and Carr"/>
    <n v="102.73"/>
    <n v="0.15737278826666118"/>
  </r>
  <r>
    <s v="ORD1179"/>
    <d v="2024-09-26T00:00:00"/>
    <x v="2"/>
    <s v="PROD165"/>
    <n v="4544.66"/>
    <n v="340.69"/>
    <n v="6"/>
    <s v="Corporate"/>
    <s v="Benchmark Cross-Platform Markets"/>
    <x v="2"/>
    <s v="Murphy, Mathews and Wilson"/>
    <n v="78.88"/>
    <n v="7.4964903865195637E-2"/>
  </r>
  <r>
    <s v="ORD1180"/>
    <d v="2024-09-15T00:00:00"/>
    <x v="0"/>
    <s v="PROD113"/>
    <n v="1458.71"/>
    <n v="563.96"/>
    <n v="5"/>
    <s v="Corporate"/>
    <s v="Envisioneer B2B Users"/>
    <x v="0"/>
    <s v="Rogers Group"/>
    <n v="239.16"/>
    <n v="0.38661557129244334"/>
  </r>
  <r>
    <s v="ORD1181"/>
    <d v="2022-09-21T00:00:00"/>
    <x v="3"/>
    <s v="PROD167"/>
    <n v="4868.8100000000004"/>
    <n v="758.59"/>
    <n v="19"/>
    <s v="Small Business"/>
    <s v="Grow Synergistic Infrastructures"/>
    <x v="2"/>
    <s v="Adams-Carter"/>
    <n v="113.17"/>
    <n v="0.15580603884727479"/>
  </r>
  <r>
    <s v="ORD1182"/>
    <d v="2020-10-16T00:00:00"/>
    <x v="2"/>
    <s v="PROD179"/>
    <n v="2317.48"/>
    <n v="171.48"/>
    <n v="17"/>
    <s v="Small Business"/>
    <s v="Target Viral Methodologies"/>
    <x v="1"/>
    <s v="Alvarez, Myers and Walter"/>
    <n v="149.26"/>
    <n v="7.3994166076945644E-2"/>
  </r>
  <r>
    <s v="ORD1183"/>
    <d v="2024-08-23T00:00:00"/>
    <x v="2"/>
    <s v="PROD160"/>
    <n v="1471.68"/>
    <n v="565.17999999999995"/>
    <n v="2"/>
    <s v="Corporate"/>
    <s v="Deliver Extensible Partnerships"/>
    <x v="2"/>
    <s v="Martin, Paul and Salazar"/>
    <n v="43.76"/>
    <n v="0.38403729071537285"/>
  </r>
  <r>
    <s v="ORD1184"/>
    <d v="2023-07-10T00:00:00"/>
    <x v="3"/>
    <s v="PROD149"/>
    <n v="89.71"/>
    <n v="392.31"/>
    <n v="14"/>
    <s v="Corporate"/>
    <s v="Envisioneer B2C Web-Readiness"/>
    <x v="1"/>
    <s v="Kemp Group"/>
    <n v="97.23"/>
    <n v="4.3730910712295179"/>
  </r>
  <r>
    <s v="ORD1185"/>
    <d v="2023-06-23T00:00:00"/>
    <x v="3"/>
    <s v="PROD152"/>
    <n v="1556.46"/>
    <n v="691.61"/>
    <n v="14"/>
    <s v="Small Business"/>
    <s v="Reinvent Frictionless Roi"/>
    <x v="2"/>
    <s v="Bridges, Castillo and Rodriguez"/>
    <n v="253.89"/>
    <n v="0.44434807190676279"/>
  </r>
  <r>
    <s v="ORD1186"/>
    <d v="2023-05-03T00:00:00"/>
    <x v="0"/>
    <s v="PROD133"/>
    <n v="4261.3500000000004"/>
    <n v="829.06"/>
    <n v="15"/>
    <s v="Corporate"/>
    <s v="Re-Intermediate Seamless Applications"/>
    <x v="0"/>
    <s v="Welch-Reed"/>
    <n v="45.82"/>
    <n v="0.1945533692374482"/>
  </r>
  <r>
    <s v="ORD1187"/>
    <d v="2022-11-11T00:00:00"/>
    <x v="0"/>
    <s v="PROD103"/>
    <n v="1119.4000000000001"/>
    <n v="126.24"/>
    <n v="6"/>
    <s v="Small Business"/>
    <s v="Monetize Collaborative Metrics"/>
    <x v="1"/>
    <s v="Ramirez-Brown"/>
    <n v="286.04000000000002"/>
    <n v="0.11277470073253527"/>
  </r>
  <r>
    <s v="ORD1188"/>
    <d v="2022-08-22T00:00:00"/>
    <x v="1"/>
    <s v="PROD106"/>
    <n v="4606.8"/>
    <n v="868.72"/>
    <n v="16"/>
    <s v="Consumer"/>
    <s v="Synergize End-To-End Supply-Chains"/>
    <x v="0"/>
    <s v="Higgins-Espinoza"/>
    <n v="279.8"/>
    <n v="0.18857341321524704"/>
  </r>
  <r>
    <s v="ORD1189"/>
    <d v="2022-02-18T00:00:00"/>
    <x v="2"/>
    <s v="PROD129"/>
    <n v="3894.2"/>
    <n v="265.14"/>
    <n v="8"/>
    <s v="Small Business"/>
    <s v="Scale Vertical Networks"/>
    <x v="2"/>
    <s v="Lam, Wood and Jacobs"/>
    <n v="133.24"/>
    <n v="6.8085871295773204E-2"/>
  </r>
  <r>
    <s v="ORD1190"/>
    <d v="2021-03-18T00:00:00"/>
    <x v="0"/>
    <s v="PROD146"/>
    <n v="230.22"/>
    <n v="538.6"/>
    <n v="19"/>
    <s v="Small Business"/>
    <s v="Engage Rich Web-Readiness"/>
    <x v="0"/>
    <s v="Turner Inc"/>
    <n v="81.069999999999993"/>
    <n v="2.3395013465380941"/>
  </r>
  <r>
    <s v="ORD1191"/>
    <d v="2020-03-25T00:00:00"/>
    <x v="2"/>
    <s v="PROD107"/>
    <n v="3342.99"/>
    <n v="788.51"/>
    <n v="1"/>
    <s v="Small Business"/>
    <s v="Utilize Back-End Models"/>
    <x v="2"/>
    <s v="Lewis-Holden"/>
    <n v="241.53"/>
    <n v="0.23586968552104554"/>
  </r>
  <r>
    <s v="ORD1192"/>
    <d v="2020-07-11T00:00:00"/>
    <x v="1"/>
    <s v="PROD127"/>
    <n v="2824.55"/>
    <n v="96.29"/>
    <n v="1"/>
    <s v="Consumer"/>
    <s v="Deliver Viral Channels"/>
    <x v="2"/>
    <s v="Parker LLC"/>
    <n v="45.41"/>
    <n v="3.4090386079198454E-2"/>
  </r>
  <r>
    <s v="ORD1193"/>
    <d v="2023-07-02T00:00:00"/>
    <x v="1"/>
    <s v="PROD135"/>
    <n v="4959.1899999999996"/>
    <n v="298.20999999999998"/>
    <n v="2"/>
    <s v="Corporate"/>
    <s v="Optimize 24/365 E-Services"/>
    <x v="0"/>
    <s v="Chase Ltd"/>
    <n v="100.35"/>
    <n v="6.0132803945805668E-2"/>
  </r>
  <r>
    <s v="ORD1194"/>
    <d v="2023-06-26T00:00:00"/>
    <x v="2"/>
    <s v="PROD140"/>
    <n v="4539.2299999999996"/>
    <n v="611.03"/>
    <n v="6"/>
    <s v="Consumer"/>
    <s v="Extend Bricks-And-Clicks Architectures"/>
    <x v="2"/>
    <s v="Fuller PLC"/>
    <n v="202.99"/>
    <n v="0.13461093621605427"/>
  </r>
  <r>
    <s v="ORD1195"/>
    <d v="2024-02-07T00:00:00"/>
    <x v="2"/>
    <s v="PROD107"/>
    <n v="4955.5200000000004"/>
    <n v="561.07000000000005"/>
    <n v="10"/>
    <s v="Small Business"/>
    <s v="Utilize Back-End Models"/>
    <x v="2"/>
    <s v="Lewis-Holden"/>
    <n v="241.53"/>
    <n v="0.11322121593697533"/>
  </r>
  <r>
    <s v="ORD1196"/>
    <d v="2022-08-14T00:00:00"/>
    <x v="3"/>
    <s v="PROD117"/>
    <n v="1793.71"/>
    <n v="64.040000000000006"/>
    <n v="7"/>
    <s v="Small Business"/>
    <s v="Revolutionize Efficient Niches"/>
    <x v="1"/>
    <s v="Lopez-Torres"/>
    <n v="23.02"/>
    <n v="3.5702538314443255E-2"/>
  </r>
  <r>
    <s v="ORD1197"/>
    <d v="2023-03-14T00:00:00"/>
    <x v="3"/>
    <s v="PROD199"/>
    <n v="3220.07"/>
    <n v="920.77"/>
    <n v="19"/>
    <s v="Consumer"/>
    <s v="Scale Cross-Platform Web Services"/>
    <x v="2"/>
    <s v="Morrow, Brock and Lewis"/>
    <n v="115.21"/>
    <n v="0.28594719990559209"/>
  </r>
  <r>
    <s v="ORD1198"/>
    <d v="2022-12-08T00:00:00"/>
    <x v="3"/>
    <s v="PROD148"/>
    <n v="1361.46"/>
    <n v="267.49"/>
    <n v="3"/>
    <s v="Corporate"/>
    <s v="Empower Seamless Roi"/>
    <x v="0"/>
    <s v="Proctor Group"/>
    <n v="266.64999999999998"/>
    <n v="0.19647290408825818"/>
  </r>
  <r>
    <s v="ORD1199"/>
    <d v="2022-04-20T00:00:00"/>
    <x v="3"/>
    <s v="PROD130"/>
    <n v="4348.88"/>
    <n v="696.78"/>
    <n v="5"/>
    <s v="Corporate"/>
    <s v="Synthesize Wireless Initiatives"/>
    <x v="1"/>
    <s v="Mosley Ltd"/>
    <n v="162.69999999999999"/>
    <n v="0.16022056253564135"/>
  </r>
  <r>
    <s v="ORD1200"/>
    <d v="2021-11-02T00:00:00"/>
    <x v="1"/>
    <s v="PROD107"/>
    <n v="2881.67"/>
    <n v="418.66"/>
    <n v="11"/>
    <s v="Small Business"/>
    <s v="Utilize Back-End Models"/>
    <x v="2"/>
    <s v="Lewis-Holden"/>
    <n v="241.53"/>
    <n v="0.14528381112341107"/>
  </r>
  <r>
    <s v="ORD1201"/>
    <d v="2024-10-22T00:00:00"/>
    <x v="3"/>
    <s v="PROD195"/>
    <n v="3579.89"/>
    <n v="686.12"/>
    <n v="15"/>
    <s v="Corporate"/>
    <s v="Reinvent Out-Of-The-Box Models"/>
    <x v="0"/>
    <s v="Wagner-Curtis"/>
    <n v="172.34"/>
    <n v="0.19165952026458916"/>
  </r>
  <r>
    <s v="ORD1202"/>
    <d v="2021-01-02T00:00:00"/>
    <x v="0"/>
    <s v="PROD140"/>
    <n v="3600.04"/>
    <n v="277.41000000000003"/>
    <n v="1"/>
    <s v="Corporate"/>
    <s v="Extend Bricks-And-Clicks Architectures"/>
    <x v="2"/>
    <s v="Fuller PLC"/>
    <n v="202.99"/>
    <n v="7.7057477139142905E-2"/>
  </r>
  <r>
    <s v="ORD1203"/>
    <d v="2020-08-13T00:00:00"/>
    <x v="2"/>
    <s v="PROD173"/>
    <n v="2730.85"/>
    <n v="355.32"/>
    <n v="9"/>
    <s v="Consumer"/>
    <s v="Whiteboard Sticky Content"/>
    <x v="2"/>
    <s v="Wolfe Group"/>
    <n v="82.16"/>
    <n v="0.13011333467601663"/>
  </r>
  <r>
    <s v="ORD1204"/>
    <d v="2024-05-13T00:00:00"/>
    <x v="1"/>
    <s v="PROD107"/>
    <n v="3770.22"/>
    <n v="642.71"/>
    <n v="20"/>
    <s v="Small Business"/>
    <s v="Utilize Back-End Models"/>
    <x v="2"/>
    <s v="Lewis-Holden"/>
    <n v="241.53"/>
    <n v="0.17047015824010273"/>
  </r>
  <r>
    <s v="ORD1205"/>
    <d v="2021-08-12T00:00:00"/>
    <x v="2"/>
    <s v="PROD117"/>
    <n v="2898.51"/>
    <n v="731.63"/>
    <n v="16"/>
    <s v="Small Business"/>
    <s v="Revolutionize Efficient Niches"/>
    <x v="1"/>
    <s v="Lopez-Torres"/>
    <n v="23.02"/>
    <n v="0.252415896443345"/>
  </r>
  <r>
    <s v="ORD1206"/>
    <d v="2024-10-08T00:00:00"/>
    <x v="0"/>
    <s v="PROD124"/>
    <n v="4376.88"/>
    <n v="882.99"/>
    <n v="3"/>
    <s v="Corporate"/>
    <s v="Incubate Real-Time E-Tailers"/>
    <x v="1"/>
    <s v="Johnson-Riley"/>
    <n v="86.67"/>
    <n v="0.20173959532817898"/>
  </r>
  <r>
    <s v="ORD1207"/>
    <d v="2021-10-17T00:00:00"/>
    <x v="1"/>
    <s v="PROD122"/>
    <n v="2070.38"/>
    <n v="608.09"/>
    <n v="13"/>
    <s v="Corporate"/>
    <s v="Empower Dot-Com Deliverables"/>
    <x v="1"/>
    <s v="Davis LLC"/>
    <n v="250.66"/>
    <n v="0.29370936736251319"/>
  </r>
  <r>
    <s v="ORD1208"/>
    <d v="2022-08-21T00:00:00"/>
    <x v="2"/>
    <s v="PROD153"/>
    <n v="3564.37"/>
    <n v="768.53"/>
    <n v="12"/>
    <s v="Small Business"/>
    <s v="Seize Plug-And-Play Web-Readiness"/>
    <x v="1"/>
    <s v="Joseph, Mayer and Carr"/>
    <n v="102.73"/>
    <n v="0.21561454057799836"/>
  </r>
  <r>
    <s v="ORD1209"/>
    <d v="2020-05-07T00:00:00"/>
    <x v="1"/>
    <s v="PROD184"/>
    <n v="1220.78"/>
    <n v="189.35"/>
    <n v="2"/>
    <s v="Small Business"/>
    <s v="Embrace 24/365 Functionalities"/>
    <x v="0"/>
    <s v="Smith LLC"/>
    <n v="204.04"/>
    <n v="0.15510575206015825"/>
  </r>
  <r>
    <s v="ORD1210"/>
    <d v="2020-05-31T00:00:00"/>
    <x v="3"/>
    <s v="PROD145"/>
    <n v="2970.14"/>
    <n v="532.91"/>
    <n v="6"/>
    <s v="Consumer"/>
    <s v="Innovate Strategic Systems"/>
    <x v="0"/>
    <s v="Mcfarland, Parker and Armstrong"/>
    <n v="70.239999999999995"/>
    <n v="0.17942251880382742"/>
  </r>
  <r>
    <s v="ORD1211"/>
    <d v="2021-04-11T00:00:00"/>
    <x v="2"/>
    <s v="PROD169"/>
    <n v="2423.65"/>
    <n v="258.38"/>
    <n v="9"/>
    <s v="Small Business"/>
    <s v="Unleash End-To-End Web Services"/>
    <x v="0"/>
    <s v="Jones Ltd"/>
    <n v="188.02"/>
    <n v="0.10660780228168258"/>
  </r>
  <r>
    <s v="ORD1212"/>
    <d v="2021-12-24T00:00:00"/>
    <x v="2"/>
    <s v="PROD192"/>
    <n v="449.08"/>
    <n v="451.79"/>
    <n v="15"/>
    <s v="Small Business"/>
    <s v="Drive Compelling E-Services"/>
    <x v="0"/>
    <s v="Morris-Villanueva"/>
    <n v="27.22"/>
    <n v="1.0060345595439566"/>
  </r>
  <r>
    <s v="ORD1213"/>
    <d v="2022-11-07T00:00:00"/>
    <x v="0"/>
    <s v="PROD106"/>
    <n v="1559.67"/>
    <n v="297.14"/>
    <n v="3"/>
    <s v="Corporate"/>
    <s v="Synergize End-To-End Supply-Chains"/>
    <x v="0"/>
    <s v="Higgins-Espinoza"/>
    <n v="279.8"/>
    <n v="0.19051466015246812"/>
  </r>
  <r>
    <s v="ORD1214"/>
    <d v="2021-02-02T00:00:00"/>
    <x v="0"/>
    <s v="PROD130"/>
    <n v="4868.18"/>
    <n v="744.96"/>
    <n v="10"/>
    <s v="Consumer"/>
    <s v="Synthesize Wireless Initiatives"/>
    <x v="1"/>
    <s v="Mosley Ltd"/>
    <n v="162.69999999999999"/>
    <n v="0.15302638768492538"/>
  </r>
  <r>
    <s v="ORD1215"/>
    <d v="2022-02-04T00:00:00"/>
    <x v="1"/>
    <s v="PROD191"/>
    <n v="2452.37"/>
    <n v="549.54"/>
    <n v="16"/>
    <s v="Small Business"/>
    <s v="Synergize Frictionless Synergies"/>
    <x v="2"/>
    <s v="Hester and Sons"/>
    <n v="289.06"/>
    <n v="0.22408527261383884"/>
  </r>
  <r>
    <s v="ORD1216"/>
    <d v="2020-05-27T00:00:00"/>
    <x v="3"/>
    <s v="PROD185"/>
    <n v="1622.75"/>
    <n v="762.28"/>
    <n v="18"/>
    <s v="Small Business"/>
    <s v="Generate End-To-End Functionalities"/>
    <x v="1"/>
    <s v="Sanchez-Stewart"/>
    <n v="196.15"/>
    <n v="0.46974580187952547"/>
  </r>
  <r>
    <s v="ORD1217"/>
    <d v="2020-08-20T00:00:00"/>
    <x v="2"/>
    <s v="PROD144"/>
    <n v="2092.48"/>
    <n v="381.28"/>
    <n v="10"/>
    <s v="Consumer"/>
    <s v="Expedite Synergistic Web-Readiness"/>
    <x v="1"/>
    <s v="Dunlap, Carpenter and Monroe"/>
    <n v="289.66000000000003"/>
    <n v="0.18221440587245755"/>
  </r>
  <r>
    <s v="ORD1218"/>
    <d v="2024-06-21T00:00:00"/>
    <x v="1"/>
    <s v="PROD175"/>
    <n v="2115.85"/>
    <n v="172.68"/>
    <n v="11"/>
    <s v="Corporate"/>
    <s v="Empower Bleeding-Edge Action-Items"/>
    <x v="2"/>
    <s v="Gray, Hayes and Banks"/>
    <n v="204.26"/>
    <n v="8.1612590684594852E-2"/>
  </r>
  <r>
    <s v="ORD1219"/>
    <d v="2021-04-03T00:00:00"/>
    <x v="3"/>
    <s v="PROD125"/>
    <n v="1150.76"/>
    <n v="158.57"/>
    <n v="18"/>
    <s v="Corporate"/>
    <s v="Leverage Cutting-Edge Vortals"/>
    <x v="1"/>
    <s v="Robinson, Garrett and Chavez"/>
    <n v="117.3"/>
    <n v="0.13779589141089366"/>
  </r>
  <r>
    <s v="ORD1220"/>
    <d v="2024-10-24T00:00:00"/>
    <x v="0"/>
    <s v="PROD147"/>
    <n v="1261.94"/>
    <n v="434.58"/>
    <n v="19"/>
    <s v="Consumer"/>
    <s v="Brand B2C Info-Mediaries"/>
    <x v="0"/>
    <s v="Preston Ltd"/>
    <n v="13.46"/>
    <n v="0.34437453444696259"/>
  </r>
  <r>
    <s v="ORD1221"/>
    <d v="2022-09-08T00:00:00"/>
    <x v="2"/>
    <s v="PROD196"/>
    <n v="2033.07"/>
    <n v="389.64"/>
    <n v="15"/>
    <s v="Corporate"/>
    <s v="Strategize E-Business Content"/>
    <x v="1"/>
    <s v="Patterson LLC"/>
    <n v="294.02"/>
    <n v="0.19165104989006773"/>
  </r>
  <r>
    <s v="ORD1222"/>
    <d v="2022-03-05T00:00:00"/>
    <x v="3"/>
    <s v="PROD180"/>
    <n v="2323.2800000000002"/>
    <n v="32.94"/>
    <n v="12"/>
    <s v="Consumer"/>
    <s v="Iterate Extensible Roi"/>
    <x v="0"/>
    <s v="Hill-Kelly"/>
    <n v="180"/>
    <n v="1.4178230777177092E-2"/>
  </r>
  <r>
    <s v="ORD1223"/>
    <d v="2023-05-03T00:00:00"/>
    <x v="3"/>
    <s v="PROD128"/>
    <n v="1619.51"/>
    <n v="907.67"/>
    <n v="12"/>
    <s v="Small Business"/>
    <s v="Brand Distributed Info-Mediaries"/>
    <x v="2"/>
    <s v="Garcia Ltd"/>
    <n v="114.48"/>
    <n v="0.5604596452013263"/>
  </r>
  <r>
    <s v="ORD1224"/>
    <d v="2024-09-13T00:00:00"/>
    <x v="0"/>
    <s v="PROD106"/>
    <n v="1843.79"/>
    <n v="677.42"/>
    <n v="12"/>
    <s v="Consumer"/>
    <s v="Synergize End-To-End Supply-Chains"/>
    <x v="0"/>
    <s v="Higgins-Espinoza"/>
    <n v="279.8"/>
    <n v="0.36740626644032126"/>
  </r>
  <r>
    <s v="ORD1225"/>
    <d v="2022-08-18T00:00:00"/>
    <x v="1"/>
    <s v="PROD104"/>
    <n v="4626.32"/>
    <n v="795.83"/>
    <n v="1"/>
    <s v="Consumer"/>
    <s v="Implement Clicks-And-Mortar Partnerships"/>
    <x v="1"/>
    <s v="Smith Inc"/>
    <n v="195.53"/>
    <n v="0.17202225526984732"/>
  </r>
  <r>
    <s v="ORD1226"/>
    <d v="2022-03-11T00:00:00"/>
    <x v="2"/>
    <s v="PROD172"/>
    <n v="4811.95"/>
    <n v="621.91999999999996"/>
    <n v="4"/>
    <s v="Small Business"/>
    <s v="E-Enable Virtual Methodologies"/>
    <x v="0"/>
    <s v="Floyd-Love"/>
    <n v="283.64999999999998"/>
    <n v="0.12924490071592598"/>
  </r>
  <r>
    <s v="ORD1227"/>
    <d v="2021-06-25T00:00:00"/>
    <x v="2"/>
    <s v="PROD130"/>
    <n v="3107"/>
    <n v="32.57"/>
    <n v="2"/>
    <s v="Corporate"/>
    <s v="Synthesize Wireless Initiatives"/>
    <x v="1"/>
    <s v="Mosley Ltd"/>
    <n v="162.69999999999999"/>
    <n v="1.0482780817508851E-2"/>
  </r>
  <r>
    <s v="ORD1228"/>
    <d v="2024-03-05T00:00:00"/>
    <x v="2"/>
    <s v="PROD122"/>
    <n v="2461.7199999999998"/>
    <n v="996.64"/>
    <n v="14"/>
    <s v="Consumer"/>
    <s v="Empower Dot-Com Deliverables"/>
    <x v="1"/>
    <s v="Davis LLC"/>
    <n v="250.66"/>
    <n v="0.40485514193328243"/>
  </r>
  <r>
    <s v="ORD1229"/>
    <d v="2021-10-05T00:00:00"/>
    <x v="2"/>
    <s v="PROD135"/>
    <n v="4353.18"/>
    <n v="871"/>
    <n v="15"/>
    <s v="Corporate"/>
    <s v="Optimize 24/365 E-Services"/>
    <x v="0"/>
    <s v="Chase Ltd"/>
    <n v="100.35"/>
    <n v="0.20008361703398433"/>
  </r>
  <r>
    <s v="ORD1230"/>
    <d v="2024-10-18T00:00:00"/>
    <x v="2"/>
    <s v="PROD148"/>
    <n v="154.53"/>
    <n v="136.46"/>
    <n v="19"/>
    <s v="Consumer"/>
    <s v="Empower Seamless Roi"/>
    <x v="0"/>
    <s v="Proctor Group"/>
    <n v="266.64999999999998"/>
    <n v="0.88306477706594189"/>
  </r>
  <r>
    <s v="ORD1231"/>
    <d v="2021-12-08T00:00:00"/>
    <x v="3"/>
    <s v="PROD171"/>
    <n v="2892.85"/>
    <n v="667.51"/>
    <n v="18"/>
    <s v="Small Business"/>
    <s v="Scale 24/365 Networks"/>
    <x v="2"/>
    <s v="Kim-Hamilton"/>
    <n v="157.55000000000001"/>
    <n v="0.2307447672710303"/>
  </r>
  <r>
    <s v="ORD1232"/>
    <d v="2024-07-12T00:00:00"/>
    <x v="3"/>
    <s v="PROD197"/>
    <n v="4886.25"/>
    <n v="502.4"/>
    <n v="17"/>
    <s v="Small Business"/>
    <s v="Leverage Rich Portals"/>
    <x v="0"/>
    <s v="Wilson PLC"/>
    <n v="46.35"/>
    <n v="0.10281913532872856"/>
  </r>
  <r>
    <s v="ORD1233"/>
    <d v="2023-03-13T00:00:00"/>
    <x v="1"/>
    <s v="PROD167"/>
    <n v="2690.62"/>
    <n v="804.44"/>
    <n v="6"/>
    <s v="Corporate"/>
    <s v="Grow Synergistic Infrastructures"/>
    <x v="2"/>
    <s v="Adams-Carter"/>
    <n v="113.17"/>
    <n v="0.29897941738335404"/>
  </r>
  <r>
    <s v="ORD1234"/>
    <d v="2021-12-13T00:00:00"/>
    <x v="1"/>
    <s v="PROD131"/>
    <n v="3919.28"/>
    <n v="740.28"/>
    <n v="13"/>
    <s v="Small Business"/>
    <s v="Scale Bleeding-Edge Schemas"/>
    <x v="1"/>
    <s v="Frazier-Schneider"/>
    <n v="54.8"/>
    <n v="0.18888163132003835"/>
  </r>
  <r>
    <s v="ORD1235"/>
    <d v="2023-11-10T00:00:00"/>
    <x v="2"/>
    <s v="PROD129"/>
    <n v="498.69"/>
    <n v="893.74"/>
    <n v="12"/>
    <s v="Consumer"/>
    <s v="Scale Vertical Networks"/>
    <x v="2"/>
    <s v="Lam, Wood and Jacobs"/>
    <n v="133.24"/>
    <n v="1.792175499809501"/>
  </r>
  <r>
    <s v="ORD1236"/>
    <d v="2023-01-13T00:00:00"/>
    <x v="3"/>
    <s v="PROD149"/>
    <n v="3528.08"/>
    <n v="75.16"/>
    <n v="18"/>
    <s v="Corporate"/>
    <s v="Envisioneer B2C Web-Readiness"/>
    <x v="1"/>
    <s v="Kemp Group"/>
    <n v="97.23"/>
    <n v="2.1303371805627989E-2"/>
  </r>
  <r>
    <s v="ORD1237"/>
    <d v="2023-12-28T00:00:00"/>
    <x v="3"/>
    <s v="PROD186"/>
    <n v="712.38"/>
    <n v="707.21"/>
    <n v="10"/>
    <s v="Corporate"/>
    <s v="Reinvent Mission-Critical Markets"/>
    <x v="2"/>
    <s v="Gilbert-Sanders"/>
    <n v="154.21"/>
    <n v="0.99274263735646706"/>
  </r>
  <r>
    <s v="ORD1238"/>
    <d v="2021-11-10T00:00:00"/>
    <x v="0"/>
    <s v="PROD195"/>
    <n v="2721.61"/>
    <n v="946.89"/>
    <n v="5"/>
    <s v="Consumer"/>
    <s v="Reinvent Out-Of-The-Box Models"/>
    <x v="0"/>
    <s v="Wagner-Curtis"/>
    <n v="172.34"/>
    <n v="0.34791538831794416"/>
  </r>
  <r>
    <s v="ORD1239"/>
    <d v="2022-05-09T00:00:00"/>
    <x v="0"/>
    <s v="PROD195"/>
    <n v="4466.42"/>
    <n v="742.35"/>
    <n v="14"/>
    <s v="Consumer"/>
    <s v="Reinvent Out-Of-The-Box Models"/>
    <x v="0"/>
    <s v="Wagner-Curtis"/>
    <n v="172.34"/>
    <n v="0.166206939786227"/>
  </r>
  <r>
    <s v="ORD1240"/>
    <d v="2022-11-10T00:00:00"/>
    <x v="3"/>
    <s v="PROD106"/>
    <n v="1802.76"/>
    <n v="36.99"/>
    <n v="18"/>
    <s v="Consumer"/>
    <s v="Synergize End-To-End Supply-Chains"/>
    <x v="0"/>
    <s v="Higgins-Espinoza"/>
    <n v="279.8"/>
    <n v="2.0518538241363245E-2"/>
  </r>
  <r>
    <s v="ORD1241"/>
    <d v="2021-12-14T00:00:00"/>
    <x v="0"/>
    <s v="PROD169"/>
    <n v="4436.8599999999997"/>
    <n v="40.159999999999997"/>
    <n v="11"/>
    <s v="Small Business"/>
    <s v="Unleash End-To-End Web Services"/>
    <x v="0"/>
    <s v="Jones Ltd"/>
    <n v="188.02"/>
    <n v="9.0514462930991729E-3"/>
  </r>
  <r>
    <s v="ORD1242"/>
    <d v="2021-01-22T00:00:00"/>
    <x v="2"/>
    <s v="PROD184"/>
    <n v="758.3"/>
    <n v="75.239999999999995"/>
    <n v="3"/>
    <s v="Consumer"/>
    <s v="Embrace 24/365 Functionalities"/>
    <x v="0"/>
    <s v="Smith LLC"/>
    <n v="204.04"/>
    <n v="9.9221943821706446E-2"/>
  </r>
  <r>
    <s v="ORD1243"/>
    <d v="2024-01-29T00:00:00"/>
    <x v="1"/>
    <s v="PROD123"/>
    <n v="857.7"/>
    <n v="587.98"/>
    <n v="19"/>
    <s v="Corporate"/>
    <s v="Redefine Real-Time Convergence"/>
    <x v="1"/>
    <s v="Hayes, Peters and Douglas"/>
    <n v="78.260000000000005"/>
    <n v="0.68553107147021097"/>
  </r>
  <r>
    <s v="ORD1244"/>
    <d v="2020-03-22T00:00:00"/>
    <x v="0"/>
    <s v="PROD123"/>
    <n v="3930.24"/>
    <n v="403.72"/>
    <n v="13"/>
    <s v="Consumer"/>
    <s v="Redefine Real-Time Convergence"/>
    <x v="1"/>
    <s v="Hayes, Peters and Douglas"/>
    <n v="78.260000000000005"/>
    <n v="0.1027214623025566"/>
  </r>
  <r>
    <s v="ORD1245"/>
    <d v="2020-06-23T00:00:00"/>
    <x v="1"/>
    <s v="PROD113"/>
    <n v="3396.64"/>
    <n v="384.71"/>
    <n v="10"/>
    <s v="Small Business"/>
    <s v="Envisioneer B2B Users"/>
    <x v="0"/>
    <s v="Rogers Group"/>
    <n v="239.16"/>
    <n v="0.11326192943614866"/>
  </r>
  <r>
    <s v="ORD1246"/>
    <d v="2022-10-21T00:00:00"/>
    <x v="2"/>
    <s v="PROD173"/>
    <n v="3942.1"/>
    <n v="215.08"/>
    <n v="10"/>
    <s v="Corporate"/>
    <s v="Whiteboard Sticky Content"/>
    <x v="2"/>
    <s v="Wolfe Group"/>
    <n v="82.16"/>
    <n v="5.4559752416224856E-2"/>
  </r>
  <r>
    <s v="ORD1247"/>
    <d v="2022-12-01T00:00:00"/>
    <x v="2"/>
    <s v="PROD181"/>
    <n v="3580.25"/>
    <n v="780.77"/>
    <n v="12"/>
    <s v="Corporate"/>
    <s v="Extend Bricks-And-Clicks Niches"/>
    <x v="0"/>
    <s v="Hernandez-Rios"/>
    <n v="65.989999999999995"/>
    <n v="0.21807694993366383"/>
  </r>
  <r>
    <s v="ORD1248"/>
    <d v="2021-12-05T00:00:00"/>
    <x v="1"/>
    <s v="PROD118"/>
    <n v="3785.26"/>
    <n v="795.61"/>
    <n v="4"/>
    <s v="Consumer"/>
    <s v="Engineer Real-Time Architectures"/>
    <x v="2"/>
    <s v="James and Sons"/>
    <n v="127.23"/>
    <n v="0.21018635443800426"/>
  </r>
  <r>
    <s v="ORD1249"/>
    <d v="2023-07-09T00:00:00"/>
    <x v="2"/>
    <s v="PROD114"/>
    <n v="4909.07"/>
    <n v="330.68"/>
    <n v="3"/>
    <s v="Corporate"/>
    <s v="Orchestrate User-Centric Platforms"/>
    <x v="2"/>
    <s v="Wells Ltd"/>
    <n v="201.87"/>
    <n v="6.7361027648821473E-2"/>
  </r>
  <r>
    <s v="ORD1250"/>
    <d v="2023-05-10T00:00:00"/>
    <x v="3"/>
    <s v="PROD177"/>
    <n v="4380.54"/>
    <n v="182.24"/>
    <n v="12"/>
    <s v="Corporate"/>
    <s v="Deploy Granular Channels"/>
    <x v="2"/>
    <s v="Barnes Ltd"/>
    <n v="288.99"/>
    <n v="4.1602176900564773E-2"/>
  </r>
  <r>
    <s v="ORD1251"/>
    <d v="2020-04-03T00:00:00"/>
    <x v="2"/>
    <s v="PROD149"/>
    <n v="3780.52"/>
    <n v="351.24"/>
    <n v="15"/>
    <s v="Consumer"/>
    <s v="Envisioneer B2C Web-Readiness"/>
    <x v="1"/>
    <s v="Kemp Group"/>
    <n v="97.23"/>
    <n v="9.2907853946018013E-2"/>
  </r>
  <r>
    <s v="ORD1252"/>
    <d v="2023-08-24T00:00:00"/>
    <x v="1"/>
    <s v="PROD158"/>
    <n v="2845.99"/>
    <n v="306.61"/>
    <n v="6"/>
    <s v="Consumer"/>
    <s v="Brand Web-Enabled Solutions"/>
    <x v="1"/>
    <s v="Russell Group"/>
    <n v="51.67"/>
    <n v="0.10773403982445477"/>
  </r>
  <r>
    <s v="ORD1253"/>
    <d v="2020-10-25T00:00:00"/>
    <x v="2"/>
    <s v="PROD174"/>
    <n v="1181.06"/>
    <n v="719.79"/>
    <n v="13"/>
    <s v="Corporate"/>
    <s v="Disintermediate Scalable Bandwidth"/>
    <x v="1"/>
    <s v="Levy PLC"/>
    <n v="19.86"/>
    <n v="0.60944405872690632"/>
  </r>
  <r>
    <s v="ORD1254"/>
    <d v="2022-04-30T00:00:00"/>
    <x v="0"/>
    <s v="PROD102"/>
    <n v="4492.96"/>
    <n v="57.07"/>
    <n v="14"/>
    <s v="Small Business"/>
    <s v="Optimize Transparent E-Markets"/>
    <x v="0"/>
    <s v="Lee, Tyler and Blevins"/>
    <n v="111.22"/>
    <n v="1.2702093942523415E-2"/>
  </r>
  <r>
    <s v="ORD1255"/>
    <d v="2021-03-31T00:00:00"/>
    <x v="1"/>
    <s v="PROD125"/>
    <n v="1742.91"/>
    <n v="113.5"/>
    <n v="15"/>
    <s v="Consumer"/>
    <s v="Leverage Cutting-Edge Vortals"/>
    <x v="1"/>
    <s v="Robinson, Garrett and Chavez"/>
    <n v="117.3"/>
    <n v="6.5120975839257328E-2"/>
  </r>
  <r>
    <s v="ORD1256"/>
    <d v="2021-12-09T00:00:00"/>
    <x v="2"/>
    <s v="PROD121"/>
    <n v="4625.66"/>
    <n v="730.91"/>
    <n v="5"/>
    <s v="Small Business"/>
    <s v="Whiteboard B2B Content"/>
    <x v="0"/>
    <s v="Romero PLC"/>
    <n v="93.81"/>
    <n v="0.15801204584859241"/>
  </r>
  <r>
    <s v="ORD1257"/>
    <d v="2021-02-10T00:00:00"/>
    <x v="1"/>
    <s v="PROD189"/>
    <n v="208.07"/>
    <n v="118.2"/>
    <n v="13"/>
    <s v="Corporate"/>
    <s v="E-Enable Next-Generation Experiences"/>
    <x v="2"/>
    <s v="Sanchez-Quinn"/>
    <n v="266.93"/>
    <n v="0.56807805065602923"/>
  </r>
  <r>
    <s v="ORD1258"/>
    <d v="2021-07-10T00:00:00"/>
    <x v="1"/>
    <s v="PROD169"/>
    <n v="2336.81"/>
    <n v="269.72000000000003"/>
    <n v="13"/>
    <s v="Small Business"/>
    <s v="Unleash End-To-End Web Services"/>
    <x v="0"/>
    <s v="Jones Ltd"/>
    <n v="188.02"/>
    <n v="0.11542230647763406"/>
  </r>
  <r>
    <s v="ORD1259"/>
    <d v="2021-11-24T00:00:00"/>
    <x v="0"/>
    <s v="PROD111"/>
    <n v="1034.72"/>
    <n v="707.18"/>
    <n v="16"/>
    <s v="Small Business"/>
    <s v="Harness Revolutionary Interfaces"/>
    <x v="2"/>
    <s v="Davis, Short and Nguyen"/>
    <n v="26.49"/>
    <n v="0.68345059533013752"/>
  </r>
  <r>
    <s v="ORD1260"/>
    <d v="2020-08-27T00:00:00"/>
    <x v="2"/>
    <s v="PROD121"/>
    <n v="4448.3500000000004"/>
    <n v="293.64"/>
    <n v="9"/>
    <s v="Consumer"/>
    <s v="Whiteboard B2B Content"/>
    <x v="0"/>
    <s v="Romero PLC"/>
    <n v="93.81"/>
    <n v="6.6010992840041804E-2"/>
  </r>
  <r>
    <s v="ORD1261"/>
    <d v="2024-01-10T00:00:00"/>
    <x v="0"/>
    <s v="PROD138"/>
    <n v="4278.83"/>
    <n v="132.79"/>
    <n v="1"/>
    <s v="Corporate"/>
    <s v="Deliver Viral Eyeballs"/>
    <x v="0"/>
    <s v="Estes, Chan and Thomas"/>
    <n v="16.89"/>
    <n v="3.1034184578494588E-2"/>
  </r>
  <r>
    <s v="ORD1262"/>
    <d v="2022-11-09T00:00:00"/>
    <x v="3"/>
    <s v="PROD198"/>
    <n v="2206.38"/>
    <n v="726.65"/>
    <n v="11"/>
    <s v="Consumer"/>
    <s v="Visualize Dynamic E-Commerce"/>
    <x v="2"/>
    <s v="Jones LLC"/>
    <n v="92.61"/>
    <n v="0.3293403674797632"/>
  </r>
  <r>
    <s v="ORD1263"/>
    <d v="2021-02-13T00:00:00"/>
    <x v="1"/>
    <s v="PROD196"/>
    <n v="1857.53"/>
    <n v="709.24"/>
    <n v="11"/>
    <s v="Consumer"/>
    <s v="Strategize E-Business Content"/>
    <x v="1"/>
    <s v="Patterson LLC"/>
    <n v="294.02"/>
    <n v="0.38181886699003514"/>
  </r>
  <r>
    <s v="ORD1264"/>
    <d v="2022-09-29T00:00:00"/>
    <x v="0"/>
    <s v="PROD160"/>
    <n v="374.76"/>
    <n v="449.9"/>
    <n v="12"/>
    <s v="Small Business"/>
    <s v="Deliver Extensible Partnerships"/>
    <x v="2"/>
    <s v="Martin, Paul and Salazar"/>
    <n v="43.76"/>
    <n v="1.2005016543921443"/>
  </r>
  <r>
    <s v="ORD1265"/>
    <d v="2024-09-02T00:00:00"/>
    <x v="2"/>
    <s v="PROD197"/>
    <n v="2907.82"/>
    <n v="97.3"/>
    <n v="18"/>
    <s v="Small Business"/>
    <s v="Leverage Rich Portals"/>
    <x v="0"/>
    <s v="Wilson PLC"/>
    <n v="46.35"/>
    <n v="3.3461493489968429E-2"/>
  </r>
  <r>
    <s v="ORD1266"/>
    <d v="2022-11-26T00:00:00"/>
    <x v="1"/>
    <s v="PROD104"/>
    <n v="3030.5"/>
    <n v="819.67"/>
    <n v="5"/>
    <s v="Small Business"/>
    <s v="Implement Clicks-And-Mortar Partnerships"/>
    <x v="1"/>
    <s v="Smith Inc"/>
    <n v="195.53"/>
    <n v="0.27047351922125062"/>
  </r>
  <r>
    <s v="ORD1267"/>
    <d v="2022-12-20T00:00:00"/>
    <x v="2"/>
    <s v="PROD108"/>
    <n v="2975.88"/>
    <n v="104.55"/>
    <n v="13"/>
    <s v="Corporate"/>
    <s v="Synergize World-Class Networks"/>
    <x v="1"/>
    <s v="Gomez-Lawrence"/>
    <n v="72.37"/>
    <n v="3.5132465018750753E-2"/>
  </r>
  <r>
    <s v="ORD1268"/>
    <d v="2022-02-15T00:00:00"/>
    <x v="1"/>
    <s v="PROD121"/>
    <n v="975.96"/>
    <n v="58.55"/>
    <n v="13"/>
    <s v="Corporate"/>
    <s v="Whiteboard B2B Content"/>
    <x v="0"/>
    <s v="Romero PLC"/>
    <n v="93.81"/>
    <n v="5.9992212795606376E-2"/>
  </r>
  <r>
    <s v="ORD1269"/>
    <d v="2023-05-28T00:00:00"/>
    <x v="3"/>
    <s v="PROD146"/>
    <n v="4829.88"/>
    <n v="323.13"/>
    <n v="12"/>
    <s v="Corporate"/>
    <s v="Engage Rich Web-Readiness"/>
    <x v="0"/>
    <s v="Turner Inc"/>
    <n v="81.069999999999993"/>
    <n v="6.6902283286541284E-2"/>
  </r>
  <r>
    <s v="ORD1270"/>
    <d v="2023-06-19T00:00:00"/>
    <x v="2"/>
    <s v="PROD116"/>
    <n v="2381.59"/>
    <n v="344.28"/>
    <n v="17"/>
    <s v="Small Business"/>
    <s v="Synergize Cross-Platform Vortals"/>
    <x v="2"/>
    <s v="Edwards Group"/>
    <n v="87.18"/>
    <n v="0.14455888713002657"/>
  </r>
  <r>
    <s v="ORD1271"/>
    <d v="2021-04-10T00:00:00"/>
    <x v="2"/>
    <s v="PROD160"/>
    <n v="2946.15"/>
    <n v="579.08000000000004"/>
    <n v="9"/>
    <s v="Corporate"/>
    <s v="Deliver Extensible Partnerships"/>
    <x v="2"/>
    <s v="Martin, Paul and Salazar"/>
    <n v="43.76"/>
    <n v="0.1965548257895898"/>
  </r>
  <r>
    <s v="ORD1272"/>
    <d v="2021-04-13T00:00:00"/>
    <x v="0"/>
    <s v="PROD192"/>
    <n v="2381.96"/>
    <n v="108.9"/>
    <n v="3"/>
    <s v="Consumer"/>
    <s v="Drive Compelling E-Services"/>
    <x v="0"/>
    <s v="Morris-Villanueva"/>
    <n v="27.22"/>
    <n v="4.5718651866530083E-2"/>
  </r>
  <r>
    <s v="ORD1273"/>
    <d v="2021-01-06T00:00:00"/>
    <x v="0"/>
    <s v="PROD132"/>
    <n v="3786.62"/>
    <n v="929.37"/>
    <n v="5"/>
    <s v="Corporate"/>
    <s v="Synergize End-To-End Roi"/>
    <x v="1"/>
    <s v="Evans-Smith"/>
    <n v="159.85"/>
    <n v="0.24543524303996705"/>
  </r>
  <r>
    <s v="ORD1274"/>
    <d v="2022-06-29T00:00:00"/>
    <x v="0"/>
    <s v="PROD123"/>
    <n v="2080.19"/>
    <n v="611.33000000000004"/>
    <n v="20"/>
    <s v="Consumer"/>
    <s v="Redefine Real-Time Convergence"/>
    <x v="1"/>
    <s v="Hayes, Peters and Douglas"/>
    <n v="78.260000000000005"/>
    <n v="0.29388180887322796"/>
  </r>
  <r>
    <s v="ORD1275"/>
    <d v="2024-06-04T00:00:00"/>
    <x v="1"/>
    <s v="PROD111"/>
    <n v="1729.18"/>
    <n v="848.36"/>
    <n v="1"/>
    <s v="Corporate"/>
    <s v="Harness Revolutionary Interfaces"/>
    <x v="2"/>
    <s v="Davis, Short and Nguyen"/>
    <n v="26.49"/>
    <n v="0.49061404827721811"/>
  </r>
  <r>
    <s v="ORD1276"/>
    <d v="2024-05-26T00:00:00"/>
    <x v="0"/>
    <s v="PROD174"/>
    <n v="1770.48"/>
    <n v="348.13"/>
    <n v="19"/>
    <s v="Corporate"/>
    <s v="Disintermediate Scalable Bandwidth"/>
    <x v="1"/>
    <s v="Levy PLC"/>
    <n v="19.86"/>
    <n v="0.19663029235009716"/>
  </r>
  <r>
    <s v="ORD1277"/>
    <d v="2022-07-10T00:00:00"/>
    <x v="0"/>
    <s v="PROD149"/>
    <n v="959.66"/>
    <n v="310.31"/>
    <n v="11"/>
    <s v="Corporate"/>
    <s v="Envisioneer B2C Web-Readiness"/>
    <x v="1"/>
    <s v="Kemp Group"/>
    <n v="97.23"/>
    <n v="0.32335410457870495"/>
  </r>
  <r>
    <s v="ORD1278"/>
    <d v="2022-03-12T00:00:00"/>
    <x v="1"/>
    <s v="PROD160"/>
    <n v="4244.46"/>
    <n v="886.05"/>
    <n v="16"/>
    <s v="Corporate"/>
    <s v="Deliver Extensible Partnerships"/>
    <x v="2"/>
    <s v="Martin, Paul and Salazar"/>
    <n v="43.76"/>
    <n v="0.20875447053335405"/>
  </r>
  <r>
    <s v="ORD1279"/>
    <d v="2021-10-07T00:00:00"/>
    <x v="1"/>
    <s v="PROD144"/>
    <n v="1611.46"/>
    <n v="647.09"/>
    <n v="10"/>
    <s v="Consumer"/>
    <s v="Expedite Synergistic Web-Readiness"/>
    <x v="1"/>
    <s v="Dunlap, Carpenter and Monroe"/>
    <n v="289.66000000000003"/>
    <n v="0.40155511151378254"/>
  </r>
  <r>
    <s v="ORD1280"/>
    <d v="2020-01-17T00:00:00"/>
    <x v="2"/>
    <s v="PROD192"/>
    <n v="2897.92"/>
    <n v="759.52"/>
    <n v="11"/>
    <s v="Small Business"/>
    <s v="Drive Compelling E-Services"/>
    <x v="0"/>
    <s v="Morris-Villanueva"/>
    <n v="27.22"/>
    <n v="0.26209143109540634"/>
  </r>
  <r>
    <s v="ORD1281"/>
    <d v="2021-07-20T00:00:00"/>
    <x v="2"/>
    <s v="PROD180"/>
    <n v="3869.56"/>
    <n v="590.41"/>
    <n v="15"/>
    <s v="Small Business"/>
    <s v="Iterate Extensible Roi"/>
    <x v="0"/>
    <s v="Hill-Kelly"/>
    <n v="180"/>
    <n v="0.15257807089178096"/>
  </r>
  <r>
    <s v="ORD1282"/>
    <d v="2024-11-03T00:00:00"/>
    <x v="1"/>
    <s v="PROD165"/>
    <n v="2597.4499999999998"/>
    <n v="132.04"/>
    <n v="6"/>
    <s v="Consumer"/>
    <s v="Benchmark Cross-Platform Markets"/>
    <x v="2"/>
    <s v="Murphy, Mathews and Wilson"/>
    <n v="78.88"/>
    <n v="5.0834472270881059E-2"/>
  </r>
  <r>
    <s v="ORD1283"/>
    <d v="2021-11-06T00:00:00"/>
    <x v="1"/>
    <s v="PROD152"/>
    <n v="3104.07"/>
    <n v="288.82"/>
    <n v="19"/>
    <s v="Small Business"/>
    <s v="Reinvent Frictionless Roi"/>
    <x v="2"/>
    <s v="Bridges, Castillo and Rodriguez"/>
    <n v="253.89"/>
    <n v="9.3045582090610063E-2"/>
  </r>
  <r>
    <s v="ORD1284"/>
    <d v="2020-04-05T00:00:00"/>
    <x v="3"/>
    <s v="PROD135"/>
    <n v="3568.66"/>
    <n v="51.16"/>
    <n v="20"/>
    <s v="Small Business"/>
    <s v="Optimize 24/365 E-Services"/>
    <x v="0"/>
    <s v="Chase Ltd"/>
    <n v="100.35"/>
    <n v="1.4335913199912571E-2"/>
  </r>
  <r>
    <s v="ORD1285"/>
    <d v="2022-08-07T00:00:00"/>
    <x v="3"/>
    <s v="PROD140"/>
    <n v="3320.43"/>
    <n v="501.14"/>
    <n v="16"/>
    <s v="Consumer"/>
    <s v="Extend Bricks-And-Clicks Architectures"/>
    <x v="2"/>
    <s v="Fuller PLC"/>
    <n v="202.99"/>
    <n v="0.15092623545745582"/>
  </r>
  <r>
    <s v="ORD1286"/>
    <d v="2020-03-12T00:00:00"/>
    <x v="0"/>
    <s v="PROD152"/>
    <n v="1507.41"/>
    <n v="364.91"/>
    <n v="2"/>
    <s v="Consumer"/>
    <s v="Reinvent Frictionless Roi"/>
    <x v="2"/>
    <s v="Bridges, Castillo and Rodriguez"/>
    <n v="253.89"/>
    <n v="0.24207747062842891"/>
  </r>
  <r>
    <s v="ORD1287"/>
    <d v="2021-05-21T00:00:00"/>
    <x v="2"/>
    <s v="PROD134"/>
    <n v="2279.36"/>
    <n v="988.67"/>
    <n v="4"/>
    <s v="Small Business"/>
    <s v="Utilize Ubiquitous Synergies"/>
    <x v="1"/>
    <s v="Kramer, Huang and Shaw"/>
    <n v="295.89999999999998"/>
    <n v="0.43374894707286249"/>
  </r>
  <r>
    <s v="ORD1288"/>
    <d v="2020-09-28T00:00:00"/>
    <x v="2"/>
    <s v="PROD134"/>
    <n v="3522.69"/>
    <n v="849.8"/>
    <n v="19"/>
    <s v="Consumer"/>
    <s v="Utilize Ubiquitous Synergies"/>
    <x v="1"/>
    <s v="Kramer, Huang and Shaw"/>
    <n v="295.89999999999998"/>
    <n v="0.24123610082067964"/>
  </r>
  <r>
    <s v="ORD1289"/>
    <d v="2023-01-19T00:00:00"/>
    <x v="0"/>
    <s v="PROD168"/>
    <n v="1447.06"/>
    <n v="44.63"/>
    <n v="8"/>
    <s v="Corporate"/>
    <s v="Facilitate End-To-End Experiences"/>
    <x v="0"/>
    <s v="Pierce-Goodwin"/>
    <n v="260.52999999999997"/>
    <n v="3.0841844844028583E-2"/>
  </r>
  <r>
    <s v="ORD1290"/>
    <d v="2024-07-10T00:00:00"/>
    <x v="2"/>
    <s v="PROD105"/>
    <n v="1151.1600000000001"/>
    <n v="897.58"/>
    <n v="1"/>
    <s v="Consumer"/>
    <s v="Transform Holistic Functionalities"/>
    <x v="0"/>
    <s v="Ruiz Ltd"/>
    <n v="179.27"/>
    <n v="0.77971784982105008"/>
  </r>
  <r>
    <s v="ORD1291"/>
    <d v="2023-01-29T00:00:00"/>
    <x v="0"/>
    <s v="PROD141"/>
    <n v="1137.24"/>
    <n v="539.82000000000005"/>
    <n v="4"/>
    <s v="Consumer"/>
    <s v="Re-Contextualize Integrated Info-Mediaries"/>
    <x v="1"/>
    <s v="Jones-Schroeder"/>
    <n v="26.02"/>
    <n v="0.47467553023108583"/>
  </r>
  <r>
    <s v="ORD1292"/>
    <d v="2024-06-22T00:00:00"/>
    <x v="1"/>
    <s v="PROD190"/>
    <n v="4915.12"/>
    <n v="561.09"/>
    <n v="3"/>
    <s v="Small Business"/>
    <s v="Repurpose End-To-End Networks"/>
    <x v="0"/>
    <s v="Torres-Rush"/>
    <n v="97.02"/>
    <n v="0.11415591074073472"/>
  </r>
  <r>
    <s v="ORD1293"/>
    <d v="2024-10-29T00:00:00"/>
    <x v="3"/>
    <s v="PROD189"/>
    <n v="4443.51"/>
    <n v="674.62"/>
    <n v="6"/>
    <s v="Corporate"/>
    <s v="E-Enable Next-Generation Experiences"/>
    <x v="2"/>
    <s v="Sanchez-Quinn"/>
    <n v="266.93"/>
    <n v="0.15182142045365038"/>
  </r>
  <r>
    <s v="ORD1294"/>
    <d v="2021-08-22T00:00:00"/>
    <x v="3"/>
    <s v="PROD152"/>
    <n v="4448.24"/>
    <n v="153.33000000000001"/>
    <n v="12"/>
    <s v="Small Business"/>
    <s v="Reinvent Frictionless Roi"/>
    <x v="2"/>
    <s v="Bridges, Castillo and Rodriguez"/>
    <n v="253.89"/>
    <n v="3.4469812779885985E-2"/>
  </r>
  <r>
    <s v="ORD1295"/>
    <d v="2020-04-19T00:00:00"/>
    <x v="2"/>
    <s v="PROD140"/>
    <n v="3052.1"/>
    <n v="484.7"/>
    <n v="16"/>
    <s v="Consumer"/>
    <s v="Extend Bricks-And-Clicks Architectures"/>
    <x v="2"/>
    <s v="Fuller PLC"/>
    <n v="202.99"/>
    <n v="0.15880868909930868"/>
  </r>
  <r>
    <s v="ORD1296"/>
    <d v="2020-06-07T00:00:00"/>
    <x v="3"/>
    <s v="PROD100"/>
    <n v="4335.13"/>
    <n v="865.32"/>
    <n v="20"/>
    <s v="Small Business"/>
    <s v="Synthesize Scalable Portals"/>
    <x v="2"/>
    <s v="Singh, Villa and Flynn"/>
    <n v="298.57"/>
    <n v="0.19960647085554528"/>
  </r>
  <r>
    <s v="ORD1297"/>
    <d v="2024-08-16T00:00:00"/>
    <x v="2"/>
    <s v="PROD197"/>
    <n v="1206.3800000000001"/>
    <n v="488.48"/>
    <n v="1"/>
    <s v="Corporate"/>
    <s v="Leverage Rich Portals"/>
    <x v="0"/>
    <s v="Wilson PLC"/>
    <n v="46.35"/>
    <n v="0.40491387456688605"/>
  </r>
  <r>
    <s v="ORD1298"/>
    <d v="2022-02-07T00:00:00"/>
    <x v="0"/>
    <s v="PROD107"/>
    <n v="1014.16"/>
    <n v="911.24"/>
    <n v="18"/>
    <s v="Consumer"/>
    <s v="Utilize Back-End Models"/>
    <x v="2"/>
    <s v="Lewis-Holden"/>
    <n v="241.53"/>
    <n v="0.89851699929005291"/>
  </r>
  <r>
    <s v="ORD1299"/>
    <d v="2021-09-02T00:00:00"/>
    <x v="1"/>
    <s v="PROD163"/>
    <n v="1212.1099999999999"/>
    <n v="107.62"/>
    <n v="16"/>
    <s v="Corporate"/>
    <s v="Grow Back-End Supply-Chains"/>
    <x v="1"/>
    <s v="Green LLC"/>
    <n v="140.08000000000001"/>
    <n v="8.8787321282721876E-2"/>
  </r>
  <r>
    <s v="ORD1300"/>
    <d v="2023-02-03T00:00:00"/>
    <x v="0"/>
    <s v="PROD118"/>
    <n v="4291.43"/>
    <n v="921.26"/>
    <n v="14"/>
    <s v="Corporate"/>
    <s v="Engineer Real-Time Architectures"/>
    <x v="2"/>
    <s v="James and Sons"/>
    <n v="127.23"/>
    <n v="0.21467436262504572"/>
  </r>
  <r>
    <s v="ORD1301"/>
    <d v="2020-07-10T00:00:00"/>
    <x v="1"/>
    <s v="PROD199"/>
    <n v="3870.83"/>
    <n v="632.41"/>
    <n v="8"/>
    <s v="Consumer"/>
    <s v="Scale Cross-Platform Web Services"/>
    <x v="2"/>
    <s v="Morrow, Brock and Lewis"/>
    <n v="115.21"/>
    <n v="0.16337839688128902"/>
  </r>
  <r>
    <s v="ORD1302"/>
    <d v="2021-05-30T00:00:00"/>
    <x v="0"/>
    <s v="PROD155"/>
    <n v="4744.76"/>
    <n v="149.13999999999999"/>
    <n v="15"/>
    <s v="Small Business"/>
    <s v="Incentivize User-Centric Mindshare"/>
    <x v="1"/>
    <s v="Becker, Wright and Wong"/>
    <n v="38.51"/>
    <n v="3.1432569824395754E-2"/>
  </r>
  <r>
    <s v="ORD1303"/>
    <d v="2022-10-05T00:00:00"/>
    <x v="3"/>
    <s v="PROD128"/>
    <n v="3780.24"/>
    <n v="942.18"/>
    <n v="13"/>
    <s v="Consumer"/>
    <s v="Brand Distributed Info-Mediaries"/>
    <x v="2"/>
    <s v="Garcia Ltd"/>
    <n v="114.48"/>
    <n v="0.24923814360992952"/>
  </r>
  <r>
    <s v="ORD1304"/>
    <d v="2022-02-03T00:00:00"/>
    <x v="1"/>
    <s v="PROD117"/>
    <n v="3927.77"/>
    <n v="382.61"/>
    <n v="1"/>
    <s v="Small Business"/>
    <s v="Revolutionize Efficient Niches"/>
    <x v="1"/>
    <s v="Lopez-Torres"/>
    <n v="23.02"/>
    <n v="9.7411508311331885E-2"/>
  </r>
  <r>
    <s v="ORD1305"/>
    <d v="2022-11-15T00:00:00"/>
    <x v="2"/>
    <s v="PROD100"/>
    <n v="4454.7"/>
    <n v="719.06"/>
    <n v="4"/>
    <s v="Consumer"/>
    <s v="Synthesize Scalable Portals"/>
    <x v="2"/>
    <s v="Singh, Villa and Flynn"/>
    <n v="298.57"/>
    <n v="0.16141603250499473"/>
  </r>
  <r>
    <s v="ORD1306"/>
    <d v="2022-07-12T00:00:00"/>
    <x v="0"/>
    <s v="PROD144"/>
    <n v="1731.35"/>
    <n v="605.89"/>
    <n v="6"/>
    <s v="Small Business"/>
    <s v="Expedite Synergistic Web-Readiness"/>
    <x v="1"/>
    <s v="Dunlap, Carpenter and Monroe"/>
    <n v="289.66000000000003"/>
    <n v="0.3499523493227828"/>
  </r>
  <r>
    <s v="ORD1307"/>
    <d v="2021-02-07T00:00:00"/>
    <x v="1"/>
    <s v="PROD136"/>
    <n v="3680.89"/>
    <n v="728.02"/>
    <n v="5"/>
    <s v="Consumer"/>
    <s v="Evolve Innovative Web Services"/>
    <x v="2"/>
    <s v="Bush Inc"/>
    <n v="87.75"/>
    <n v="0.19778368818410766"/>
  </r>
  <r>
    <s v="ORD1308"/>
    <d v="2020-11-04T00:00:00"/>
    <x v="0"/>
    <s v="PROD169"/>
    <n v="1266.23"/>
    <n v="201.2"/>
    <n v="6"/>
    <s v="Consumer"/>
    <s v="Unleash End-To-End Web Services"/>
    <x v="0"/>
    <s v="Jones Ltd"/>
    <n v="188.02"/>
    <n v="0.15889688287277981"/>
  </r>
  <r>
    <s v="ORD1309"/>
    <d v="2020-07-26T00:00:00"/>
    <x v="0"/>
    <s v="PROD130"/>
    <n v="1031.3699999999999"/>
    <n v="958.63"/>
    <n v="9"/>
    <s v="Consumer"/>
    <s v="Synthesize Wireless Initiatives"/>
    <x v="1"/>
    <s v="Mosley Ltd"/>
    <n v="162.69999999999999"/>
    <n v="0.92947244926650974"/>
  </r>
  <r>
    <s v="ORD1310"/>
    <d v="2024-06-20T00:00:00"/>
    <x v="3"/>
    <s v="PROD186"/>
    <n v="1351.78"/>
    <n v="893.71"/>
    <n v="8"/>
    <s v="Corporate"/>
    <s v="Reinvent Mission-Critical Markets"/>
    <x v="2"/>
    <s v="Gilbert-Sanders"/>
    <n v="154.21"/>
    <n v="0.66113568775984266"/>
  </r>
  <r>
    <s v="ORD1311"/>
    <d v="2021-03-15T00:00:00"/>
    <x v="0"/>
    <s v="PROD105"/>
    <n v="2247.94"/>
    <n v="32.93"/>
    <n v="16"/>
    <s v="Small Business"/>
    <s v="Transform Holistic Functionalities"/>
    <x v="0"/>
    <s v="Ruiz Ltd"/>
    <n v="179.27"/>
    <n v="1.4648967499132538E-2"/>
  </r>
  <r>
    <s v="ORD1312"/>
    <d v="2022-06-07T00:00:00"/>
    <x v="1"/>
    <s v="PROD119"/>
    <n v="4541.62"/>
    <n v="296.86"/>
    <n v="12"/>
    <s v="Small Business"/>
    <s v="Generate Front-End Functionalities"/>
    <x v="0"/>
    <s v="Morales-Brown"/>
    <n v="299.77"/>
    <n v="6.5364341358369923E-2"/>
  </r>
  <r>
    <s v="ORD1313"/>
    <d v="2023-11-03T00:00:00"/>
    <x v="3"/>
    <s v="PROD177"/>
    <n v="1877.04"/>
    <n v="870.81"/>
    <n v="14"/>
    <s v="Corporate"/>
    <s v="Deploy Granular Channels"/>
    <x v="2"/>
    <s v="Barnes Ltd"/>
    <n v="288.99"/>
    <n v="0.46392724715509526"/>
  </r>
  <r>
    <s v="ORD1314"/>
    <d v="2021-06-15T00:00:00"/>
    <x v="1"/>
    <s v="PROD135"/>
    <n v="1824.4"/>
    <n v="444.52"/>
    <n v="5"/>
    <s v="Consumer"/>
    <s v="Optimize 24/365 E-Services"/>
    <x v="0"/>
    <s v="Chase Ltd"/>
    <n v="100.35"/>
    <n v="0.24365270773953079"/>
  </r>
  <r>
    <s v="ORD1315"/>
    <d v="2023-07-21T00:00:00"/>
    <x v="0"/>
    <s v="PROD158"/>
    <n v="4587.0200000000004"/>
    <n v="552.70000000000005"/>
    <n v="12"/>
    <s v="Corporate"/>
    <s v="Brand Web-Enabled Solutions"/>
    <x v="1"/>
    <s v="Russell Group"/>
    <n v="51.67"/>
    <n v="0.12049217138795994"/>
  </r>
  <r>
    <s v="ORD1316"/>
    <d v="2024-01-15T00:00:00"/>
    <x v="1"/>
    <s v="PROD134"/>
    <n v="3932.15"/>
    <n v="443.58"/>
    <n v="18"/>
    <s v="Small Business"/>
    <s v="Utilize Ubiquitous Synergies"/>
    <x v="1"/>
    <s v="Kramer, Huang and Shaw"/>
    <n v="295.89999999999998"/>
    <n v="0.11280851442595018"/>
  </r>
  <r>
    <s v="ORD1317"/>
    <d v="2022-11-18T00:00:00"/>
    <x v="1"/>
    <s v="PROD100"/>
    <n v="4720.57"/>
    <n v="817.31"/>
    <n v="15"/>
    <s v="Corporate"/>
    <s v="Synthesize Scalable Portals"/>
    <x v="2"/>
    <s v="Singh, Villa and Flynn"/>
    <n v="298.57"/>
    <n v="0.17313798969192279"/>
  </r>
  <r>
    <s v="ORD1318"/>
    <d v="2020-03-02T00:00:00"/>
    <x v="0"/>
    <s v="PROD171"/>
    <n v="2678.08"/>
    <n v="556.37"/>
    <n v="5"/>
    <s v="Corporate"/>
    <s v="Scale 24/365 Networks"/>
    <x v="2"/>
    <s v="Kim-Hamilton"/>
    <n v="157.55000000000001"/>
    <n v="0.20774958178993908"/>
  </r>
  <r>
    <s v="ORD1319"/>
    <d v="2021-01-29T00:00:00"/>
    <x v="1"/>
    <s v="PROD183"/>
    <n v="1245.0899999999999"/>
    <n v="594.34"/>
    <n v="15"/>
    <s v="Consumer"/>
    <s v="Incentivize Front-End Mindshare"/>
    <x v="1"/>
    <s v="Phillips-Tran"/>
    <n v="196.86"/>
    <n v="0.47734701909098948"/>
  </r>
  <r>
    <s v="ORD1320"/>
    <d v="2021-07-31T00:00:00"/>
    <x v="1"/>
    <s v="PROD163"/>
    <n v="4433.8"/>
    <n v="387.48"/>
    <n v="13"/>
    <s v="Corporate"/>
    <s v="Grow Back-End Supply-Chains"/>
    <x v="1"/>
    <s v="Green LLC"/>
    <n v="140.08000000000001"/>
    <n v="8.7392304569443816E-2"/>
  </r>
  <r>
    <s v="ORD1321"/>
    <d v="2021-12-02T00:00:00"/>
    <x v="2"/>
    <s v="PROD145"/>
    <n v="4752.07"/>
    <n v="487.42"/>
    <n v="16"/>
    <s v="Corporate"/>
    <s v="Innovate Strategic Systems"/>
    <x v="0"/>
    <s v="Mcfarland, Parker and Armstrong"/>
    <n v="70.239999999999995"/>
    <n v="0.10257003789927338"/>
  </r>
  <r>
    <s v="ORD1322"/>
    <d v="2022-11-24T00:00:00"/>
    <x v="1"/>
    <s v="PROD174"/>
    <n v="4901.09"/>
    <n v="574.79999999999995"/>
    <n v="8"/>
    <s v="Corporate"/>
    <s v="Disintermediate Scalable Bandwidth"/>
    <x v="1"/>
    <s v="Levy PLC"/>
    <n v="19.86"/>
    <n v="0.11728003362517317"/>
  </r>
  <r>
    <s v="ORD1323"/>
    <d v="2020-01-25T00:00:00"/>
    <x v="1"/>
    <s v="PROD165"/>
    <n v="3312.37"/>
    <n v="329.36"/>
    <n v="18"/>
    <s v="Corporate"/>
    <s v="Benchmark Cross-Platform Markets"/>
    <x v="2"/>
    <s v="Murphy, Mathews and Wilson"/>
    <n v="78.88"/>
    <n v="9.9433336251686863E-2"/>
  </r>
  <r>
    <s v="ORD1324"/>
    <d v="2022-11-02T00:00:00"/>
    <x v="2"/>
    <s v="PROD122"/>
    <n v="3781.22"/>
    <n v="16.78"/>
    <n v="14"/>
    <s v="Corporate"/>
    <s v="Empower Dot-Com Deliverables"/>
    <x v="1"/>
    <s v="Davis LLC"/>
    <n v="250.66"/>
    <n v="4.4377211587794422E-3"/>
  </r>
  <r>
    <s v="ORD1325"/>
    <d v="2021-07-18T00:00:00"/>
    <x v="0"/>
    <s v="PROD112"/>
    <n v="1133.1099999999999"/>
    <n v="294.41000000000003"/>
    <n v="17"/>
    <s v="Corporate"/>
    <s v="Seize Clicks-And-Mortar Platforms"/>
    <x v="0"/>
    <s v="Owens, Campos and Wood"/>
    <n v="271.16000000000003"/>
    <n v="0.25982473016741536"/>
  </r>
  <r>
    <s v="ORD1326"/>
    <d v="2024-05-02T00:00:00"/>
    <x v="0"/>
    <s v="PROD194"/>
    <n v="3078.43"/>
    <n v="705.05"/>
    <n v="13"/>
    <s v="Corporate"/>
    <s v="Leverage Scalable Interfaces"/>
    <x v="0"/>
    <s v="Kaufman-Jones"/>
    <n v="73.33"/>
    <n v="0.22902908300659752"/>
  </r>
  <r>
    <s v="ORD1327"/>
    <d v="2024-08-11T00:00:00"/>
    <x v="0"/>
    <s v="PROD112"/>
    <n v="543.64"/>
    <n v="680.84"/>
    <n v="3"/>
    <s v="Consumer"/>
    <s v="Seize Clicks-And-Mortar Platforms"/>
    <x v="0"/>
    <s v="Owens, Campos and Wood"/>
    <n v="271.16000000000003"/>
    <n v="1.2523728938267973"/>
  </r>
  <r>
    <s v="ORD1328"/>
    <d v="2022-06-29T00:00:00"/>
    <x v="0"/>
    <s v="PROD139"/>
    <n v="1672.43"/>
    <n v="538.29999999999995"/>
    <n v="9"/>
    <s v="Small Business"/>
    <s v="Re-Contextualize Viral Mindshare"/>
    <x v="1"/>
    <s v="Carter-Lane"/>
    <n v="142.25"/>
    <n v="0.32186698396943364"/>
  </r>
  <r>
    <s v="ORD1329"/>
    <d v="2021-11-10T00:00:00"/>
    <x v="1"/>
    <s v="PROD184"/>
    <n v="2116.66"/>
    <n v="56.45"/>
    <n v="10"/>
    <s v="Corporate"/>
    <s v="Embrace 24/365 Functionalities"/>
    <x v="0"/>
    <s v="Smith LLC"/>
    <n v="204.04"/>
    <n v="2.6669375336615238E-2"/>
  </r>
  <r>
    <s v="ORD1330"/>
    <d v="2021-12-01T00:00:00"/>
    <x v="1"/>
    <s v="PROD133"/>
    <n v="858.11"/>
    <n v="439.01"/>
    <n v="17"/>
    <s v="Small Business"/>
    <s v="Re-Intermediate Seamless Applications"/>
    <x v="0"/>
    <s v="Welch-Reed"/>
    <n v="45.82"/>
    <n v="0.51160107678502753"/>
  </r>
  <r>
    <s v="ORD1331"/>
    <d v="2022-07-02T00:00:00"/>
    <x v="3"/>
    <s v="PROD117"/>
    <n v="872.21"/>
    <n v="904.5"/>
    <n v="20"/>
    <s v="Corporate"/>
    <s v="Revolutionize Efficient Niches"/>
    <x v="1"/>
    <s v="Lopez-Torres"/>
    <n v="23.02"/>
    <n v="1.0370209009298219"/>
  </r>
  <r>
    <s v="ORD1332"/>
    <d v="2022-02-19T00:00:00"/>
    <x v="2"/>
    <s v="PROD100"/>
    <n v="2480.83"/>
    <n v="60.12"/>
    <n v="1"/>
    <s v="Small Business"/>
    <s v="Synthesize Scalable Portals"/>
    <x v="2"/>
    <s v="Singh, Villa and Flynn"/>
    <n v="298.57"/>
    <n v="2.4233824969868954E-2"/>
  </r>
  <r>
    <s v="ORD1333"/>
    <d v="2021-03-27T00:00:00"/>
    <x v="1"/>
    <s v="PROD173"/>
    <n v="2438.58"/>
    <n v="513.13"/>
    <n v="5"/>
    <s v="Consumer"/>
    <s v="Whiteboard Sticky Content"/>
    <x v="2"/>
    <s v="Wolfe Group"/>
    <n v="82.16"/>
    <n v="0.21042163882259349"/>
  </r>
  <r>
    <s v="ORD1334"/>
    <d v="2021-12-02T00:00:00"/>
    <x v="0"/>
    <s v="PROD138"/>
    <n v="1928.31"/>
    <n v="382.69"/>
    <n v="1"/>
    <s v="Small Business"/>
    <s v="Deliver Viral Eyeballs"/>
    <x v="0"/>
    <s v="Estes, Chan and Thomas"/>
    <n v="16.89"/>
    <n v="0.1984587540385104"/>
  </r>
  <r>
    <s v="ORD1335"/>
    <d v="2022-04-08T00:00:00"/>
    <x v="3"/>
    <s v="PROD163"/>
    <n v="2092.0100000000002"/>
    <n v="439.41"/>
    <n v="4"/>
    <s v="Corporate"/>
    <s v="Grow Back-End Supply-Chains"/>
    <x v="1"/>
    <s v="Green LLC"/>
    <n v="140.08000000000001"/>
    <n v="0.21004201700756689"/>
  </r>
  <r>
    <s v="ORD1336"/>
    <d v="2020-04-24T00:00:00"/>
    <x v="3"/>
    <s v="PROD123"/>
    <n v="3420.84"/>
    <n v="268.14"/>
    <n v="15"/>
    <s v="Corporate"/>
    <s v="Redefine Real-Time Convergence"/>
    <x v="1"/>
    <s v="Hayes, Peters and Douglas"/>
    <n v="78.260000000000005"/>
    <n v="7.8384256498403887E-2"/>
  </r>
  <r>
    <s v="ORD1337"/>
    <d v="2021-05-30T00:00:00"/>
    <x v="3"/>
    <s v="PROD190"/>
    <n v="1091.56"/>
    <n v="642.91"/>
    <n v="9"/>
    <s v="Small Business"/>
    <s v="Repurpose End-To-End Networks"/>
    <x v="0"/>
    <s v="Torres-Rush"/>
    <n v="97.02"/>
    <n v="0.58898274029828868"/>
  </r>
  <r>
    <s v="ORD1338"/>
    <d v="2022-07-26T00:00:00"/>
    <x v="0"/>
    <s v="PROD101"/>
    <n v="161.86000000000001"/>
    <n v="824.99"/>
    <n v="1"/>
    <s v="Small Business"/>
    <s v="Harness Proactive Eyeballs"/>
    <x v="1"/>
    <s v="Moran and Sons"/>
    <n v="58.01"/>
    <n v="5.0969356233782275"/>
  </r>
  <r>
    <s v="ORD1339"/>
    <d v="2022-09-09T00:00:00"/>
    <x v="2"/>
    <s v="PROD101"/>
    <n v="2018.34"/>
    <n v="697.79"/>
    <n v="18"/>
    <s v="Corporate"/>
    <s v="Harness Proactive Eyeballs"/>
    <x v="1"/>
    <s v="Moran and Sons"/>
    <n v="58.01"/>
    <n v="0.3457247044601009"/>
  </r>
  <r>
    <s v="ORD1340"/>
    <d v="2022-01-05T00:00:00"/>
    <x v="0"/>
    <s v="PROD175"/>
    <n v="4065.86"/>
    <n v="882.47"/>
    <n v="12"/>
    <s v="Consumer"/>
    <s v="Empower Bleeding-Edge Action-Items"/>
    <x v="2"/>
    <s v="Gray, Hayes and Banks"/>
    <n v="204.26"/>
    <n v="0.21704387263703129"/>
  </r>
  <r>
    <s v="ORD1341"/>
    <d v="2020-02-19T00:00:00"/>
    <x v="1"/>
    <s v="PROD196"/>
    <n v="4309.0200000000004"/>
    <n v="917.17"/>
    <n v="11"/>
    <s v="Small Business"/>
    <s v="Strategize E-Business Content"/>
    <x v="1"/>
    <s v="Patterson LLC"/>
    <n v="294.02"/>
    <n v="0.2128488612259864"/>
  </r>
  <r>
    <s v="ORD1342"/>
    <d v="2021-03-30T00:00:00"/>
    <x v="0"/>
    <s v="PROD197"/>
    <n v="4976.78"/>
    <n v="238.24"/>
    <n v="16"/>
    <s v="Consumer"/>
    <s v="Leverage Rich Portals"/>
    <x v="0"/>
    <s v="Wilson PLC"/>
    <n v="46.35"/>
    <n v="4.7870309718331935E-2"/>
  </r>
  <r>
    <s v="ORD1343"/>
    <d v="2021-05-20T00:00:00"/>
    <x v="2"/>
    <s v="PROD179"/>
    <n v="3355.52"/>
    <n v="983.29"/>
    <n v="6"/>
    <s v="Consumer"/>
    <s v="Target Viral Methodologies"/>
    <x v="1"/>
    <s v="Alvarez, Myers and Walter"/>
    <n v="149.26"/>
    <n v="0.2930365487316422"/>
  </r>
  <r>
    <s v="ORD1344"/>
    <d v="2020-11-01T00:00:00"/>
    <x v="3"/>
    <s v="PROD132"/>
    <n v="1399.77"/>
    <n v="986.58"/>
    <n v="14"/>
    <s v="Small Business"/>
    <s v="Synergize End-To-End Roi"/>
    <x v="1"/>
    <s v="Evans-Smith"/>
    <n v="159.85"/>
    <n v="0.7048157911656916"/>
  </r>
  <r>
    <s v="ORD1345"/>
    <d v="2024-10-01T00:00:00"/>
    <x v="3"/>
    <s v="PROD131"/>
    <n v="1894.45"/>
    <n v="614.02"/>
    <n v="10"/>
    <s v="Corporate"/>
    <s v="Scale Bleeding-Edge Schemas"/>
    <x v="1"/>
    <s v="Frazier-Schneider"/>
    <n v="54.8"/>
    <n v="0.32411517854786348"/>
  </r>
  <r>
    <s v="ORD1346"/>
    <d v="2021-06-20T00:00:00"/>
    <x v="0"/>
    <s v="PROD122"/>
    <n v="4992.66"/>
    <n v="432.95"/>
    <n v="20"/>
    <s v="Consumer"/>
    <s v="Empower Dot-Com Deliverables"/>
    <x v="1"/>
    <s v="Davis LLC"/>
    <n v="250.66"/>
    <n v="8.6717300997864871E-2"/>
  </r>
  <r>
    <s v="ORD1347"/>
    <d v="2023-10-23T00:00:00"/>
    <x v="0"/>
    <s v="PROD148"/>
    <n v="1873.71"/>
    <n v="230.33"/>
    <n v="10"/>
    <s v="Consumer"/>
    <s v="Empower Seamless Roi"/>
    <x v="0"/>
    <s v="Proctor Group"/>
    <n v="266.64999999999998"/>
    <n v="0.12292724060820512"/>
  </r>
  <r>
    <s v="ORD1348"/>
    <d v="2020-02-22T00:00:00"/>
    <x v="1"/>
    <s v="PROD104"/>
    <n v="2962.59"/>
    <n v="656.87"/>
    <n v="14"/>
    <s v="Corporate"/>
    <s v="Implement Clicks-And-Mortar Partnerships"/>
    <x v="1"/>
    <s v="Smith Inc"/>
    <n v="195.53"/>
    <n v="0.22172153419811719"/>
  </r>
  <r>
    <s v="ORD1349"/>
    <d v="2023-12-26T00:00:00"/>
    <x v="1"/>
    <s v="PROD119"/>
    <n v="191.89"/>
    <n v="665.15"/>
    <n v="10"/>
    <s v="Corporate"/>
    <s v="Generate Front-End Functionalities"/>
    <x v="0"/>
    <s v="Morales-Brown"/>
    <n v="299.77"/>
    <n v="3.4663088227630414"/>
  </r>
  <r>
    <s v="ORD1350"/>
    <d v="2020-03-29T00:00:00"/>
    <x v="3"/>
    <s v="PROD183"/>
    <n v="2487.59"/>
    <n v="261.68"/>
    <n v="17"/>
    <s v="Corporate"/>
    <s v="Incentivize Front-End Mindshare"/>
    <x v="1"/>
    <s v="Phillips-Tran"/>
    <n v="196.86"/>
    <n v="0.10519418392902367"/>
  </r>
  <r>
    <s v="ORD1351"/>
    <d v="2023-03-16T00:00:00"/>
    <x v="3"/>
    <s v="PROD198"/>
    <n v="4188.17"/>
    <n v="408.24"/>
    <n v="5"/>
    <s v="Corporate"/>
    <s v="Visualize Dynamic E-Commerce"/>
    <x v="2"/>
    <s v="Jones LLC"/>
    <n v="92.61"/>
    <n v="9.7474553325199317E-2"/>
  </r>
  <r>
    <s v="ORD1352"/>
    <d v="2023-04-25T00:00:00"/>
    <x v="1"/>
    <s v="PROD168"/>
    <n v="304.51"/>
    <n v="819.63"/>
    <n v="4"/>
    <s v="Small Business"/>
    <s v="Facilitate End-To-End Experiences"/>
    <x v="0"/>
    <s v="Pierce-Goodwin"/>
    <n v="260.52999999999997"/>
    <n v="2.6916357426685495"/>
  </r>
  <r>
    <s v="ORD1353"/>
    <d v="2023-12-25T00:00:00"/>
    <x v="1"/>
    <s v="PROD176"/>
    <n v="1925.14"/>
    <n v="829.93"/>
    <n v="13"/>
    <s v="Small Business"/>
    <s v="Facilitate Integrated E-Business"/>
    <x v="0"/>
    <s v="Chang-Vargas"/>
    <n v="130.33000000000001"/>
    <n v="0.43110111472412393"/>
  </r>
  <r>
    <s v="ORD1354"/>
    <d v="2020-05-17T00:00:00"/>
    <x v="1"/>
    <s v="PROD141"/>
    <n v="566.66999999999996"/>
    <n v="411.81"/>
    <n v="13"/>
    <s v="Small Business"/>
    <s v="Re-Contextualize Integrated Info-Mediaries"/>
    <x v="1"/>
    <s v="Jones-Schroeder"/>
    <n v="26.02"/>
    <n v="0.7267192545926201"/>
  </r>
  <r>
    <s v="ORD1355"/>
    <d v="2024-05-01T00:00:00"/>
    <x v="1"/>
    <s v="PROD187"/>
    <n v="4813.4399999999996"/>
    <n v="118.37"/>
    <n v="3"/>
    <s v="Consumer"/>
    <s v="Whiteboard Compelling Experiences"/>
    <x v="2"/>
    <s v="Carrillo, Carr and Ball"/>
    <n v="206.54"/>
    <n v="2.459156029783274E-2"/>
  </r>
  <r>
    <s v="ORD1356"/>
    <d v="2022-08-26T00:00:00"/>
    <x v="0"/>
    <s v="PROD187"/>
    <n v="3685.33"/>
    <n v="149.24"/>
    <n v="4"/>
    <s v="Small Business"/>
    <s v="Whiteboard Compelling Experiences"/>
    <x v="2"/>
    <s v="Carrillo, Carr and Ball"/>
    <n v="206.54"/>
    <n v="4.0495695093790793E-2"/>
  </r>
  <r>
    <s v="ORD1357"/>
    <d v="2020-04-10T00:00:00"/>
    <x v="1"/>
    <s v="PROD183"/>
    <n v="3512.18"/>
    <n v="989.65"/>
    <n v="16"/>
    <s v="Consumer"/>
    <s v="Incentivize Front-End Mindshare"/>
    <x v="1"/>
    <s v="Phillips-Tran"/>
    <n v="196.86"/>
    <n v="0.28177656042685739"/>
  </r>
  <r>
    <s v="ORD1358"/>
    <d v="2022-01-05T00:00:00"/>
    <x v="3"/>
    <s v="PROD195"/>
    <n v="3391.54"/>
    <n v="548.99"/>
    <n v="19"/>
    <s v="Small Business"/>
    <s v="Reinvent Out-Of-The-Box Models"/>
    <x v="0"/>
    <s v="Wagner-Curtis"/>
    <n v="172.34"/>
    <n v="0.16187041874782548"/>
  </r>
  <r>
    <s v="ORD1359"/>
    <d v="2024-03-06T00:00:00"/>
    <x v="1"/>
    <s v="PROD136"/>
    <n v="699.35"/>
    <n v="589.04"/>
    <n v="14"/>
    <s v="Corporate"/>
    <s v="Evolve Innovative Web Services"/>
    <x v="2"/>
    <s v="Bush Inc"/>
    <n v="87.75"/>
    <n v="0.84226782011868151"/>
  </r>
  <r>
    <s v="ORD1360"/>
    <d v="2022-02-06T00:00:00"/>
    <x v="2"/>
    <s v="PROD117"/>
    <n v="2565.9699999999998"/>
    <n v="452.65"/>
    <n v="10"/>
    <s v="Corporate"/>
    <s v="Revolutionize Efficient Niches"/>
    <x v="1"/>
    <s v="Lopez-Torres"/>
    <n v="23.02"/>
    <n v="0.17640502422085996"/>
  </r>
  <r>
    <s v="ORD1361"/>
    <d v="2020-03-22T00:00:00"/>
    <x v="1"/>
    <s v="PROD106"/>
    <n v="4213.5"/>
    <n v="294.95999999999998"/>
    <n v="9"/>
    <s v="Corporate"/>
    <s v="Synergize End-To-End Supply-Chains"/>
    <x v="0"/>
    <s v="Higgins-Espinoza"/>
    <n v="279.8"/>
    <n v="7.000355998576005E-2"/>
  </r>
  <r>
    <s v="ORD1362"/>
    <d v="2024-08-27T00:00:00"/>
    <x v="2"/>
    <s v="PROD130"/>
    <n v="4489.47"/>
    <n v="401.19"/>
    <n v="2"/>
    <s v="Small Business"/>
    <s v="Synthesize Wireless Initiatives"/>
    <x v="1"/>
    <s v="Mosley Ltd"/>
    <n v="162.69999999999999"/>
    <n v="8.9362441446317706E-2"/>
  </r>
  <r>
    <s v="ORD1363"/>
    <d v="2020-11-20T00:00:00"/>
    <x v="0"/>
    <s v="PROD142"/>
    <n v="4657.3100000000004"/>
    <n v="390.11"/>
    <n v="8"/>
    <s v="Consumer"/>
    <s v="Target Bricks-And-Clicks Channels"/>
    <x v="1"/>
    <s v="Dunn, Christensen and Meyer"/>
    <n v="126.86"/>
    <n v="8.3762944704131786E-2"/>
  </r>
  <r>
    <s v="ORD1364"/>
    <d v="2021-04-02T00:00:00"/>
    <x v="3"/>
    <s v="PROD170"/>
    <n v="4204.54"/>
    <n v="751.93"/>
    <n v="16"/>
    <s v="Consumer"/>
    <s v="Deliver Sticky Networks"/>
    <x v="2"/>
    <s v="Massey LLC"/>
    <n v="272.33"/>
    <n v="0.17883763741098907"/>
  </r>
  <r>
    <s v="ORD1365"/>
    <d v="2021-01-22T00:00:00"/>
    <x v="3"/>
    <s v="PROD106"/>
    <n v="4835.0600000000004"/>
    <n v="712.04"/>
    <n v="19"/>
    <s v="Consumer"/>
    <s v="Synergize End-To-End Supply-Chains"/>
    <x v="0"/>
    <s v="Higgins-Espinoza"/>
    <n v="279.8"/>
    <n v="0.14726601117669685"/>
  </r>
  <r>
    <s v="ORD1366"/>
    <d v="2022-03-26T00:00:00"/>
    <x v="0"/>
    <s v="PROD182"/>
    <n v="2153.09"/>
    <n v="432.11"/>
    <n v="14"/>
    <s v="Consumer"/>
    <s v="Strategize Best-Of-Breed Web-Readiness"/>
    <x v="0"/>
    <s v="Morris, King and Ayers"/>
    <n v="220.16"/>
    <n v="0.20069295756331598"/>
  </r>
  <r>
    <s v="ORD1367"/>
    <d v="2022-08-04T00:00:00"/>
    <x v="1"/>
    <s v="PROD188"/>
    <n v="1994.14"/>
    <n v="898.35"/>
    <n v="6"/>
    <s v="Corporate"/>
    <s v="Transition Mission-Critical Interfaces"/>
    <x v="0"/>
    <s v="Weaver Ltd"/>
    <n v="34.64"/>
    <n v="0.45049495020409802"/>
  </r>
  <r>
    <s v="ORD1368"/>
    <d v="2022-11-12T00:00:00"/>
    <x v="2"/>
    <s v="PROD116"/>
    <n v="4896.53"/>
    <n v="17.420000000000002"/>
    <n v="7"/>
    <s v="Corporate"/>
    <s v="Synergize Cross-Platform Vortals"/>
    <x v="2"/>
    <s v="Edwards Group"/>
    <n v="87.18"/>
    <n v="3.5576214176161491E-3"/>
  </r>
  <r>
    <s v="ORD1369"/>
    <d v="2023-07-20T00:00:00"/>
    <x v="0"/>
    <s v="PROD126"/>
    <n v="340.88"/>
    <n v="712.02"/>
    <n v="11"/>
    <s v="Consumer"/>
    <s v="Streamline Innovative Architectures"/>
    <x v="2"/>
    <s v="Price, Valentine and Lutz"/>
    <n v="291.14999999999998"/>
    <n v="2.088770241727294"/>
  </r>
  <r>
    <s v="ORD1370"/>
    <d v="2021-12-06T00:00:00"/>
    <x v="2"/>
    <s v="PROD149"/>
    <n v="1955.86"/>
    <n v="28.26"/>
    <n v="18"/>
    <s v="Corporate"/>
    <s v="Envisioneer B2C Web-Readiness"/>
    <x v="1"/>
    <s v="Kemp Group"/>
    <n v="97.23"/>
    <n v="1.4448886934647676E-2"/>
  </r>
  <r>
    <s v="ORD1371"/>
    <d v="2023-06-18T00:00:00"/>
    <x v="1"/>
    <s v="PROD189"/>
    <n v="1497.19"/>
    <n v="801.13"/>
    <n v="15"/>
    <s v="Consumer"/>
    <s v="E-Enable Next-Generation Experiences"/>
    <x v="2"/>
    <s v="Sanchez-Quinn"/>
    <n v="266.93"/>
    <n v="0.5350890668519025"/>
  </r>
  <r>
    <s v="ORD1372"/>
    <d v="2023-09-20T00:00:00"/>
    <x v="0"/>
    <s v="PROD112"/>
    <n v="4719.9399999999996"/>
    <n v="966"/>
    <n v="8"/>
    <s v="Corporate"/>
    <s v="Seize Clicks-And-Mortar Platforms"/>
    <x v="0"/>
    <s v="Owens, Campos and Wood"/>
    <n v="271.16000000000003"/>
    <n v="0.20466361860532128"/>
  </r>
  <r>
    <s v="ORD1373"/>
    <d v="2024-09-30T00:00:00"/>
    <x v="1"/>
    <s v="PROD134"/>
    <n v="1298.81"/>
    <n v="142.07"/>
    <n v="18"/>
    <s v="Small Business"/>
    <s v="Utilize Ubiquitous Synergies"/>
    <x v="1"/>
    <s v="Kramer, Huang and Shaw"/>
    <n v="295.89999999999998"/>
    <n v="0.10938474449688561"/>
  </r>
  <r>
    <s v="ORD1374"/>
    <d v="2020-10-24T00:00:00"/>
    <x v="1"/>
    <s v="PROD136"/>
    <n v="2231.62"/>
    <n v="763.97"/>
    <n v="9"/>
    <s v="Small Business"/>
    <s v="Evolve Innovative Web Services"/>
    <x v="2"/>
    <s v="Bush Inc"/>
    <n v="87.75"/>
    <n v="0.34233874942866621"/>
  </r>
  <r>
    <s v="ORD1375"/>
    <d v="2024-08-26T00:00:00"/>
    <x v="1"/>
    <s v="PROD102"/>
    <n v="4181.1000000000004"/>
    <n v="914.29"/>
    <n v="9"/>
    <s v="Small Business"/>
    <s v="Optimize Transparent E-Markets"/>
    <x v="0"/>
    <s v="Lee, Tyler and Blevins"/>
    <n v="111.22"/>
    <n v="0.21867211977709214"/>
  </r>
  <r>
    <s v="ORD1376"/>
    <d v="2022-12-18T00:00:00"/>
    <x v="1"/>
    <s v="PROD129"/>
    <n v="3899.3"/>
    <n v="980.97"/>
    <n v="19"/>
    <s v="Small Business"/>
    <s v="Scale Vertical Networks"/>
    <x v="2"/>
    <s v="Lam, Wood and Jacobs"/>
    <n v="133.24"/>
    <n v="0.25157592388377403"/>
  </r>
  <r>
    <s v="ORD1377"/>
    <d v="2022-11-03T00:00:00"/>
    <x v="2"/>
    <s v="PROD143"/>
    <n v="3994.03"/>
    <n v="641.14"/>
    <n v="17"/>
    <s v="Small Business"/>
    <s v="E-Enable Synergistic Vortals"/>
    <x v="1"/>
    <s v="Guzman Group"/>
    <n v="278.43"/>
    <n v="0.16052458294003799"/>
  </r>
  <r>
    <s v="ORD1378"/>
    <d v="2021-10-08T00:00:00"/>
    <x v="0"/>
    <s v="PROD129"/>
    <n v="3673.03"/>
    <n v="73.650000000000006"/>
    <n v="3"/>
    <s v="Corporate"/>
    <s v="Scale Vertical Networks"/>
    <x v="2"/>
    <s v="Lam, Wood and Jacobs"/>
    <n v="133.24"/>
    <n v="2.0051565056642608E-2"/>
  </r>
  <r>
    <s v="ORD1379"/>
    <d v="2023-01-15T00:00:00"/>
    <x v="1"/>
    <s v="PROD113"/>
    <n v="2709.1"/>
    <n v="101.25"/>
    <n v="17"/>
    <s v="Consumer"/>
    <s v="Envisioneer B2B Users"/>
    <x v="0"/>
    <s v="Rogers Group"/>
    <n v="239.16"/>
    <n v="3.7374035657598469E-2"/>
  </r>
  <r>
    <s v="ORD1380"/>
    <d v="2023-03-14T00:00:00"/>
    <x v="2"/>
    <s v="PROD183"/>
    <n v="1659.6"/>
    <n v="843.98"/>
    <n v="11"/>
    <s v="Consumer"/>
    <s v="Incentivize Front-End Mindshare"/>
    <x v="1"/>
    <s v="Phillips-Tran"/>
    <n v="196.86"/>
    <n v="0.50854422752470474"/>
  </r>
  <r>
    <s v="ORD1381"/>
    <d v="2023-01-08T00:00:00"/>
    <x v="3"/>
    <s v="PROD163"/>
    <n v="3546.11"/>
    <n v="923.9"/>
    <n v="10"/>
    <s v="Corporate"/>
    <s v="Grow Back-End Supply-Chains"/>
    <x v="1"/>
    <s v="Green LLC"/>
    <n v="140.08000000000001"/>
    <n v="0.2605390131721802"/>
  </r>
  <r>
    <s v="ORD1382"/>
    <d v="2022-12-21T00:00:00"/>
    <x v="2"/>
    <s v="PROD196"/>
    <n v="4403.49"/>
    <n v="257.07"/>
    <n v="18"/>
    <s v="Small Business"/>
    <s v="Strategize E-Business Content"/>
    <x v="1"/>
    <s v="Patterson LLC"/>
    <n v="294.02"/>
    <n v="5.8378695080492975E-2"/>
  </r>
  <r>
    <s v="ORD1383"/>
    <d v="2021-06-24T00:00:00"/>
    <x v="0"/>
    <s v="PROD155"/>
    <n v="1920.47"/>
    <n v="589.87"/>
    <n v="10"/>
    <s v="Small Business"/>
    <s v="Incentivize User-Centric Mindshare"/>
    <x v="1"/>
    <s v="Becker, Wright and Wong"/>
    <n v="38.51"/>
    <n v="0.3071487708737965"/>
  </r>
  <r>
    <s v="ORD1384"/>
    <d v="2023-09-12T00:00:00"/>
    <x v="3"/>
    <s v="PROD132"/>
    <n v="4360.4799999999996"/>
    <n v="72.7"/>
    <n v="6"/>
    <s v="Consumer"/>
    <s v="Synergize End-To-End Roi"/>
    <x v="1"/>
    <s v="Evans-Smith"/>
    <n v="159.85"/>
    <n v="1.6672476424613808E-2"/>
  </r>
  <r>
    <s v="ORD1385"/>
    <d v="2021-11-10T00:00:00"/>
    <x v="0"/>
    <s v="PROD107"/>
    <n v="3790.54"/>
    <n v="928.07"/>
    <n v="17"/>
    <s v="Consumer"/>
    <s v="Utilize Back-End Models"/>
    <x v="2"/>
    <s v="Lewis-Holden"/>
    <n v="241.53"/>
    <n v="0.24483846628712533"/>
  </r>
  <r>
    <s v="ORD1386"/>
    <d v="2021-02-03T00:00:00"/>
    <x v="1"/>
    <s v="PROD163"/>
    <n v="2143.89"/>
    <n v="296.77999999999997"/>
    <n v="2"/>
    <s v="Small Business"/>
    <s v="Grow Back-End Supply-Chains"/>
    <x v="1"/>
    <s v="Green LLC"/>
    <n v="140.08000000000001"/>
    <n v="0.13843060977941965"/>
  </r>
  <r>
    <s v="ORD1387"/>
    <d v="2024-06-29T00:00:00"/>
    <x v="0"/>
    <s v="PROD107"/>
    <n v="1555.81"/>
    <n v="898.16"/>
    <n v="9"/>
    <s v="Small Business"/>
    <s v="Utilize Back-End Models"/>
    <x v="2"/>
    <s v="Lewis-Holden"/>
    <n v="241.53"/>
    <n v="0.57729414260096024"/>
  </r>
  <r>
    <s v="ORD1388"/>
    <d v="2020-02-27T00:00:00"/>
    <x v="3"/>
    <s v="PROD145"/>
    <n v="3933.32"/>
    <n v="824.55"/>
    <n v="7"/>
    <s v="Small Business"/>
    <s v="Innovate Strategic Systems"/>
    <x v="0"/>
    <s v="Mcfarland, Parker and Armstrong"/>
    <n v="70.239999999999995"/>
    <n v="0.2096320665493781"/>
  </r>
  <r>
    <s v="ORD1389"/>
    <d v="2022-01-13T00:00:00"/>
    <x v="0"/>
    <s v="PROD164"/>
    <n v="4020.18"/>
    <n v="502.51"/>
    <n v="13"/>
    <s v="Corporate"/>
    <s v="Transition Compelling Web-Readiness"/>
    <x v="2"/>
    <s v="Wood-Beck"/>
    <n v="88.34"/>
    <n v="0.12499689068648667"/>
  </r>
  <r>
    <s v="ORD1390"/>
    <d v="2021-09-16T00:00:00"/>
    <x v="1"/>
    <s v="PROD198"/>
    <n v="1078.9100000000001"/>
    <n v="59.07"/>
    <n v="14"/>
    <s v="Corporate"/>
    <s v="Visualize Dynamic E-Commerce"/>
    <x v="2"/>
    <s v="Jones LLC"/>
    <n v="92.61"/>
    <n v="5.4749701087208384E-2"/>
  </r>
  <r>
    <s v="ORD1391"/>
    <d v="2023-04-17T00:00:00"/>
    <x v="2"/>
    <s v="PROD149"/>
    <n v="4031.51"/>
    <n v="18.34"/>
    <n v="2"/>
    <s v="Corporate"/>
    <s v="Envisioneer B2C Web-Readiness"/>
    <x v="1"/>
    <s v="Kemp Group"/>
    <n v="97.23"/>
    <n v="4.5491639608980254E-3"/>
  </r>
  <r>
    <s v="ORD1392"/>
    <d v="2023-04-16T00:00:00"/>
    <x v="2"/>
    <s v="PROD151"/>
    <n v="1219.55"/>
    <n v="819.67"/>
    <n v="8"/>
    <s v="Consumer"/>
    <s v="Re-Contextualize Viral Markets"/>
    <x v="1"/>
    <s v="Meadows-Barber"/>
    <n v="177.52"/>
    <n v="0.67210856463449631"/>
  </r>
  <r>
    <s v="ORD1393"/>
    <d v="2023-10-13T00:00:00"/>
    <x v="0"/>
    <s v="PROD161"/>
    <n v="2657.65"/>
    <n v="326.56"/>
    <n v="20"/>
    <s v="Consumer"/>
    <s v="Synergize E-Business Deliverables"/>
    <x v="1"/>
    <s v="Crawford, Warren and Williams"/>
    <n v="125.93"/>
    <n v="0.12287547269203995"/>
  </r>
  <r>
    <s v="ORD1394"/>
    <d v="2022-08-12T00:00:00"/>
    <x v="2"/>
    <s v="PROD158"/>
    <n v="527.46"/>
    <n v="150.46"/>
    <n v="9"/>
    <s v="Small Business"/>
    <s v="Brand Web-Enabled Solutions"/>
    <x v="1"/>
    <s v="Russell Group"/>
    <n v="51.67"/>
    <n v="0.28525385811246351"/>
  </r>
  <r>
    <s v="ORD1395"/>
    <d v="2021-03-07T00:00:00"/>
    <x v="0"/>
    <s v="PROD147"/>
    <n v="2599.62"/>
    <n v="342.69"/>
    <n v="7"/>
    <s v="Consumer"/>
    <s v="Brand B2C Info-Mediaries"/>
    <x v="0"/>
    <s v="Preston Ltd"/>
    <n v="13.46"/>
    <n v="0.13182311260876589"/>
  </r>
  <r>
    <s v="ORD1396"/>
    <d v="2023-09-30T00:00:00"/>
    <x v="2"/>
    <s v="PROD128"/>
    <n v="1916.38"/>
    <n v="120.27"/>
    <n v="13"/>
    <s v="Corporate"/>
    <s v="Brand Distributed Info-Mediaries"/>
    <x v="2"/>
    <s v="Garcia Ltd"/>
    <n v="114.48"/>
    <n v="6.2758951773656577E-2"/>
  </r>
  <r>
    <s v="ORD1397"/>
    <d v="2021-02-20T00:00:00"/>
    <x v="1"/>
    <s v="PROD106"/>
    <n v="411.99"/>
    <n v="39.07"/>
    <n v="20"/>
    <s v="Consumer"/>
    <s v="Synergize End-To-End Supply-Chains"/>
    <x v="0"/>
    <s v="Higgins-Espinoza"/>
    <n v="279.8"/>
    <n v="9.4832398844632154E-2"/>
  </r>
  <r>
    <s v="ORD1398"/>
    <d v="2023-10-23T00:00:00"/>
    <x v="0"/>
    <s v="PROD141"/>
    <n v="4779.7700000000004"/>
    <n v="695.82"/>
    <n v="2"/>
    <s v="Corporate"/>
    <s v="Re-Contextualize Integrated Info-Mediaries"/>
    <x v="1"/>
    <s v="Jones-Schroeder"/>
    <n v="26.02"/>
    <n v="0.14557604236187097"/>
  </r>
  <r>
    <s v="ORD1399"/>
    <d v="2022-08-29T00:00:00"/>
    <x v="2"/>
    <s v="PROD102"/>
    <n v="3462.48"/>
    <n v="861.17"/>
    <n v="20"/>
    <s v="Small Business"/>
    <s v="Optimize Transparent E-Markets"/>
    <x v="0"/>
    <s v="Lee, Tyler and Blevins"/>
    <n v="111.22"/>
    <n v="0.24871479402047086"/>
  </r>
  <r>
    <s v="ORD1400"/>
    <d v="2021-08-23T00:00:00"/>
    <x v="1"/>
    <s v="PROD161"/>
    <n v="4473.25"/>
    <n v="983.68"/>
    <n v="9"/>
    <s v="Small Business"/>
    <s v="Synergize E-Business Deliverables"/>
    <x v="1"/>
    <s v="Crawford, Warren and Williams"/>
    <n v="125.93"/>
    <n v="0.21990275526742301"/>
  </r>
  <r>
    <s v="ORD1401"/>
    <d v="2022-09-27T00:00:00"/>
    <x v="3"/>
    <s v="PROD164"/>
    <n v="821.69"/>
    <n v="994.37"/>
    <n v="5"/>
    <s v="Small Business"/>
    <s v="Transition Compelling Web-Readiness"/>
    <x v="2"/>
    <s v="Wood-Beck"/>
    <n v="88.34"/>
    <n v="1.2101522471978483"/>
  </r>
  <r>
    <s v="ORD1402"/>
    <d v="2020-01-15T00:00:00"/>
    <x v="3"/>
    <s v="PROD148"/>
    <n v="3362.75"/>
    <n v="893.23"/>
    <n v="17"/>
    <s v="Consumer"/>
    <s v="Empower Seamless Roi"/>
    <x v="0"/>
    <s v="Proctor Group"/>
    <n v="266.64999999999998"/>
    <n v="0.2656248606051595"/>
  </r>
  <r>
    <s v="ORD1403"/>
    <d v="2021-11-25T00:00:00"/>
    <x v="1"/>
    <s v="PROD157"/>
    <n v="361.84"/>
    <n v="462.02"/>
    <n v="3"/>
    <s v="Corporate"/>
    <s v="Implement Rich Platforms"/>
    <x v="1"/>
    <s v="Parker, Anderson and Salazar"/>
    <n v="53.59"/>
    <n v="1.2768627017466283"/>
  </r>
  <r>
    <s v="ORD1404"/>
    <d v="2022-08-29T00:00:00"/>
    <x v="0"/>
    <s v="PROD165"/>
    <n v="4125.25"/>
    <n v="592.55999999999995"/>
    <n v="14"/>
    <s v="Small Business"/>
    <s v="Benchmark Cross-Platform Markets"/>
    <x v="2"/>
    <s v="Murphy, Mathews and Wilson"/>
    <n v="78.88"/>
    <n v="0.14364220350281801"/>
  </r>
  <r>
    <s v="ORD1405"/>
    <d v="2020-02-02T00:00:00"/>
    <x v="1"/>
    <s v="PROD131"/>
    <n v="558.03"/>
    <n v="215.13"/>
    <n v="14"/>
    <s v="Small Business"/>
    <s v="Scale Bleeding-Edge Schemas"/>
    <x v="1"/>
    <s v="Frazier-Schneider"/>
    <n v="54.8"/>
    <n v="0.38551690769313479"/>
  </r>
  <r>
    <s v="ORD1406"/>
    <d v="2022-05-16T00:00:00"/>
    <x v="1"/>
    <s v="PROD195"/>
    <n v="762.39"/>
    <n v="396.87"/>
    <n v="20"/>
    <s v="Small Business"/>
    <s v="Reinvent Out-Of-The-Box Models"/>
    <x v="0"/>
    <s v="Wagner-Curtis"/>
    <n v="172.34"/>
    <n v="0.52056034313146815"/>
  </r>
  <r>
    <s v="ORD1407"/>
    <d v="2020-11-13T00:00:00"/>
    <x v="2"/>
    <s v="PROD153"/>
    <n v="3232.91"/>
    <n v="364.28"/>
    <n v="1"/>
    <s v="Corporate"/>
    <s v="Seize Plug-And-Play Web-Readiness"/>
    <x v="1"/>
    <s v="Joseph, Mayer and Carr"/>
    <n v="102.73"/>
    <n v="0.11267867030013208"/>
  </r>
  <r>
    <s v="ORD1408"/>
    <d v="2021-04-03T00:00:00"/>
    <x v="1"/>
    <s v="PROD136"/>
    <n v="2581.89"/>
    <n v="521.19000000000005"/>
    <n v="14"/>
    <s v="Corporate"/>
    <s v="Evolve Innovative Web Services"/>
    <x v="2"/>
    <s v="Bush Inc"/>
    <n v="87.75"/>
    <n v="0.20186375097312437"/>
  </r>
  <r>
    <s v="ORD1409"/>
    <d v="2023-01-24T00:00:00"/>
    <x v="0"/>
    <s v="PROD140"/>
    <n v="1663.07"/>
    <n v="207.78"/>
    <n v="19"/>
    <s v="Small Business"/>
    <s v="Extend Bricks-And-Clicks Architectures"/>
    <x v="2"/>
    <s v="Fuller PLC"/>
    <n v="202.99"/>
    <n v="0.12493761537397705"/>
  </r>
  <r>
    <s v="ORD1410"/>
    <d v="2024-07-28T00:00:00"/>
    <x v="2"/>
    <s v="PROD164"/>
    <n v="2062.08"/>
    <n v="769.52"/>
    <n v="16"/>
    <s v="Consumer"/>
    <s v="Transition Compelling Web-Readiness"/>
    <x v="2"/>
    <s v="Wood-Beck"/>
    <n v="88.34"/>
    <n v="0.37317659838609557"/>
  </r>
  <r>
    <s v="ORD1411"/>
    <d v="2021-05-19T00:00:00"/>
    <x v="3"/>
    <s v="PROD155"/>
    <n v="2310.41"/>
    <n v="911.48"/>
    <n v="12"/>
    <s v="Consumer"/>
    <s v="Incentivize User-Centric Mindshare"/>
    <x v="1"/>
    <s v="Becker, Wright and Wong"/>
    <n v="38.51"/>
    <n v="0.39451006531308297"/>
  </r>
  <r>
    <s v="ORD1412"/>
    <d v="2021-12-25T00:00:00"/>
    <x v="2"/>
    <s v="PROD105"/>
    <n v="2467.84"/>
    <n v="208.08"/>
    <n v="13"/>
    <s v="Small Business"/>
    <s v="Transform Holistic Functionalities"/>
    <x v="0"/>
    <s v="Ruiz Ltd"/>
    <n v="179.27"/>
    <n v="8.4316649377593367E-2"/>
  </r>
  <r>
    <s v="ORD1413"/>
    <d v="2020-05-08T00:00:00"/>
    <x v="0"/>
    <s v="PROD117"/>
    <n v="4284.66"/>
    <n v="492.9"/>
    <n v="11"/>
    <s v="Consumer"/>
    <s v="Revolutionize Efficient Niches"/>
    <x v="1"/>
    <s v="Lopez-Torres"/>
    <n v="23.02"/>
    <n v="0.11503829942165773"/>
  </r>
  <r>
    <s v="ORD1414"/>
    <d v="2024-10-29T00:00:00"/>
    <x v="3"/>
    <s v="PROD176"/>
    <n v="53.95"/>
    <n v="597"/>
    <n v="8"/>
    <s v="Corporate"/>
    <s v="Facilitate Integrated E-Business"/>
    <x v="0"/>
    <s v="Chang-Vargas"/>
    <n v="130.33000000000001"/>
    <n v="11.065801668211305"/>
  </r>
  <r>
    <s v="ORD1415"/>
    <d v="2020-11-10T00:00:00"/>
    <x v="3"/>
    <s v="PROD197"/>
    <n v="292.31"/>
    <n v="720.54"/>
    <n v="16"/>
    <s v="Consumer"/>
    <s v="Leverage Rich Portals"/>
    <x v="0"/>
    <s v="Wilson PLC"/>
    <n v="46.35"/>
    <n v="2.4649858027436622"/>
  </r>
  <r>
    <s v="ORD1416"/>
    <d v="2020-04-26T00:00:00"/>
    <x v="2"/>
    <s v="PROD172"/>
    <n v="2154.9899999999998"/>
    <n v="938.7"/>
    <n v="5"/>
    <s v="Small Business"/>
    <s v="E-Enable Virtual Methodologies"/>
    <x v="0"/>
    <s v="Floyd-Love"/>
    <n v="283.64999999999998"/>
    <n v="0.43559366864811444"/>
  </r>
  <r>
    <s v="ORD1417"/>
    <d v="2023-06-02T00:00:00"/>
    <x v="3"/>
    <s v="PROD152"/>
    <n v="3395.75"/>
    <n v="210.46"/>
    <n v="2"/>
    <s v="Consumer"/>
    <s v="Reinvent Frictionless Roi"/>
    <x v="2"/>
    <s v="Bridges, Castillo and Rodriguez"/>
    <n v="253.89"/>
    <n v="6.197747183979975E-2"/>
  </r>
  <r>
    <s v="ORD1418"/>
    <d v="2020-06-22T00:00:00"/>
    <x v="3"/>
    <s v="PROD112"/>
    <n v="4666.78"/>
    <n v="935.66"/>
    <n v="16"/>
    <s v="Corporate"/>
    <s v="Seize Clicks-And-Mortar Platforms"/>
    <x v="0"/>
    <s v="Owens, Campos and Wood"/>
    <n v="271.16000000000003"/>
    <n v="0.20049370229580138"/>
  </r>
  <r>
    <s v="ORD1419"/>
    <d v="2021-09-11T00:00:00"/>
    <x v="3"/>
    <s v="PROD159"/>
    <n v="737.76"/>
    <n v="749.95"/>
    <n v="12"/>
    <s v="Consumer"/>
    <s v="Mesh Intuitive Supply-Chains"/>
    <x v="1"/>
    <s v="Soto, Barnett and Heath"/>
    <n v="281"/>
    <n v="1.0165229885057472"/>
  </r>
  <r>
    <s v="ORD1420"/>
    <d v="2024-07-03T00:00:00"/>
    <x v="2"/>
    <s v="PROD129"/>
    <n v="514.54"/>
    <n v="770.52"/>
    <n v="17"/>
    <s v="Small Business"/>
    <s v="Scale Vertical Networks"/>
    <x v="2"/>
    <s v="Lam, Wood and Jacobs"/>
    <n v="133.24"/>
    <n v="1.4974929062852258"/>
  </r>
  <r>
    <s v="ORD1421"/>
    <d v="2020-07-20T00:00:00"/>
    <x v="0"/>
    <s v="PROD176"/>
    <n v="1329.04"/>
    <n v="153.52000000000001"/>
    <n v="15"/>
    <s v="Consumer"/>
    <s v="Facilitate Integrated E-Business"/>
    <x v="0"/>
    <s v="Chang-Vargas"/>
    <n v="130.33000000000001"/>
    <n v="0.11551194847408656"/>
  </r>
  <r>
    <s v="ORD1422"/>
    <d v="2020-08-30T00:00:00"/>
    <x v="0"/>
    <s v="PROD121"/>
    <n v="2836.21"/>
    <n v="283.31"/>
    <n v="17"/>
    <s v="Small Business"/>
    <s v="Whiteboard B2B Content"/>
    <x v="0"/>
    <s v="Romero PLC"/>
    <n v="93.81"/>
    <n v="9.9890346624544726E-2"/>
  </r>
  <r>
    <s v="ORD1423"/>
    <d v="2023-05-27T00:00:00"/>
    <x v="1"/>
    <s v="PROD130"/>
    <n v="2973.71"/>
    <n v="721.17"/>
    <n v="8"/>
    <s v="Small Business"/>
    <s v="Synthesize Wireless Initiatives"/>
    <x v="1"/>
    <s v="Mosley Ltd"/>
    <n v="162.69999999999999"/>
    <n v="0.2425152419032118"/>
  </r>
  <r>
    <s v="ORD1424"/>
    <d v="2021-11-06T00:00:00"/>
    <x v="3"/>
    <s v="PROD195"/>
    <n v="805.17"/>
    <n v="166.13"/>
    <n v="5"/>
    <s v="Small Business"/>
    <s v="Reinvent Out-Of-The-Box Models"/>
    <x v="0"/>
    <s v="Wagner-Curtis"/>
    <n v="172.34"/>
    <n v="0.20632909820286399"/>
  </r>
  <r>
    <s v="ORD1425"/>
    <d v="2022-06-15T00:00:00"/>
    <x v="0"/>
    <s v="PROD193"/>
    <n v="3137.47"/>
    <n v="676.34"/>
    <n v="19"/>
    <s v="Small Business"/>
    <s v="Innovate Sticky Web Services"/>
    <x v="1"/>
    <s v="Friedman, Sanders and Adams"/>
    <n v="125.85"/>
    <n v="0.21556859507819998"/>
  </r>
  <r>
    <s v="ORD1426"/>
    <d v="2021-07-02T00:00:00"/>
    <x v="3"/>
    <s v="PROD184"/>
    <n v="462.02"/>
    <n v="859.87"/>
    <n v="19"/>
    <s v="Small Business"/>
    <s v="Embrace 24/365 Functionalities"/>
    <x v="0"/>
    <s v="Smith LLC"/>
    <n v="204.04"/>
    <n v="1.8611099086619627"/>
  </r>
  <r>
    <s v="ORD1427"/>
    <d v="2020-06-10T00:00:00"/>
    <x v="2"/>
    <s v="PROD193"/>
    <n v="701.07"/>
    <n v="50.86"/>
    <n v="4"/>
    <s v="Small Business"/>
    <s v="Innovate Sticky Web Services"/>
    <x v="1"/>
    <s v="Friedman, Sanders and Adams"/>
    <n v="125.85"/>
    <n v="7.2546250731025427E-2"/>
  </r>
  <r>
    <s v="ORD1428"/>
    <d v="2022-02-26T00:00:00"/>
    <x v="2"/>
    <s v="PROD163"/>
    <n v="3613.08"/>
    <n v="994.38"/>
    <n v="19"/>
    <s v="Corporate"/>
    <s v="Grow Back-End Supply-Chains"/>
    <x v="1"/>
    <s v="Green LLC"/>
    <n v="140.08000000000001"/>
    <n v="0.27521671261084724"/>
  </r>
  <r>
    <s v="ORD1429"/>
    <d v="2024-06-27T00:00:00"/>
    <x v="2"/>
    <s v="PROD154"/>
    <n v="1025.29"/>
    <n v="676.99"/>
    <n v="5"/>
    <s v="Corporate"/>
    <s v="Utilize Virtual Partnerships"/>
    <x v="2"/>
    <s v="Smith, Diaz and Heath"/>
    <n v="193.02"/>
    <n v="0.66029123467506756"/>
  </r>
  <r>
    <s v="ORD1430"/>
    <d v="2024-10-08T00:00:00"/>
    <x v="3"/>
    <s v="PROD141"/>
    <n v="1631.34"/>
    <n v="676.88"/>
    <n v="6"/>
    <s v="Consumer"/>
    <s v="Re-Contextualize Integrated Info-Mediaries"/>
    <x v="1"/>
    <s v="Jones-Schroeder"/>
    <n v="26.02"/>
    <n v="0.41492270158274797"/>
  </r>
  <r>
    <s v="ORD1431"/>
    <d v="2022-12-06T00:00:00"/>
    <x v="2"/>
    <s v="PROD163"/>
    <n v="1394.39"/>
    <n v="451.58"/>
    <n v="16"/>
    <s v="Consumer"/>
    <s v="Grow Back-End Supply-Chains"/>
    <x v="1"/>
    <s v="Green LLC"/>
    <n v="140.08000000000001"/>
    <n v="0.32385487560868909"/>
  </r>
  <r>
    <s v="ORD1432"/>
    <d v="2024-09-23T00:00:00"/>
    <x v="1"/>
    <s v="PROD134"/>
    <n v="4780.47"/>
    <n v="793.72"/>
    <n v="9"/>
    <s v="Corporate"/>
    <s v="Utilize Ubiquitous Synergies"/>
    <x v="1"/>
    <s v="Kramer, Huang and Shaw"/>
    <n v="295.89999999999998"/>
    <n v="0.16603388369762806"/>
  </r>
  <r>
    <s v="ORD1433"/>
    <d v="2021-01-08T00:00:00"/>
    <x v="3"/>
    <s v="PROD178"/>
    <n v="2836.38"/>
    <n v="530.95000000000005"/>
    <n v="12"/>
    <s v="Corporate"/>
    <s v="Monetize Value-Added Niches"/>
    <x v="0"/>
    <s v="Foster, Velazquez and Lee"/>
    <n v="171.51"/>
    <n v="0.18719283029777392"/>
  </r>
  <r>
    <s v="ORD1434"/>
    <d v="2023-08-13T00:00:00"/>
    <x v="2"/>
    <s v="PROD144"/>
    <n v="973.55"/>
    <n v="621.22"/>
    <n v="8"/>
    <s v="Small Business"/>
    <s v="Expedite Synergistic Web-Readiness"/>
    <x v="1"/>
    <s v="Dunlap, Carpenter and Monroe"/>
    <n v="289.66000000000003"/>
    <n v="0.63809768373478515"/>
  </r>
  <r>
    <s v="ORD1435"/>
    <d v="2022-04-19T00:00:00"/>
    <x v="3"/>
    <s v="PROD184"/>
    <n v="2061.88"/>
    <n v="149.5"/>
    <n v="5"/>
    <s v="Consumer"/>
    <s v="Embrace 24/365 Functionalities"/>
    <x v="0"/>
    <s v="Smith LLC"/>
    <n v="204.04"/>
    <n v="7.2506644421595823E-2"/>
  </r>
  <r>
    <s v="ORD1436"/>
    <d v="2024-04-05T00:00:00"/>
    <x v="1"/>
    <s v="PROD196"/>
    <n v="839.55"/>
    <n v="521.67999999999995"/>
    <n v="6"/>
    <s v="Corporate"/>
    <s v="Strategize E-Business Content"/>
    <x v="1"/>
    <s v="Patterson LLC"/>
    <n v="294.02"/>
    <n v="0.62138050145911494"/>
  </r>
  <r>
    <s v="ORD1437"/>
    <d v="2021-07-27T00:00:00"/>
    <x v="2"/>
    <s v="PROD118"/>
    <n v="2718.55"/>
    <n v="575.29999999999995"/>
    <n v="10"/>
    <s v="Corporate"/>
    <s v="Engineer Real-Time Architectures"/>
    <x v="2"/>
    <s v="James and Sons"/>
    <n v="127.23"/>
    <n v="0.21162016516157509"/>
  </r>
  <r>
    <s v="ORD1438"/>
    <d v="2023-07-15T00:00:00"/>
    <x v="0"/>
    <s v="PROD196"/>
    <n v="4855.71"/>
    <n v="820.77"/>
    <n v="18"/>
    <s v="Small Business"/>
    <s v="Strategize E-Business Content"/>
    <x v="1"/>
    <s v="Patterson LLC"/>
    <n v="294.02"/>
    <n v="0.16903192324088548"/>
  </r>
  <r>
    <s v="ORD1439"/>
    <d v="2021-12-09T00:00:00"/>
    <x v="3"/>
    <s v="PROD167"/>
    <n v="4218.45"/>
    <n v="26.91"/>
    <n v="15"/>
    <s v="Small Business"/>
    <s v="Grow Synergistic Infrastructures"/>
    <x v="2"/>
    <s v="Adams-Carter"/>
    <n v="113.17"/>
    <n v="6.3791202929986135E-3"/>
  </r>
  <r>
    <s v="ORD1440"/>
    <d v="2022-02-14T00:00:00"/>
    <x v="1"/>
    <s v="PROD129"/>
    <n v="4176.04"/>
    <n v="204.87"/>
    <n v="16"/>
    <s v="Small Business"/>
    <s v="Scale Vertical Networks"/>
    <x v="2"/>
    <s v="Lam, Wood and Jacobs"/>
    <n v="133.24"/>
    <n v="4.9058438137565732E-2"/>
  </r>
  <r>
    <s v="ORD1441"/>
    <d v="2020-04-05T00:00:00"/>
    <x v="2"/>
    <s v="PROD162"/>
    <n v="243.84"/>
    <n v="588.99"/>
    <n v="19"/>
    <s v="Corporate"/>
    <s v="Reinvent Visionary Niches"/>
    <x v="2"/>
    <s v="Huber-Richmond"/>
    <n v="219.81"/>
    <n v="2.4154773622047245"/>
  </r>
  <r>
    <s v="ORD1442"/>
    <d v="2024-02-11T00:00:00"/>
    <x v="1"/>
    <s v="PROD103"/>
    <n v="386.12"/>
    <n v="423.58"/>
    <n v="13"/>
    <s v="Corporate"/>
    <s v="Monetize Collaborative Metrics"/>
    <x v="1"/>
    <s v="Ramirez-Brown"/>
    <n v="286.04000000000002"/>
    <n v="1.0970164715632444"/>
  </r>
  <r>
    <s v="ORD1443"/>
    <d v="2023-10-03T00:00:00"/>
    <x v="2"/>
    <s v="PROD119"/>
    <n v="3012.86"/>
    <n v="58.7"/>
    <n v="20"/>
    <s v="Corporate"/>
    <s v="Generate Front-End Functionalities"/>
    <x v="0"/>
    <s v="Morales-Brown"/>
    <n v="299.77"/>
    <n v="1.9483148901708013E-2"/>
  </r>
  <r>
    <s v="ORD1444"/>
    <d v="2023-10-20T00:00:00"/>
    <x v="3"/>
    <s v="PROD139"/>
    <n v="1142.82"/>
    <n v="635.05999999999995"/>
    <n v="9"/>
    <s v="Corporate"/>
    <s v="Re-Contextualize Viral Mindshare"/>
    <x v="1"/>
    <s v="Carter-Lane"/>
    <n v="142.25"/>
    <n v="0.55569556010570342"/>
  </r>
  <r>
    <s v="ORD1445"/>
    <d v="2023-12-31T00:00:00"/>
    <x v="3"/>
    <s v="PROD183"/>
    <n v="4777.6400000000003"/>
    <n v="743.5"/>
    <n v="5"/>
    <s v="Small Business"/>
    <s v="Incentivize Front-End Mindshare"/>
    <x v="1"/>
    <s v="Phillips-Tran"/>
    <n v="196.86"/>
    <n v="0.15562076673838965"/>
  </r>
  <r>
    <s v="ORD1446"/>
    <d v="2024-11-08T00:00:00"/>
    <x v="3"/>
    <s v="PROD154"/>
    <n v="4422.87"/>
    <n v="715.99"/>
    <n v="8"/>
    <s v="Small Business"/>
    <s v="Utilize Virtual Partnerships"/>
    <x v="2"/>
    <s v="Smith, Diaz and Heath"/>
    <n v="193.02"/>
    <n v="0.16188357333586564"/>
  </r>
  <r>
    <s v="ORD1447"/>
    <d v="2021-06-11T00:00:00"/>
    <x v="2"/>
    <s v="PROD160"/>
    <n v="4865.8100000000004"/>
    <n v="411.85"/>
    <n v="13"/>
    <s v="Corporate"/>
    <s v="Deliver Extensible Partnerships"/>
    <x v="2"/>
    <s v="Martin, Paul and Salazar"/>
    <n v="43.76"/>
    <n v="8.4641611571351943E-2"/>
  </r>
  <r>
    <s v="ORD1448"/>
    <d v="2021-05-14T00:00:00"/>
    <x v="2"/>
    <s v="PROD100"/>
    <n v="1952.28"/>
    <n v="249.81"/>
    <n v="18"/>
    <s v="Corporate"/>
    <s v="Synthesize Scalable Portals"/>
    <x v="2"/>
    <s v="Singh, Villa and Flynn"/>
    <n v="298.57"/>
    <n v="0.1279580797836376"/>
  </r>
  <r>
    <s v="ORD1449"/>
    <d v="2021-09-25T00:00:00"/>
    <x v="2"/>
    <s v="PROD178"/>
    <n v="1955.18"/>
    <n v="501.63"/>
    <n v="13"/>
    <s v="Small Business"/>
    <s v="Monetize Value-Added Niches"/>
    <x v="0"/>
    <s v="Foster, Velazquez and Lee"/>
    <n v="171.51"/>
    <n v="0.25656461297681032"/>
  </r>
  <r>
    <s v="ORD1450"/>
    <d v="2022-01-27T00:00:00"/>
    <x v="2"/>
    <s v="PROD193"/>
    <n v="4461.42"/>
    <n v="495.93"/>
    <n v="7"/>
    <s v="Corporate"/>
    <s v="Innovate Sticky Web Services"/>
    <x v="1"/>
    <s v="Friedman, Sanders and Adams"/>
    <n v="125.85"/>
    <n v="0.11115967561897333"/>
  </r>
  <r>
    <s v="ORD1451"/>
    <d v="2020-01-29T00:00:00"/>
    <x v="0"/>
    <s v="PROD177"/>
    <n v="1094.4000000000001"/>
    <n v="306.77"/>
    <n v="19"/>
    <s v="Consumer"/>
    <s v="Deploy Granular Channels"/>
    <x v="2"/>
    <s v="Barnes Ltd"/>
    <n v="288.99"/>
    <n v="0.28030884502923975"/>
  </r>
  <r>
    <s v="ORD1452"/>
    <d v="2021-11-14T00:00:00"/>
    <x v="0"/>
    <s v="PROD138"/>
    <n v="1060"/>
    <n v="639.26"/>
    <n v="8"/>
    <s v="Corporate"/>
    <s v="Deliver Viral Eyeballs"/>
    <x v="0"/>
    <s v="Estes, Chan and Thomas"/>
    <n v="16.89"/>
    <n v="0.60307547169811315"/>
  </r>
  <r>
    <s v="ORD1453"/>
    <d v="2023-10-16T00:00:00"/>
    <x v="0"/>
    <s v="PROD152"/>
    <n v="1651.62"/>
    <n v="512.22"/>
    <n v="3"/>
    <s v="Consumer"/>
    <s v="Reinvent Frictionless Roi"/>
    <x v="2"/>
    <s v="Bridges, Castillo and Rodriguez"/>
    <n v="253.89"/>
    <n v="0.31013187052711888"/>
  </r>
  <r>
    <s v="ORD1454"/>
    <d v="2021-06-25T00:00:00"/>
    <x v="0"/>
    <s v="PROD188"/>
    <n v="4921.7299999999996"/>
    <n v="508.18"/>
    <n v="3"/>
    <s v="Small Business"/>
    <s v="Transition Mission-Critical Interfaces"/>
    <x v="0"/>
    <s v="Weaver Ltd"/>
    <n v="34.64"/>
    <n v="0.10325231168715067"/>
  </r>
  <r>
    <s v="ORD1455"/>
    <d v="2022-02-01T00:00:00"/>
    <x v="2"/>
    <s v="PROD178"/>
    <n v="1426.56"/>
    <n v="140.30000000000001"/>
    <n v="18"/>
    <s v="Consumer"/>
    <s v="Monetize Value-Added Niches"/>
    <x v="0"/>
    <s v="Foster, Velazquez and Lee"/>
    <n v="171.51"/>
    <n v="9.8348474652310461E-2"/>
  </r>
  <r>
    <s v="ORD1456"/>
    <d v="2022-03-02T00:00:00"/>
    <x v="0"/>
    <s v="PROD125"/>
    <n v="476.19"/>
    <n v="831.67"/>
    <n v="3"/>
    <s v="Corporate"/>
    <s v="Leverage Cutting-Edge Vortals"/>
    <x v="1"/>
    <s v="Robinson, Garrett and Chavez"/>
    <n v="117.3"/>
    <n v="1.7465087465087463"/>
  </r>
  <r>
    <s v="ORD1457"/>
    <d v="2022-03-15T00:00:00"/>
    <x v="3"/>
    <s v="PROD135"/>
    <n v="4343.68"/>
    <n v="362.28"/>
    <n v="10"/>
    <s v="Small Business"/>
    <s v="Optimize 24/365 E-Services"/>
    <x v="0"/>
    <s v="Chase Ltd"/>
    <n v="100.35"/>
    <n v="8.3403933991454238E-2"/>
  </r>
  <r>
    <s v="ORD1458"/>
    <d v="2022-04-27T00:00:00"/>
    <x v="0"/>
    <s v="PROD139"/>
    <n v="3987.63"/>
    <n v="650.99"/>
    <n v="5"/>
    <s v="Corporate"/>
    <s v="Re-Contextualize Viral Mindshare"/>
    <x v="1"/>
    <s v="Carter-Lane"/>
    <n v="142.25"/>
    <n v="0.16325235791685788"/>
  </r>
  <r>
    <s v="ORD1459"/>
    <d v="2023-04-30T00:00:00"/>
    <x v="2"/>
    <s v="PROD107"/>
    <n v="4009.24"/>
    <n v="640.36"/>
    <n v="19"/>
    <s v="Corporate"/>
    <s v="Utilize Back-End Models"/>
    <x v="2"/>
    <s v="Lewis-Holden"/>
    <n v="241.53"/>
    <n v="0.15972104438746496"/>
  </r>
  <r>
    <s v="ORD1460"/>
    <d v="2021-02-10T00:00:00"/>
    <x v="0"/>
    <s v="PROD167"/>
    <n v="4332.34"/>
    <n v="664.23"/>
    <n v="1"/>
    <s v="Small Business"/>
    <s v="Grow Synergistic Infrastructures"/>
    <x v="2"/>
    <s v="Adams-Carter"/>
    <n v="113.17"/>
    <n v="0.15331899158422468"/>
  </r>
  <r>
    <s v="ORD1461"/>
    <d v="2022-12-23T00:00:00"/>
    <x v="0"/>
    <s v="PROD115"/>
    <n v="1205.3499999999999"/>
    <n v="513.33000000000004"/>
    <n v="7"/>
    <s v="Small Business"/>
    <s v="Morph World-Class Synergies"/>
    <x v="1"/>
    <s v="Bryant Ltd"/>
    <n v="20.69"/>
    <n v="0.42587630148919409"/>
  </r>
  <r>
    <s v="ORD1462"/>
    <d v="2021-11-07T00:00:00"/>
    <x v="3"/>
    <s v="PROD198"/>
    <n v="1270.5999999999999"/>
    <n v="413.52"/>
    <n v="18"/>
    <s v="Corporate"/>
    <s v="Visualize Dynamic E-Commerce"/>
    <x v="2"/>
    <s v="Jones LLC"/>
    <n v="92.61"/>
    <n v="0.32545254210609165"/>
  </r>
  <r>
    <s v="ORD1463"/>
    <d v="2023-03-17T00:00:00"/>
    <x v="0"/>
    <s v="PROD144"/>
    <n v="2511.1799999999998"/>
    <n v="391.4"/>
    <n v="14"/>
    <s v="Small Business"/>
    <s v="Expedite Synergistic Web-Readiness"/>
    <x v="1"/>
    <s v="Dunlap, Carpenter and Monroe"/>
    <n v="289.66000000000003"/>
    <n v="0.15586298075008562"/>
  </r>
  <r>
    <s v="ORD1464"/>
    <d v="2022-08-15T00:00:00"/>
    <x v="3"/>
    <s v="PROD141"/>
    <n v="2601.2800000000002"/>
    <n v="636.66999999999996"/>
    <n v="16"/>
    <s v="Corporate"/>
    <s v="Re-Contextualize Integrated Info-Mediaries"/>
    <x v="1"/>
    <s v="Jones-Schroeder"/>
    <n v="26.02"/>
    <n v="0.24475258334358466"/>
  </r>
  <r>
    <s v="ORD1465"/>
    <d v="2024-07-31T00:00:00"/>
    <x v="0"/>
    <s v="PROD149"/>
    <n v="4228.4799999999996"/>
    <n v="464.12"/>
    <n v="9"/>
    <s v="Consumer"/>
    <s v="Envisioneer B2C Web-Readiness"/>
    <x v="1"/>
    <s v="Kemp Group"/>
    <n v="97.23"/>
    <n v="0.10976048130770397"/>
  </r>
  <r>
    <s v="ORD1466"/>
    <d v="2022-09-28T00:00:00"/>
    <x v="1"/>
    <s v="PROD154"/>
    <n v="2657.27"/>
    <n v="506.81"/>
    <n v="7"/>
    <s v="Corporate"/>
    <s v="Utilize Virtual Partnerships"/>
    <x v="2"/>
    <s v="Smith, Diaz and Heath"/>
    <n v="193.02"/>
    <n v="0.1907258201086077"/>
  </r>
  <r>
    <s v="ORD1467"/>
    <d v="2020-10-23T00:00:00"/>
    <x v="2"/>
    <s v="PROD162"/>
    <n v="4049.19"/>
    <n v="873.22"/>
    <n v="7"/>
    <s v="Consumer"/>
    <s v="Reinvent Visionary Niches"/>
    <x v="2"/>
    <s v="Huber-Richmond"/>
    <n v="219.81"/>
    <n v="0.21565300714463881"/>
  </r>
  <r>
    <s v="ORD1468"/>
    <d v="2021-07-06T00:00:00"/>
    <x v="2"/>
    <s v="PROD169"/>
    <n v="3156.73"/>
    <n v="536.03"/>
    <n v="14"/>
    <s v="Corporate"/>
    <s v="Unleash End-To-End Web Services"/>
    <x v="0"/>
    <s v="Jones Ltd"/>
    <n v="188.02"/>
    <n v="0.16980546324836143"/>
  </r>
  <r>
    <s v="ORD1469"/>
    <d v="2023-09-22T00:00:00"/>
    <x v="0"/>
    <s v="PROD164"/>
    <n v="861.55"/>
    <n v="460.38"/>
    <n v="7"/>
    <s v="Consumer"/>
    <s v="Transition Compelling Web-Readiness"/>
    <x v="2"/>
    <s v="Wood-Beck"/>
    <n v="88.34"/>
    <n v="0.53436248621670246"/>
  </r>
  <r>
    <s v="ORD1470"/>
    <d v="2023-04-29T00:00:00"/>
    <x v="2"/>
    <s v="PROD167"/>
    <n v="4542.3"/>
    <n v="621.69000000000005"/>
    <n v="17"/>
    <s v="Corporate"/>
    <s v="Grow Synergistic Infrastructures"/>
    <x v="2"/>
    <s v="Adams-Carter"/>
    <n v="113.17"/>
    <n v="0.13686678554917114"/>
  </r>
  <r>
    <s v="ORD1471"/>
    <d v="2020-10-11T00:00:00"/>
    <x v="0"/>
    <s v="PROD148"/>
    <n v="2737.26"/>
    <n v="89.34"/>
    <n v="2"/>
    <s v="Small Business"/>
    <s v="Empower Seamless Roi"/>
    <x v="0"/>
    <s v="Proctor Group"/>
    <n v="266.64999999999998"/>
    <n v="3.2638477893952342E-2"/>
  </r>
  <r>
    <s v="ORD1472"/>
    <d v="2022-02-28T00:00:00"/>
    <x v="3"/>
    <s v="PROD113"/>
    <n v="4989.46"/>
    <n v="524.02"/>
    <n v="4"/>
    <s v="Corporate"/>
    <s v="Envisioneer B2B Users"/>
    <x v="0"/>
    <s v="Rogers Group"/>
    <n v="239.16"/>
    <n v="0.10502539352956031"/>
  </r>
  <r>
    <s v="ORD1473"/>
    <d v="2020-10-22T00:00:00"/>
    <x v="0"/>
    <s v="PROD180"/>
    <n v="2131.4"/>
    <n v="37.049999999999997"/>
    <n v="20"/>
    <s v="Small Business"/>
    <s v="Iterate Extensible Roi"/>
    <x v="0"/>
    <s v="Hill-Kelly"/>
    <n v="180"/>
    <n v="1.7382940790091016E-2"/>
  </r>
  <r>
    <s v="ORD1474"/>
    <d v="2021-01-11T00:00:00"/>
    <x v="2"/>
    <s v="PROD125"/>
    <n v="4722.8999999999996"/>
    <n v="393.95"/>
    <n v="4"/>
    <s v="Corporate"/>
    <s v="Leverage Cutting-Edge Vortals"/>
    <x v="1"/>
    <s v="Robinson, Garrett and Chavez"/>
    <n v="117.3"/>
    <n v="8.3412733701751049E-2"/>
  </r>
  <r>
    <s v="ORD1475"/>
    <d v="2023-09-18T00:00:00"/>
    <x v="0"/>
    <s v="PROD102"/>
    <n v="4008.47"/>
    <n v="107.55"/>
    <n v="1"/>
    <s v="Corporate"/>
    <s v="Optimize Transparent E-Markets"/>
    <x v="0"/>
    <s v="Lee, Tyler and Blevins"/>
    <n v="111.22"/>
    <n v="2.6830686022347679E-2"/>
  </r>
  <r>
    <s v="ORD1476"/>
    <d v="2022-05-13T00:00:00"/>
    <x v="3"/>
    <s v="PROD162"/>
    <n v="1779.15"/>
    <n v="275.64"/>
    <n v="3"/>
    <s v="Consumer"/>
    <s v="Reinvent Visionary Niches"/>
    <x v="2"/>
    <s v="Huber-Richmond"/>
    <n v="219.81"/>
    <n v="0.15492791501559733"/>
  </r>
  <r>
    <s v="ORD1477"/>
    <d v="2023-09-07T00:00:00"/>
    <x v="0"/>
    <s v="PROD132"/>
    <n v="3304.16"/>
    <n v="432.07"/>
    <n v="8"/>
    <s v="Consumer"/>
    <s v="Synergize End-To-End Roi"/>
    <x v="1"/>
    <s v="Evans-Smith"/>
    <n v="159.85"/>
    <n v="0.13076545929979178"/>
  </r>
  <r>
    <s v="ORD1478"/>
    <d v="2024-09-08T00:00:00"/>
    <x v="3"/>
    <s v="PROD109"/>
    <n v="272.81"/>
    <n v="283.83999999999997"/>
    <n v="19"/>
    <s v="Corporate"/>
    <s v="Orchestrate E-Business Niches"/>
    <x v="2"/>
    <s v="Johnson LLC"/>
    <n v="198.99"/>
    <n v="1.0404310692423298"/>
  </r>
  <r>
    <s v="ORD1479"/>
    <d v="2021-07-30T00:00:00"/>
    <x v="2"/>
    <s v="PROD119"/>
    <n v="926.86"/>
    <n v="851.72"/>
    <n v="2"/>
    <s v="Corporate"/>
    <s v="Generate Front-End Functionalities"/>
    <x v="0"/>
    <s v="Morales-Brown"/>
    <n v="299.77"/>
    <n v="0.91893058282804307"/>
  </r>
  <r>
    <s v="ORD1480"/>
    <d v="2022-11-01T00:00:00"/>
    <x v="2"/>
    <s v="PROD119"/>
    <n v="4350.05"/>
    <n v="948.81"/>
    <n v="12"/>
    <s v="Consumer"/>
    <s v="Generate Front-End Functionalities"/>
    <x v="0"/>
    <s v="Morales-Brown"/>
    <n v="299.77"/>
    <n v="0.21811473431339867"/>
  </r>
  <r>
    <s v="ORD1481"/>
    <d v="2024-01-03T00:00:00"/>
    <x v="3"/>
    <s v="PROD104"/>
    <n v="1049.9100000000001"/>
    <n v="480.33"/>
    <n v="9"/>
    <s v="Small Business"/>
    <s v="Implement Clicks-And-Mortar Partnerships"/>
    <x v="1"/>
    <s v="Smith Inc"/>
    <n v="195.53"/>
    <n v="0.45749635683058543"/>
  </r>
  <r>
    <s v="ORD1482"/>
    <d v="2020-06-27T00:00:00"/>
    <x v="2"/>
    <s v="PROD184"/>
    <n v="299.54000000000002"/>
    <n v="13.21"/>
    <n v="10"/>
    <s v="Consumer"/>
    <s v="Embrace 24/365 Functionalities"/>
    <x v="0"/>
    <s v="Smith LLC"/>
    <n v="204.04"/>
    <n v="4.4100954797355943E-2"/>
  </r>
  <r>
    <s v="ORD1483"/>
    <d v="2022-01-20T00:00:00"/>
    <x v="2"/>
    <s v="PROD114"/>
    <n v="3684.61"/>
    <n v="345.04"/>
    <n v="18"/>
    <s v="Consumer"/>
    <s v="Orchestrate User-Centric Platforms"/>
    <x v="2"/>
    <s v="Wells Ltd"/>
    <n v="201.87"/>
    <n v="9.3643560648209723E-2"/>
  </r>
  <r>
    <s v="ORD1484"/>
    <d v="2024-08-23T00:00:00"/>
    <x v="0"/>
    <s v="PROD133"/>
    <n v="1570.26"/>
    <n v="192.79"/>
    <n v="11"/>
    <s v="Corporate"/>
    <s v="Re-Intermediate Seamless Applications"/>
    <x v="0"/>
    <s v="Welch-Reed"/>
    <n v="45.82"/>
    <n v="0.1227758460382357"/>
  </r>
  <r>
    <s v="ORD1485"/>
    <d v="2021-08-22T00:00:00"/>
    <x v="1"/>
    <s v="PROD194"/>
    <n v="1789.75"/>
    <n v="515.46"/>
    <n v="9"/>
    <s v="Corporate"/>
    <s v="Leverage Scalable Interfaces"/>
    <x v="0"/>
    <s v="Kaufman-Jones"/>
    <n v="73.33"/>
    <n v="0.28800670484704571"/>
  </r>
  <r>
    <s v="ORD1486"/>
    <d v="2021-05-20T00:00:00"/>
    <x v="2"/>
    <s v="PROD106"/>
    <n v="2876.53"/>
    <n v="911.94"/>
    <n v="16"/>
    <s v="Small Business"/>
    <s v="Synergize End-To-End Supply-Chains"/>
    <x v="0"/>
    <s v="Higgins-Espinoza"/>
    <n v="279.8"/>
    <n v="0.31702780781010453"/>
  </r>
  <r>
    <s v="ORD1487"/>
    <d v="2020-01-31T00:00:00"/>
    <x v="0"/>
    <s v="PROD187"/>
    <n v="185.33"/>
    <n v="887.49"/>
    <n v="14"/>
    <s v="Small Business"/>
    <s v="Whiteboard Compelling Experiences"/>
    <x v="2"/>
    <s v="Carrillo, Carr and Ball"/>
    <n v="206.54"/>
    <n v="4.7887012356337344"/>
  </r>
  <r>
    <s v="ORD1488"/>
    <d v="2023-09-29T00:00:00"/>
    <x v="3"/>
    <s v="PROD100"/>
    <n v="3956.33"/>
    <n v="370.85"/>
    <n v="13"/>
    <s v="Consumer"/>
    <s v="Synthesize Scalable Portals"/>
    <x v="2"/>
    <s v="Singh, Villa and Flynn"/>
    <n v="298.57"/>
    <n v="9.3735861265364623E-2"/>
  </r>
  <r>
    <s v="ORD1489"/>
    <d v="2021-12-25T00:00:00"/>
    <x v="2"/>
    <s v="PROD184"/>
    <n v="4174.1000000000004"/>
    <n v="761.03"/>
    <n v="12"/>
    <s v="Corporate"/>
    <s v="Embrace 24/365 Functionalities"/>
    <x v="0"/>
    <s v="Smith LLC"/>
    <n v="204.04"/>
    <n v="0.18232193766320881"/>
  </r>
  <r>
    <s v="ORD1490"/>
    <d v="2024-10-24T00:00:00"/>
    <x v="2"/>
    <s v="PROD175"/>
    <n v="2178.37"/>
    <n v="893.02"/>
    <n v="13"/>
    <s v="Corporate"/>
    <s v="Empower Bleeding-Edge Action-Items"/>
    <x v="2"/>
    <s v="Gray, Hayes and Banks"/>
    <n v="204.26"/>
    <n v="0.40994872312784331"/>
  </r>
  <r>
    <s v="ORD1491"/>
    <d v="2021-12-20T00:00:00"/>
    <x v="2"/>
    <s v="PROD148"/>
    <n v="3764.5"/>
    <n v="990.04"/>
    <n v="18"/>
    <s v="Consumer"/>
    <s v="Empower Seamless Roi"/>
    <x v="0"/>
    <s v="Proctor Group"/>
    <n v="266.64999999999998"/>
    <n v="0.2629937574711117"/>
  </r>
  <r>
    <s v="ORD1492"/>
    <d v="2024-05-31T00:00:00"/>
    <x v="3"/>
    <s v="PROD159"/>
    <n v="4903.57"/>
    <n v="650.22"/>
    <n v="14"/>
    <s v="Small Business"/>
    <s v="Mesh Intuitive Supply-Chains"/>
    <x v="1"/>
    <s v="Soto, Barnett and Heath"/>
    <n v="281"/>
    <n v="0.13260134962894382"/>
  </r>
  <r>
    <s v="ORD1493"/>
    <d v="2022-08-26T00:00:00"/>
    <x v="1"/>
    <s v="PROD103"/>
    <n v="1807"/>
    <n v="102.34"/>
    <n v="16"/>
    <s v="Small Business"/>
    <s v="Monetize Collaborative Metrics"/>
    <x v="1"/>
    <s v="Ramirez-Brown"/>
    <n v="286.04000000000002"/>
    <n v="5.6635307138904266E-2"/>
  </r>
  <r>
    <s v="ORD1494"/>
    <d v="2020-01-24T00:00:00"/>
    <x v="2"/>
    <s v="PROD197"/>
    <n v="2477.65"/>
    <n v="179.64"/>
    <n v="3"/>
    <s v="Corporate"/>
    <s v="Leverage Rich Portals"/>
    <x v="0"/>
    <s v="Wilson PLC"/>
    <n v="46.35"/>
    <n v="7.2504187435674924E-2"/>
  </r>
  <r>
    <s v="ORD1495"/>
    <d v="2024-05-04T00:00:00"/>
    <x v="0"/>
    <s v="PROD163"/>
    <n v="2961.17"/>
    <n v="970.38"/>
    <n v="7"/>
    <s v="Consumer"/>
    <s v="Grow Back-End Supply-Chains"/>
    <x v="1"/>
    <s v="Green LLC"/>
    <n v="140.08000000000001"/>
    <n v="0.32770155040068621"/>
  </r>
  <r>
    <s v="ORD1496"/>
    <d v="2022-08-06T00:00:00"/>
    <x v="0"/>
    <s v="PROD130"/>
    <n v="3807.76"/>
    <n v="698.66"/>
    <n v="20"/>
    <s v="Small Business"/>
    <s v="Synthesize Wireless Initiatives"/>
    <x v="1"/>
    <s v="Mosley Ltd"/>
    <n v="162.69999999999999"/>
    <n v="0.18348320272286067"/>
  </r>
  <r>
    <s v="ORD1497"/>
    <d v="2024-01-13T00:00:00"/>
    <x v="0"/>
    <s v="PROD140"/>
    <n v="4583.2299999999996"/>
    <n v="363.38"/>
    <n v="8"/>
    <s v="Consumer"/>
    <s v="Extend Bricks-And-Clicks Architectures"/>
    <x v="2"/>
    <s v="Fuller PLC"/>
    <n v="202.99"/>
    <n v="7.9284696600432455E-2"/>
  </r>
  <r>
    <s v="ORD1498"/>
    <d v="2022-10-11T00:00:00"/>
    <x v="2"/>
    <s v="PROD161"/>
    <n v="4340.09"/>
    <n v="815.1"/>
    <n v="3"/>
    <s v="Small Business"/>
    <s v="Synergize E-Business Deliverables"/>
    <x v="1"/>
    <s v="Crawford, Warren and Williams"/>
    <n v="125.93"/>
    <n v="0.18780716528919908"/>
  </r>
  <r>
    <s v="ORD1499"/>
    <d v="2020-11-25T00:00:00"/>
    <x v="2"/>
    <s v="PROD132"/>
    <n v="2181.38"/>
    <n v="460.56"/>
    <n v="18"/>
    <s v="Corporate"/>
    <s v="Synergize End-To-End Roi"/>
    <x v="1"/>
    <s v="Evans-Smith"/>
    <n v="159.85"/>
    <n v="0.21113240242415351"/>
  </r>
  <r>
    <s v="ORD1500"/>
    <d v="2024-07-28T00:00:00"/>
    <x v="2"/>
    <s v="PROD139"/>
    <n v="3184.06"/>
    <n v="239.27"/>
    <n v="2"/>
    <s v="Consumer"/>
    <s v="Re-Contextualize Viral Mindshare"/>
    <x v="1"/>
    <s v="Carter-Lane"/>
    <n v="142.25"/>
    <n v="7.5146196993775241E-2"/>
  </r>
  <r>
    <s v="ORD1501"/>
    <d v="2021-05-25T00:00:00"/>
    <x v="1"/>
    <s v="PROD118"/>
    <n v="2795.92"/>
    <n v="129.6"/>
    <n v="12"/>
    <s v="Small Business"/>
    <s v="Engineer Real-Time Architectures"/>
    <x v="2"/>
    <s v="James and Sons"/>
    <n v="127.23"/>
    <n v="4.6353257603937159E-2"/>
  </r>
  <r>
    <s v="ORD1502"/>
    <d v="2024-09-13T00:00:00"/>
    <x v="0"/>
    <s v="PROD197"/>
    <n v="1614.85"/>
    <n v="701.06"/>
    <n v="1"/>
    <s v="Corporate"/>
    <s v="Leverage Rich Portals"/>
    <x v="0"/>
    <s v="Wilson PLC"/>
    <n v="46.35"/>
    <n v="0.43413320122612009"/>
  </r>
  <r>
    <s v="ORD1503"/>
    <d v="2024-04-06T00:00:00"/>
    <x v="3"/>
    <s v="PROD145"/>
    <n v="3168.57"/>
    <n v="227.47"/>
    <n v="3"/>
    <s v="Corporate"/>
    <s v="Innovate Strategic Systems"/>
    <x v="0"/>
    <s v="Mcfarland, Parker and Armstrong"/>
    <n v="70.239999999999995"/>
    <n v="7.1789482321678227E-2"/>
  </r>
  <r>
    <s v="ORD1504"/>
    <d v="2021-01-27T00:00:00"/>
    <x v="1"/>
    <s v="PROD162"/>
    <n v="1894.91"/>
    <n v="670.99"/>
    <n v="15"/>
    <s v="Small Business"/>
    <s v="Reinvent Visionary Niches"/>
    <x v="2"/>
    <s v="Huber-Richmond"/>
    <n v="219.81"/>
    <n v="0.35410125019130195"/>
  </r>
  <r>
    <s v="ORD1505"/>
    <d v="2022-01-20T00:00:00"/>
    <x v="1"/>
    <s v="PROD168"/>
    <n v="1933.3"/>
    <n v="952.31"/>
    <n v="14"/>
    <s v="Consumer"/>
    <s v="Facilitate End-To-End Experiences"/>
    <x v="0"/>
    <s v="Pierce-Goodwin"/>
    <n v="260.52999999999997"/>
    <n v="0.49258263073501268"/>
  </r>
  <r>
    <s v="ORD1506"/>
    <d v="2024-10-23T00:00:00"/>
    <x v="0"/>
    <s v="PROD199"/>
    <n v="962.9"/>
    <n v="467.39"/>
    <n v="15"/>
    <s v="Small Business"/>
    <s v="Scale Cross-Platform Web Services"/>
    <x v="2"/>
    <s v="Morrow, Brock and Lewis"/>
    <n v="115.21"/>
    <n v="0.48539827604112579"/>
  </r>
  <r>
    <s v="ORD1507"/>
    <d v="2024-07-01T00:00:00"/>
    <x v="0"/>
    <s v="PROD174"/>
    <n v="1335.07"/>
    <n v="955.4"/>
    <n v="3"/>
    <s v="Corporate"/>
    <s v="Disintermediate Scalable Bandwidth"/>
    <x v="1"/>
    <s v="Levy PLC"/>
    <n v="19.86"/>
    <n v="0.71561790767525302"/>
  </r>
  <r>
    <s v="ORD1508"/>
    <d v="2022-06-09T00:00:00"/>
    <x v="1"/>
    <s v="PROD166"/>
    <n v="83.48"/>
    <n v="709.02"/>
    <n v="1"/>
    <s v="Corporate"/>
    <s v="Monetize Wireless Functionalities"/>
    <x v="2"/>
    <s v="Robinson, Rodriguez and Hernandez"/>
    <n v="162.22"/>
    <n v="8.4932918064206984"/>
  </r>
  <r>
    <s v="ORD1509"/>
    <d v="2023-07-21T00:00:00"/>
    <x v="1"/>
    <s v="PROD108"/>
    <n v="2535.19"/>
    <n v="222.79"/>
    <n v="7"/>
    <s v="Consumer"/>
    <s v="Synergize World-Class Networks"/>
    <x v="1"/>
    <s v="Gomez-Lawrence"/>
    <n v="72.37"/>
    <n v="8.7879014985070142E-2"/>
  </r>
  <r>
    <s v="ORD1510"/>
    <d v="2022-06-05T00:00:00"/>
    <x v="2"/>
    <s v="PROD103"/>
    <n v="2467.2399999999998"/>
    <n v="184.37"/>
    <n v="15"/>
    <s v="Consumer"/>
    <s v="Monetize Collaborative Metrics"/>
    <x v="1"/>
    <s v="Ramirez-Brown"/>
    <n v="286.04000000000002"/>
    <n v="7.4727225563787886E-2"/>
  </r>
  <r>
    <s v="ORD1511"/>
    <d v="2024-05-26T00:00:00"/>
    <x v="2"/>
    <s v="PROD183"/>
    <n v="4961.92"/>
    <n v="852.07"/>
    <n v="3"/>
    <s v="Consumer"/>
    <s v="Incentivize Front-End Mindshare"/>
    <x v="1"/>
    <s v="Phillips-Tran"/>
    <n v="196.86"/>
    <n v="0.17172183348381273"/>
  </r>
  <r>
    <s v="ORD1512"/>
    <d v="2023-12-06T00:00:00"/>
    <x v="1"/>
    <s v="PROD181"/>
    <n v="2649.04"/>
    <n v="994.35"/>
    <n v="6"/>
    <s v="Consumer"/>
    <s v="Extend Bricks-And-Clicks Niches"/>
    <x v="0"/>
    <s v="Hernandez-Rios"/>
    <n v="65.989999999999995"/>
    <n v="0.37536239543381755"/>
  </r>
  <r>
    <s v="ORD1513"/>
    <d v="2020-04-20T00:00:00"/>
    <x v="3"/>
    <s v="PROD118"/>
    <n v="1092.51"/>
    <n v="346.8"/>
    <n v="4"/>
    <s v="Consumer"/>
    <s v="Engineer Real-Time Architectures"/>
    <x v="2"/>
    <s v="James and Sons"/>
    <n v="127.23"/>
    <n v="0.31743416536233077"/>
  </r>
  <r>
    <s v="ORD1514"/>
    <d v="2023-07-05T00:00:00"/>
    <x v="0"/>
    <s v="PROD152"/>
    <n v="2348.21"/>
    <n v="521.46"/>
    <n v="18"/>
    <s v="Corporate"/>
    <s v="Reinvent Frictionless Roi"/>
    <x v="2"/>
    <s v="Bridges, Castillo and Rodriguez"/>
    <n v="253.89"/>
    <n v="0.22206702126300459"/>
  </r>
  <r>
    <s v="ORD1515"/>
    <d v="2021-07-01T00:00:00"/>
    <x v="2"/>
    <s v="PROD123"/>
    <n v="4400.38"/>
    <n v="921.52"/>
    <n v="17"/>
    <s v="Corporate"/>
    <s v="Redefine Real-Time Convergence"/>
    <x v="1"/>
    <s v="Hayes, Peters and Douglas"/>
    <n v="78.260000000000005"/>
    <n v="0.20941827751239664"/>
  </r>
  <r>
    <s v="ORD1516"/>
    <d v="2020-07-14T00:00:00"/>
    <x v="2"/>
    <s v="PROD117"/>
    <n v="3828.6"/>
    <n v="580.30999999999995"/>
    <n v="20"/>
    <s v="Small Business"/>
    <s v="Revolutionize Efficient Niches"/>
    <x v="1"/>
    <s v="Lopez-Torres"/>
    <n v="23.02"/>
    <n v="0.15157237632554979"/>
  </r>
  <r>
    <s v="ORD1517"/>
    <d v="2023-03-15T00:00:00"/>
    <x v="1"/>
    <s v="PROD180"/>
    <n v="3518.59"/>
    <n v="74.91"/>
    <n v="2"/>
    <s v="Small Business"/>
    <s v="Iterate Extensible Roi"/>
    <x v="0"/>
    <s v="Hill-Kelly"/>
    <n v="180"/>
    <n v="2.1289778007667841E-2"/>
  </r>
  <r>
    <s v="ORD1518"/>
    <d v="2020-09-09T00:00:00"/>
    <x v="1"/>
    <s v="PROD193"/>
    <n v="65.02"/>
    <n v="162.52000000000001"/>
    <n v="9"/>
    <s v="Corporate"/>
    <s v="Innovate Sticky Web Services"/>
    <x v="1"/>
    <s v="Friedman, Sanders and Adams"/>
    <n v="125.85"/>
    <n v="2.4995386035066138"/>
  </r>
  <r>
    <s v="ORD1519"/>
    <d v="2024-10-04T00:00:00"/>
    <x v="1"/>
    <s v="PROD115"/>
    <n v="3835.8"/>
    <n v="33.6"/>
    <n v="10"/>
    <s v="Consumer"/>
    <s v="Morph World-Class Synergies"/>
    <x v="1"/>
    <s v="Bryant Ltd"/>
    <n v="20.69"/>
    <n v="8.7595807914906936E-3"/>
  </r>
  <r>
    <s v="ORD1520"/>
    <d v="2020-11-07T00:00:00"/>
    <x v="2"/>
    <s v="PROD121"/>
    <n v="4827.58"/>
    <n v="110.15"/>
    <n v="16"/>
    <s v="Consumer"/>
    <s v="Whiteboard B2B Content"/>
    <x v="0"/>
    <s v="Romero PLC"/>
    <n v="93.81"/>
    <n v="2.2816815050190779E-2"/>
  </r>
  <r>
    <s v="ORD1521"/>
    <d v="2023-07-04T00:00:00"/>
    <x v="1"/>
    <s v="PROD179"/>
    <n v="4694.45"/>
    <n v="643.99"/>
    <n v="1"/>
    <s v="Consumer"/>
    <s v="Target Viral Methodologies"/>
    <x v="1"/>
    <s v="Alvarez, Myers and Walter"/>
    <n v="149.26"/>
    <n v="0.13718113943060423"/>
  </r>
  <r>
    <s v="ORD1522"/>
    <d v="2021-07-06T00:00:00"/>
    <x v="3"/>
    <s v="PROD113"/>
    <n v="2285.91"/>
    <n v="942.75"/>
    <n v="8"/>
    <s v="Small Business"/>
    <s v="Envisioneer B2B Users"/>
    <x v="0"/>
    <s v="Rogers Group"/>
    <n v="239.16"/>
    <n v="0.41241781172487108"/>
  </r>
  <r>
    <s v="ORD1523"/>
    <d v="2021-03-17T00:00:00"/>
    <x v="1"/>
    <s v="PROD117"/>
    <n v="131.66"/>
    <n v="257.12"/>
    <n v="14"/>
    <s v="Consumer"/>
    <s v="Revolutionize Efficient Niches"/>
    <x v="1"/>
    <s v="Lopez-Torres"/>
    <n v="23.02"/>
    <n v="1.9529090080510407"/>
  </r>
  <r>
    <s v="ORD1524"/>
    <d v="2024-02-16T00:00:00"/>
    <x v="1"/>
    <s v="PROD134"/>
    <n v="3660.28"/>
    <n v="854.99"/>
    <n v="14"/>
    <s v="Small Business"/>
    <s v="Utilize Ubiquitous Synergies"/>
    <x v="1"/>
    <s v="Kramer, Huang and Shaw"/>
    <n v="295.89999999999998"/>
    <n v="0.23358595517282829"/>
  </r>
  <r>
    <s v="ORD1525"/>
    <d v="2022-02-07T00:00:00"/>
    <x v="3"/>
    <s v="PROD147"/>
    <n v="3052.67"/>
    <n v="463.77"/>
    <n v="8"/>
    <s v="Consumer"/>
    <s v="Brand B2C Info-Mediaries"/>
    <x v="0"/>
    <s v="Preston Ltd"/>
    <n v="13.46"/>
    <n v="0.15192274304133757"/>
  </r>
  <r>
    <s v="ORD1526"/>
    <d v="2022-08-31T00:00:00"/>
    <x v="1"/>
    <s v="PROD157"/>
    <n v="3122.87"/>
    <n v="226.78"/>
    <n v="12"/>
    <s v="Corporate"/>
    <s v="Implement Rich Platforms"/>
    <x v="1"/>
    <s v="Parker, Anderson and Salazar"/>
    <n v="53.59"/>
    <n v="7.2619097176635602E-2"/>
  </r>
  <r>
    <s v="ORD1527"/>
    <d v="2021-02-07T00:00:00"/>
    <x v="3"/>
    <s v="PROD128"/>
    <n v="3953.27"/>
    <n v="614.41999999999996"/>
    <n v="16"/>
    <s v="Corporate"/>
    <s v="Brand Distributed Info-Mediaries"/>
    <x v="2"/>
    <s v="Garcia Ltd"/>
    <n v="114.48"/>
    <n v="0.15542070235526537"/>
  </r>
  <r>
    <s v="ORD1528"/>
    <d v="2021-10-30T00:00:00"/>
    <x v="1"/>
    <s v="PROD115"/>
    <n v="2900.6"/>
    <n v="46.66"/>
    <n v="12"/>
    <s v="Consumer"/>
    <s v="Morph World-Class Synergies"/>
    <x v="1"/>
    <s v="Bryant Ltd"/>
    <n v="20.69"/>
    <n v="1.6086326966834447E-2"/>
  </r>
  <r>
    <s v="ORD1529"/>
    <d v="2023-02-13T00:00:00"/>
    <x v="2"/>
    <s v="PROD168"/>
    <n v="4320.12"/>
    <n v="621.22"/>
    <n v="18"/>
    <s v="Corporate"/>
    <s v="Facilitate End-To-End Experiences"/>
    <x v="0"/>
    <s v="Pierce-Goodwin"/>
    <n v="260.52999999999997"/>
    <n v="0.14379693156671575"/>
  </r>
  <r>
    <s v="ORD1530"/>
    <d v="2020-08-05T00:00:00"/>
    <x v="0"/>
    <s v="PROD152"/>
    <n v="4374.08"/>
    <n v="517.59"/>
    <n v="14"/>
    <s v="Consumer"/>
    <s v="Reinvent Frictionless Roi"/>
    <x v="2"/>
    <s v="Bridges, Castillo and Rodriguez"/>
    <n v="253.89"/>
    <n v="0.1183311690686956"/>
  </r>
  <r>
    <s v="ORD1531"/>
    <d v="2024-08-17T00:00:00"/>
    <x v="0"/>
    <s v="PROD158"/>
    <n v="3525.87"/>
    <n v="467.12"/>
    <n v="8"/>
    <s v="Small Business"/>
    <s v="Brand Web-Enabled Solutions"/>
    <x v="1"/>
    <s v="Russell Group"/>
    <n v="51.67"/>
    <n v="0.13248361397328887"/>
  </r>
  <r>
    <s v="ORD1532"/>
    <d v="2021-08-29T00:00:00"/>
    <x v="0"/>
    <s v="PROD188"/>
    <n v="2199.1999999999998"/>
    <n v="41.89"/>
    <n v="4"/>
    <s v="Consumer"/>
    <s v="Transition Mission-Critical Interfaces"/>
    <x v="0"/>
    <s v="Weaver Ltd"/>
    <n v="34.64"/>
    <n v="1.9047835576573302E-2"/>
  </r>
  <r>
    <s v="ORD1533"/>
    <d v="2022-04-03T00:00:00"/>
    <x v="0"/>
    <s v="PROD125"/>
    <n v="2715.63"/>
    <n v="629.66"/>
    <n v="3"/>
    <s v="Consumer"/>
    <s v="Leverage Cutting-Edge Vortals"/>
    <x v="1"/>
    <s v="Robinson, Garrett and Chavez"/>
    <n v="117.3"/>
    <n v="0.23186516572581684"/>
  </r>
  <r>
    <s v="ORD1534"/>
    <d v="2021-12-14T00:00:00"/>
    <x v="3"/>
    <s v="PROD151"/>
    <n v="2113.7600000000002"/>
    <n v="486.24"/>
    <n v="5"/>
    <s v="Corporate"/>
    <s v="Re-Contextualize Viral Markets"/>
    <x v="1"/>
    <s v="Meadows-Barber"/>
    <n v="177.52"/>
    <n v="0.23003557641359471"/>
  </r>
  <r>
    <s v="ORD1535"/>
    <d v="2021-06-30T00:00:00"/>
    <x v="1"/>
    <s v="PROD154"/>
    <n v="2333.9"/>
    <n v="956.32"/>
    <n v="4"/>
    <s v="Small Business"/>
    <s v="Utilize Virtual Partnerships"/>
    <x v="2"/>
    <s v="Smith, Diaz and Heath"/>
    <n v="193.02"/>
    <n v="0.40975191739149064"/>
  </r>
  <r>
    <s v="ORD1536"/>
    <d v="2021-01-05T00:00:00"/>
    <x v="1"/>
    <s v="PROD194"/>
    <n v="4199.92"/>
    <n v="185.14"/>
    <n v="2"/>
    <s v="Consumer"/>
    <s v="Leverage Scalable Interfaces"/>
    <x v="0"/>
    <s v="Kaufman-Jones"/>
    <n v="73.33"/>
    <n v="4.4081792034133982E-2"/>
  </r>
  <r>
    <s v="ORD1537"/>
    <d v="2021-08-23T00:00:00"/>
    <x v="0"/>
    <s v="PROD163"/>
    <n v="1628.48"/>
    <n v="837.78"/>
    <n v="15"/>
    <s v="Consumer"/>
    <s v="Grow Back-End Supply-Chains"/>
    <x v="1"/>
    <s v="Green LLC"/>
    <n v="140.08000000000001"/>
    <n v="0.51445519748477109"/>
  </r>
  <r>
    <s v="ORD1538"/>
    <d v="2024-07-20T00:00:00"/>
    <x v="1"/>
    <s v="PROD173"/>
    <n v="3728.19"/>
    <n v="738.03"/>
    <n v="15"/>
    <s v="Corporate"/>
    <s v="Whiteboard Sticky Content"/>
    <x v="2"/>
    <s v="Wolfe Group"/>
    <n v="82.16"/>
    <n v="0.19795933147184022"/>
  </r>
  <r>
    <s v="ORD1539"/>
    <d v="2023-09-12T00:00:00"/>
    <x v="2"/>
    <s v="PROD186"/>
    <n v="1935.84"/>
    <n v="67.260000000000005"/>
    <n v="3"/>
    <s v="Small Business"/>
    <s v="Reinvent Mission-Critical Markets"/>
    <x v="2"/>
    <s v="Gilbert-Sanders"/>
    <n v="154.21"/>
    <n v="3.4744606992313416E-2"/>
  </r>
  <r>
    <s v="ORD1540"/>
    <d v="2024-02-16T00:00:00"/>
    <x v="2"/>
    <s v="PROD191"/>
    <n v="2446.4299999999998"/>
    <n v="501.88"/>
    <n v="8"/>
    <s v="Consumer"/>
    <s v="Synergize Frictionless Synergies"/>
    <x v="2"/>
    <s v="Hester and Sons"/>
    <n v="289.06"/>
    <n v="0.20514790940268066"/>
  </r>
  <r>
    <s v="ORD1541"/>
    <d v="2023-08-17T00:00:00"/>
    <x v="1"/>
    <s v="PROD130"/>
    <n v="3709.66"/>
    <n v="623.6"/>
    <n v="7"/>
    <s v="Consumer"/>
    <s v="Synthesize Wireless Initiatives"/>
    <x v="1"/>
    <s v="Mosley Ltd"/>
    <n v="162.69999999999999"/>
    <n v="0.16810165891213752"/>
  </r>
  <r>
    <s v="ORD1542"/>
    <d v="2020-10-26T00:00:00"/>
    <x v="0"/>
    <s v="PROD108"/>
    <n v="1645.19"/>
    <n v="938.05"/>
    <n v="18"/>
    <s v="Consumer"/>
    <s v="Synergize World-Class Networks"/>
    <x v="1"/>
    <s v="Gomez-Lawrence"/>
    <n v="72.37"/>
    <n v="0.57017730474899553"/>
  </r>
  <r>
    <s v="ORD1543"/>
    <d v="2020-11-27T00:00:00"/>
    <x v="3"/>
    <s v="PROD125"/>
    <n v="4362.17"/>
    <n v="891.31"/>
    <n v="18"/>
    <s v="Consumer"/>
    <s v="Leverage Cutting-Edge Vortals"/>
    <x v="1"/>
    <s v="Robinson, Garrett and Chavez"/>
    <n v="117.3"/>
    <n v="0.20432720412088479"/>
  </r>
  <r>
    <s v="ORD1544"/>
    <d v="2024-08-15T00:00:00"/>
    <x v="3"/>
    <s v="PROD117"/>
    <n v="1844.29"/>
    <n v="452.17"/>
    <n v="3"/>
    <s v="Small Business"/>
    <s v="Revolutionize Efficient Niches"/>
    <x v="1"/>
    <s v="Lopez-Torres"/>
    <n v="23.02"/>
    <n v="0.245172939179847"/>
  </r>
  <r>
    <s v="ORD1545"/>
    <d v="2020-09-30T00:00:00"/>
    <x v="3"/>
    <s v="PROD182"/>
    <n v="1686.93"/>
    <n v="217.68"/>
    <n v="16"/>
    <s v="Consumer"/>
    <s v="Strategize Best-Of-Breed Web-Readiness"/>
    <x v="0"/>
    <s v="Morris, King and Ayers"/>
    <n v="220.16"/>
    <n v="0.12903914211022391"/>
  </r>
  <r>
    <s v="ORD1546"/>
    <d v="2021-10-02T00:00:00"/>
    <x v="3"/>
    <s v="PROD192"/>
    <n v="965.87"/>
    <n v="884.44"/>
    <n v="13"/>
    <s v="Small Business"/>
    <s v="Drive Compelling E-Services"/>
    <x v="0"/>
    <s v="Morris-Villanueva"/>
    <n v="27.22"/>
    <n v="0.91569258802944498"/>
  </r>
  <r>
    <s v="ORD1547"/>
    <d v="2022-05-01T00:00:00"/>
    <x v="1"/>
    <s v="PROD134"/>
    <n v="4178.09"/>
    <n v="848.91"/>
    <n v="10"/>
    <s v="Consumer"/>
    <s v="Utilize Ubiquitous Synergies"/>
    <x v="1"/>
    <s v="Kramer, Huang and Shaw"/>
    <n v="295.89999999999998"/>
    <n v="0.20318135798893752"/>
  </r>
  <r>
    <s v="ORD1548"/>
    <d v="2024-08-23T00:00:00"/>
    <x v="0"/>
    <s v="PROD136"/>
    <n v="4017.97"/>
    <n v="902.62"/>
    <n v="6"/>
    <s v="Corporate"/>
    <s v="Evolve Innovative Web Services"/>
    <x v="2"/>
    <s v="Bush Inc"/>
    <n v="87.75"/>
    <n v="0.22464577883856773"/>
  </r>
  <r>
    <s v="ORD1549"/>
    <d v="2020-04-11T00:00:00"/>
    <x v="1"/>
    <s v="PROD138"/>
    <n v="1021.37"/>
    <n v="484.63"/>
    <n v="13"/>
    <s v="Consumer"/>
    <s v="Deliver Viral Eyeballs"/>
    <x v="0"/>
    <s v="Estes, Chan and Thomas"/>
    <n v="16.89"/>
    <n v="0.47449014558876801"/>
  </r>
  <r>
    <s v="ORD1550"/>
    <d v="2021-02-13T00:00:00"/>
    <x v="0"/>
    <s v="PROD102"/>
    <n v="2367.54"/>
    <n v="381.01"/>
    <n v="9"/>
    <s v="Corporate"/>
    <s v="Optimize Transparent E-Markets"/>
    <x v="0"/>
    <s v="Lee, Tyler and Blevins"/>
    <n v="111.22"/>
    <n v="0.16093075512979718"/>
  </r>
  <r>
    <s v="ORD1551"/>
    <d v="2024-10-30T00:00:00"/>
    <x v="3"/>
    <s v="PROD151"/>
    <n v="2317.7199999999998"/>
    <n v="322.60000000000002"/>
    <n v="8"/>
    <s v="Small Business"/>
    <s v="Re-Contextualize Viral Markets"/>
    <x v="1"/>
    <s v="Meadows-Barber"/>
    <n v="177.52"/>
    <n v="0.13918851284883421"/>
  </r>
  <r>
    <s v="ORD1552"/>
    <d v="2020-10-12T00:00:00"/>
    <x v="1"/>
    <s v="PROD175"/>
    <n v="3280.37"/>
    <n v="435.43"/>
    <n v="4"/>
    <s v="Small Business"/>
    <s v="Empower Bleeding-Edge Action-Items"/>
    <x v="2"/>
    <s v="Gray, Hayes and Banks"/>
    <n v="204.26"/>
    <n v="0.13273807527809364"/>
  </r>
  <r>
    <s v="ORD1553"/>
    <d v="2023-12-26T00:00:00"/>
    <x v="2"/>
    <s v="PROD156"/>
    <n v="697.76"/>
    <n v="115.69"/>
    <n v="15"/>
    <s v="Corporate"/>
    <s v="Empower Killer Info-Mediaries"/>
    <x v="2"/>
    <s v="Jones Ltd"/>
    <n v="213.24"/>
    <n v="0.1658019949552855"/>
  </r>
  <r>
    <s v="ORD1554"/>
    <d v="2020-09-20T00:00:00"/>
    <x v="0"/>
    <s v="PROD188"/>
    <n v="3035.58"/>
    <n v="617.79999999999995"/>
    <n v="5"/>
    <s v="Corporate"/>
    <s v="Transition Mission-Critical Interfaces"/>
    <x v="0"/>
    <s v="Weaver Ltd"/>
    <n v="34.64"/>
    <n v="0.20351959098426001"/>
  </r>
  <r>
    <s v="ORD1555"/>
    <d v="2023-02-03T00:00:00"/>
    <x v="2"/>
    <s v="PROD187"/>
    <n v="752.41"/>
    <n v="680.24"/>
    <n v="2"/>
    <s v="Corporate"/>
    <s v="Whiteboard Compelling Experiences"/>
    <x v="2"/>
    <s v="Carrillo, Carr and Ball"/>
    <n v="206.54"/>
    <n v="0.90408155128188095"/>
  </r>
  <r>
    <s v="ORD1556"/>
    <d v="2024-05-10T00:00:00"/>
    <x v="3"/>
    <s v="PROD113"/>
    <n v="3993.97"/>
    <n v="387.59"/>
    <n v="18"/>
    <s v="Small Business"/>
    <s v="Envisioneer B2B Users"/>
    <x v="0"/>
    <s v="Rogers Group"/>
    <n v="239.16"/>
    <n v="9.7043793518729479E-2"/>
  </r>
  <r>
    <s v="ORD1557"/>
    <d v="2021-08-20T00:00:00"/>
    <x v="3"/>
    <s v="PROD157"/>
    <n v="4681.49"/>
    <n v="71.930000000000007"/>
    <n v="20"/>
    <s v="Small Business"/>
    <s v="Implement Rich Platforms"/>
    <x v="1"/>
    <s v="Parker, Anderson and Salazar"/>
    <n v="53.59"/>
    <n v="1.5364766345757442E-2"/>
  </r>
  <r>
    <s v="ORD1558"/>
    <d v="2021-09-09T00:00:00"/>
    <x v="2"/>
    <s v="PROD110"/>
    <n v="3461.81"/>
    <n v="631.45000000000005"/>
    <n v="16"/>
    <s v="Corporate"/>
    <s v="E-Enable Holistic Supply-Chains"/>
    <x v="2"/>
    <s v="Lin-Mcdaniel"/>
    <n v="160.33000000000001"/>
    <n v="0.18240458026292605"/>
  </r>
  <r>
    <s v="ORD1559"/>
    <d v="2021-09-01T00:00:00"/>
    <x v="2"/>
    <s v="PROD140"/>
    <n v="4366.79"/>
    <n v="385.31"/>
    <n v="20"/>
    <s v="Small Business"/>
    <s v="Extend Bricks-And-Clicks Architectures"/>
    <x v="2"/>
    <s v="Fuller PLC"/>
    <n v="202.99"/>
    <n v="8.8236439123475147E-2"/>
  </r>
  <r>
    <s v="ORD1560"/>
    <d v="2020-11-22T00:00:00"/>
    <x v="1"/>
    <s v="PROD180"/>
    <n v="2585.36"/>
    <n v="206.47"/>
    <n v="20"/>
    <s v="Small Business"/>
    <s v="Iterate Extensible Roi"/>
    <x v="0"/>
    <s v="Hill-Kelly"/>
    <n v="180"/>
    <n v="7.9861218553702387E-2"/>
  </r>
  <r>
    <s v="ORD1561"/>
    <d v="2020-10-24T00:00:00"/>
    <x v="3"/>
    <s v="PROD139"/>
    <n v="833.17"/>
    <n v="424.44"/>
    <n v="19"/>
    <s v="Small Business"/>
    <s v="Re-Contextualize Viral Mindshare"/>
    <x v="1"/>
    <s v="Carter-Lane"/>
    <n v="142.25"/>
    <n v="0.50942784785818018"/>
  </r>
  <r>
    <s v="ORD1562"/>
    <d v="2020-07-03T00:00:00"/>
    <x v="2"/>
    <s v="PROD157"/>
    <n v="3661.58"/>
    <n v="194.7"/>
    <n v="17"/>
    <s v="Consumer"/>
    <s v="Implement Rich Platforms"/>
    <x v="1"/>
    <s v="Parker, Anderson and Salazar"/>
    <n v="53.59"/>
    <n v="5.3173766516094144E-2"/>
  </r>
  <r>
    <s v="ORD1563"/>
    <d v="2021-09-28T00:00:00"/>
    <x v="1"/>
    <s v="PROD107"/>
    <n v="4568.79"/>
    <n v="903.9"/>
    <n v="14"/>
    <s v="Consumer"/>
    <s v="Utilize Back-End Models"/>
    <x v="2"/>
    <s v="Lewis-Holden"/>
    <n v="241.53"/>
    <n v="0.19784231711240832"/>
  </r>
  <r>
    <s v="ORD1564"/>
    <d v="2021-10-26T00:00:00"/>
    <x v="3"/>
    <s v="PROD192"/>
    <n v="1087.8"/>
    <n v="850.59"/>
    <n v="18"/>
    <s v="Small Business"/>
    <s v="Drive Compelling E-Services"/>
    <x v="0"/>
    <s v="Morris-Villanueva"/>
    <n v="27.22"/>
    <n v="0.78193601765030341"/>
  </r>
  <r>
    <s v="ORD1565"/>
    <d v="2023-03-22T00:00:00"/>
    <x v="0"/>
    <s v="PROD128"/>
    <n v="4654.57"/>
    <n v="685.85"/>
    <n v="3"/>
    <s v="Corporate"/>
    <s v="Brand Distributed Info-Mediaries"/>
    <x v="2"/>
    <s v="Garcia Ltd"/>
    <n v="114.48"/>
    <n v="0.14734980889749216"/>
  </r>
  <r>
    <s v="ORD1566"/>
    <d v="2024-04-07T00:00:00"/>
    <x v="2"/>
    <s v="PROD186"/>
    <n v="3548.99"/>
    <n v="421.88"/>
    <n v="6"/>
    <s v="Corporate"/>
    <s v="Reinvent Mission-Critical Markets"/>
    <x v="2"/>
    <s v="Gilbert-Sanders"/>
    <n v="154.21"/>
    <n v="0.11887325689844154"/>
  </r>
  <r>
    <s v="ORD1567"/>
    <d v="2021-07-28T00:00:00"/>
    <x v="2"/>
    <s v="PROD137"/>
    <n v="734.55"/>
    <n v="336.47"/>
    <n v="16"/>
    <s v="Corporate"/>
    <s v="Optimize Collaborative Initiatives"/>
    <x v="1"/>
    <s v="Adkins Ltd"/>
    <n v="34.46"/>
    <n v="0.45806275951262687"/>
  </r>
  <r>
    <s v="ORD1568"/>
    <d v="2020-03-30T00:00:00"/>
    <x v="2"/>
    <s v="PROD128"/>
    <n v="4078.66"/>
    <n v="350.24"/>
    <n v="15"/>
    <s v="Consumer"/>
    <s v="Brand Distributed Info-Mediaries"/>
    <x v="2"/>
    <s v="Garcia Ltd"/>
    <n v="114.48"/>
    <n v="8.587134009699264E-2"/>
  </r>
  <r>
    <s v="ORD1569"/>
    <d v="2023-06-14T00:00:00"/>
    <x v="1"/>
    <s v="PROD181"/>
    <n v="608.15"/>
    <n v="354.91"/>
    <n v="20"/>
    <s v="Consumer"/>
    <s v="Extend Bricks-And-Clicks Niches"/>
    <x v="0"/>
    <s v="Hernandez-Rios"/>
    <n v="65.989999999999995"/>
    <n v="0.5835895749403931"/>
  </r>
  <r>
    <s v="ORD1570"/>
    <d v="2024-09-08T00:00:00"/>
    <x v="0"/>
    <s v="PROD118"/>
    <n v="3322.21"/>
    <n v="150.09"/>
    <n v="3"/>
    <s v="Small Business"/>
    <s v="Engineer Real-Time Architectures"/>
    <x v="2"/>
    <s v="James and Sons"/>
    <n v="127.23"/>
    <n v="4.5177758179043466E-2"/>
  </r>
  <r>
    <s v="ORD1571"/>
    <d v="2020-01-29T00:00:00"/>
    <x v="3"/>
    <s v="PROD110"/>
    <n v="2265.86"/>
    <n v="484.24"/>
    <n v="7"/>
    <s v="Corporate"/>
    <s v="E-Enable Holistic Supply-Chains"/>
    <x v="2"/>
    <s v="Lin-Mcdaniel"/>
    <n v="160.33000000000001"/>
    <n v="0.21371135021581208"/>
  </r>
  <r>
    <s v="ORD1572"/>
    <d v="2021-12-20T00:00:00"/>
    <x v="2"/>
    <s v="PROD199"/>
    <n v="779.15"/>
    <n v="515.19000000000005"/>
    <n v="12"/>
    <s v="Corporate"/>
    <s v="Scale Cross-Platform Web Services"/>
    <x v="2"/>
    <s v="Morrow, Brock and Lewis"/>
    <n v="115.21"/>
    <n v="0.66122056086761227"/>
  </r>
  <r>
    <s v="ORD1573"/>
    <d v="2024-02-16T00:00:00"/>
    <x v="0"/>
    <s v="PROD173"/>
    <n v="1468.68"/>
    <n v="533.63"/>
    <n v="11"/>
    <s v="Small Business"/>
    <s v="Whiteboard Sticky Content"/>
    <x v="2"/>
    <s v="Wolfe Group"/>
    <n v="82.16"/>
    <n v="0.36333986981507199"/>
  </r>
  <r>
    <s v="ORD1574"/>
    <d v="2024-06-18T00:00:00"/>
    <x v="1"/>
    <s v="PROD166"/>
    <n v="1419.16"/>
    <n v="746.09"/>
    <n v="14"/>
    <s v="Consumer"/>
    <s v="Monetize Wireless Functionalities"/>
    <x v="2"/>
    <s v="Robinson, Rodriguez and Hernandez"/>
    <n v="162.22"/>
    <n v="0.52572648609036332"/>
  </r>
  <r>
    <s v="ORD1575"/>
    <d v="2023-12-30T00:00:00"/>
    <x v="1"/>
    <s v="PROD117"/>
    <n v="4779.87"/>
    <n v="497.5"/>
    <n v="16"/>
    <s v="Consumer"/>
    <s v="Revolutionize Efficient Niches"/>
    <x v="1"/>
    <s v="Lopez-Torres"/>
    <n v="23.02"/>
    <n v="0.10408232859889495"/>
  </r>
  <r>
    <s v="ORD1576"/>
    <d v="2021-09-12T00:00:00"/>
    <x v="0"/>
    <s v="PROD119"/>
    <n v="3542.42"/>
    <n v="363.5"/>
    <n v="12"/>
    <s v="Corporate"/>
    <s v="Generate Front-End Functionalities"/>
    <x v="0"/>
    <s v="Morales-Brown"/>
    <n v="299.77"/>
    <n v="0.10261346762947364"/>
  </r>
  <r>
    <s v="ORD1577"/>
    <d v="2023-04-29T00:00:00"/>
    <x v="0"/>
    <s v="PROD196"/>
    <n v="1221.32"/>
    <n v="745.13"/>
    <n v="13"/>
    <s v="Corporate"/>
    <s v="Strategize E-Business Content"/>
    <x v="1"/>
    <s v="Patterson LLC"/>
    <n v="294.02"/>
    <n v="0.61010218452166509"/>
  </r>
  <r>
    <s v="ORD1578"/>
    <d v="2022-06-10T00:00:00"/>
    <x v="3"/>
    <s v="PROD174"/>
    <n v="4079.24"/>
    <n v="74.22"/>
    <n v="9"/>
    <s v="Corporate"/>
    <s v="Disintermediate Scalable Bandwidth"/>
    <x v="1"/>
    <s v="Levy PLC"/>
    <n v="19.86"/>
    <n v="1.8194565654386603E-2"/>
  </r>
  <r>
    <s v="ORD1579"/>
    <d v="2021-12-11T00:00:00"/>
    <x v="2"/>
    <s v="PROD130"/>
    <n v="648.57000000000005"/>
    <n v="158.79"/>
    <n v="11"/>
    <s v="Corporate"/>
    <s v="Synthesize Wireless Initiatives"/>
    <x v="1"/>
    <s v="Mosley Ltd"/>
    <n v="162.69999999999999"/>
    <n v="0.24483093575095977"/>
  </r>
  <r>
    <s v="ORD1580"/>
    <d v="2023-12-05T00:00:00"/>
    <x v="1"/>
    <s v="PROD163"/>
    <n v="933.38"/>
    <n v="540.1"/>
    <n v="5"/>
    <s v="Small Business"/>
    <s v="Grow Back-End Supply-Chains"/>
    <x v="1"/>
    <s v="Green LLC"/>
    <n v="140.08000000000001"/>
    <n v="0.57864963894662413"/>
  </r>
  <r>
    <s v="ORD1581"/>
    <d v="2023-05-27T00:00:00"/>
    <x v="0"/>
    <s v="PROD177"/>
    <n v="3965.41"/>
    <n v="287.97000000000003"/>
    <n v="6"/>
    <s v="Consumer"/>
    <s v="Deploy Granular Channels"/>
    <x v="2"/>
    <s v="Barnes Ltd"/>
    <n v="288.99"/>
    <n v="7.2620485649655411E-2"/>
  </r>
  <r>
    <s v="ORD1582"/>
    <d v="2023-10-15T00:00:00"/>
    <x v="2"/>
    <s v="PROD188"/>
    <n v="3287.12"/>
    <n v="717.42"/>
    <n v="1"/>
    <s v="Consumer"/>
    <s v="Transition Mission-Critical Interfaces"/>
    <x v="0"/>
    <s v="Weaver Ltd"/>
    <n v="34.64"/>
    <n v="0.2182518435591034"/>
  </r>
  <r>
    <s v="ORD1583"/>
    <d v="2020-06-26T00:00:00"/>
    <x v="3"/>
    <s v="PROD159"/>
    <n v="2145.33"/>
    <n v="929.65"/>
    <n v="17"/>
    <s v="Corporate"/>
    <s v="Mesh Intuitive Supply-Chains"/>
    <x v="1"/>
    <s v="Soto, Barnett and Heath"/>
    <n v="281"/>
    <n v="0.4333365962346119"/>
  </r>
  <r>
    <s v="ORD1584"/>
    <d v="2020-01-11T00:00:00"/>
    <x v="1"/>
    <s v="PROD134"/>
    <n v="1729.33"/>
    <n v="884.3"/>
    <n v="3"/>
    <s v="Corporate"/>
    <s v="Utilize Ubiquitous Synergies"/>
    <x v="1"/>
    <s v="Kramer, Huang and Shaw"/>
    <n v="295.89999999999998"/>
    <n v="0.51135410823845073"/>
  </r>
  <r>
    <s v="ORD1585"/>
    <d v="2022-05-15T00:00:00"/>
    <x v="3"/>
    <s v="PROD125"/>
    <n v="446.16"/>
    <n v="759.7"/>
    <n v="1"/>
    <s v="Corporate"/>
    <s v="Leverage Cutting-Edge Vortals"/>
    <x v="1"/>
    <s v="Robinson, Garrett and Chavez"/>
    <n v="117.3"/>
    <n v="1.7027523758292988"/>
  </r>
  <r>
    <s v="ORD1586"/>
    <d v="2023-06-28T00:00:00"/>
    <x v="2"/>
    <s v="PROD124"/>
    <n v="4271.28"/>
    <n v="929.51"/>
    <n v="5"/>
    <s v="Consumer"/>
    <s v="Incubate Real-Time E-Tailers"/>
    <x v="1"/>
    <s v="Johnson-Riley"/>
    <n v="86.67"/>
    <n v="0.21761860613211967"/>
  </r>
  <r>
    <s v="ORD1587"/>
    <d v="2020-06-10T00:00:00"/>
    <x v="1"/>
    <s v="PROD117"/>
    <n v="451.13"/>
    <n v="425.23"/>
    <n v="15"/>
    <s v="Corporate"/>
    <s v="Revolutionize Efficient Niches"/>
    <x v="1"/>
    <s v="Lopez-Torres"/>
    <n v="23.02"/>
    <n v="0.94258861082171441"/>
  </r>
  <r>
    <s v="ORD1588"/>
    <d v="2022-11-01T00:00:00"/>
    <x v="0"/>
    <s v="PROD100"/>
    <n v="4718.6499999999996"/>
    <n v="871.93"/>
    <n v="16"/>
    <s v="Corporate"/>
    <s v="Synthesize Scalable Portals"/>
    <x v="2"/>
    <s v="Singh, Villa and Flynn"/>
    <n v="298.57"/>
    <n v="0.18478378349739863"/>
  </r>
  <r>
    <s v="ORD1589"/>
    <d v="2022-06-20T00:00:00"/>
    <x v="2"/>
    <s v="PROD139"/>
    <n v="3382.58"/>
    <n v="29.04"/>
    <n v="1"/>
    <s v="Consumer"/>
    <s v="Re-Contextualize Viral Mindshare"/>
    <x v="1"/>
    <s v="Carter-Lane"/>
    <n v="142.25"/>
    <n v="8.5851628047230212E-3"/>
  </r>
  <r>
    <s v="ORD1590"/>
    <d v="2022-04-20T00:00:00"/>
    <x v="0"/>
    <s v="PROD138"/>
    <n v="3431.99"/>
    <n v="575.58000000000004"/>
    <n v="4"/>
    <s v="Corporate"/>
    <s v="Deliver Viral Eyeballs"/>
    <x v="0"/>
    <s v="Estes, Chan and Thomas"/>
    <n v="16.89"/>
    <n v="0.16771027887610399"/>
  </r>
  <r>
    <s v="ORD1591"/>
    <d v="2021-07-28T00:00:00"/>
    <x v="3"/>
    <s v="PROD108"/>
    <n v="606.26"/>
    <n v="732.51"/>
    <n v="15"/>
    <s v="Consumer"/>
    <s v="Synergize World-Class Networks"/>
    <x v="1"/>
    <s v="Gomez-Lawrence"/>
    <n v="72.37"/>
    <n v="1.2082439877280375"/>
  </r>
  <r>
    <s v="ORD1592"/>
    <d v="2021-07-28T00:00:00"/>
    <x v="1"/>
    <s v="PROD156"/>
    <n v="4604.68"/>
    <n v="100.28"/>
    <n v="13"/>
    <s v="Small Business"/>
    <s v="Empower Killer Info-Mediaries"/>
    <x v="2"/>
    <s v="Jones Ltd"/>
    <n v="213.24"/>
    <n v="2.1777843411485705E-2"/>
  </r>
  <r>
    <s v="ORD1593"/>
    <d v="2021-06-18T00:00:00"/>
    <x v="1"/>
    <s v="PROD198"/>
    <n v="1732.68"/>
    <n v="46.47"/>
    <n v="20"/>
    <s v="Corporate"/>
    <s v="Visualize Dynamic E-Commerce"/>
    <x v="2"/>
    <s v="Jones LLC"/>
    <n v="92.61"/>
    <n v="2.6819724357642495E-2"/>
  </r>
  <r>
    <s v="ORD1594"/>
    <d v="2024-03-11T00:00:00"/>
    <x v="0"/>
    <s v="PROD191"/>
    <n v="4367.01"/>
    <n v="877.46"/>
    <n v="4"/>
    <s v="Corporate"/>
    <s v="Synergize Frictionless Synergies"/>
    <x v="2"/>
    <s v="Hester and Sons"/>
    <n v="289.06"/>
    <n v="0.20092923991472425"/>
  </r>
  <r>
    <s v="ORD1595"/>
    <d v="2021-05-22T00:00:00"/>
    <x v="3"/>
    <s v="PROD159"/>
    <n v="1656.12"/>
    <n v="190.82"/>
    <n v="5"/>
    <s v="Corporate"/>
    <s v="Mesh Intuitive Supply-Chains"/>
    <x v="1"/>
    <s v="Soto, Barnett and Heath"/>
    <n v="281"/>
    <n v="0.11522111924256696"/>
  </r>
  <r>
    <s v="ORD1596"/>
    <d v="2021-02-10T00:00:00"/>
    <x v="3"/>
    <s v="PROD129"/>
    <n v="3005.26"/>
    <n v="862.37"/>
    <n v="18"/>
    <s v="Consumer"/>
    <s v="Scale Vertical Networks"/>
    <x v="2"/>
    <s v="Lam, Wood and Jacobs"/>
    <n v="133.24"/>
    <n v="0.2869535414573115"/>
  </r>
  <r>
    <s v="ORD1597"/>
    <d v="2022-10-28T00:00:00"/>
    <x v="2"/>
    <s v="PROD116"/>
    <n v="4393.41"/>
    <n v="783.93"/>
    <n v="9"/>
    <s v="Corporate"/>
    <s v="Synergize Cross-Platform Vortals"/>
    <x v="2"/>
    <s v="Edwards Group"/>
    <n v="87.18"/>
    <n v="0.17843315329095166"/>
  </r>
  <r>
    <s v="ORD1598"/>
    <d v="2021-04-15T00:00:00"/>
    <x v="1"/>
    <s v="PROD151"/>
    <n v="3127.34"/>
    <n v="636.66999999999996"/>
    <n v="20"/>
    <s v="Corporate"/>
    <s v="Re-Contextualize Viral Markets"/>
    <x v="1"/>
    <s v="Meadows-Barber"/>
    <n v="177.52"/>
    <n v="0.2035819578299769"/>
  </r>
  <r>
    <s v="ORD1599"/>
    <d v="2021-11-08T00:00:00"/>
    <x v="3"/>
    <s v="PROD156"/>
    <n v="287.3"/>
    <n v="718.3"/>
    <n v="15"/>
    <s v="Consumer"/>
    <s v="Empower Killer Info-Mediaries"/>
    <x v="2"/>
    <s v="Jones Ltd"/>
    <n v="213.24"/>
    <n v="2.5001740341106853"/>
  </r>
  <r>
    <s v="ORD1600"/>
    <d v="2021-11-13T00:00:00"/>
    <x v="1"/>
    <s v="PROD150"/>
    <n v="4045.14"/>
    <n v="213.25"/>
    <n v="18"/>
    <s v="Corporate"/>
    <s v="Evolve Intuitive Bandwidth"/>
    <x v="0"/>
    <s v="Rogers Group"/>
    <n v="131.63"/>
    <n v="5.2717582086157712E-2"/>
  </r>
  <r>
    <s v="ORD1601"/>
    <d v="2023-07-22T00:00:00"/>
    <x v="3"/>
    <s v="PROD193"/>
    <n v="4313.54"/>
    <n v="23.04"/>
    <n v="11"/>
    <s v="Consumer"/>
    <s v="Innovate Sticky Web Services"/>
    <x v="1"/>
    <s v="Friedman, Sanders and Adams"/>
    <n v="125.85"/>
    <n v="5.3413205858761012E-3"/>
  </r>
  <r>
    <s v="ORD1602"/>
    <d v="2020-09-18T00:00:00"/>
    <x v="0"/>
    <s v="PROD120"/>
    <n v="1801.15"/>
    <n v="452.42"/>
    <n v="15"/>
    <s v="Corporate"/>
    <s v="Mesh B2B Platforms"/>
    <x v="2"/>
    <s v="Stevens, Walton and Riddle"/>
    <n v="236.57"/>
    <n v="0.25118396579962798"/>
  </r>
  <r>
    <s v="ORD1603"/>
    <d v="2024-05-27T00:00:00"/>
    <x v="3"/>
    <s v="PROD103"/>
    <n v="328.65"/>
    <n v="443.78"/>
    <n v="20"/>
    <s v="Small Business"/>
    <s v="Monetize Collaborative Metrics"/>
    <x v="1"/>
    <s v="Ramirez-Brown"/>
    <n v="286.04000000000002"/>
    <n v="1.3503118819412749"/>
  </r>
  <r>
    <s v="ORD1604"/>
    <d v="2023-10-10T00:00:00"/>
    <x v="2"/>
    <s v="PROD122"/>
    <n v="2109.02"/>
    <n v="192.64"/>
    <n v="8"/>
    <s v="Corporate"/>
    <s v="Empower Dot-Com Deliverables"/>
    <x v="1"/>
    <s v="Davis LLC"/>
    <n v="250.66"/>
    <n v="9.1341001981963182E-2"/>
  </r>
  <r>
    <s v="ORD1605"/>
    <d v="2021-01-12T00:00:00"/>
    <x v="3"/>
    <s v="PROD183"/>
    <n v="236.02"/>
    <n v="642.35"/>
    <n v="14"/>
    <s v="Consumer"/>
    <s v="Incentivize Front-End Mindshare"/>
    <x v="1"/>
    <s v="Phillips-Tran"/>
    <n v="196.86"/>
    <n v="2.7215913905601221"/>
  </r>
  <r>
    <s v="ORD1606"/>
    <d v="2020-07-23T00:00:00"/>
    <x v="3"/>
    <s v="PROD128"/>
    <n v="1601.51"/>
    <n v="427.21"/>
    <n v="16"/>
    <s v="Corporate"/>
    <s v="Brand Distributed Info-Mediaries"/>
    <x v="2"/>
    <s v="Garcia Ltd"/>
    <n v="114.48"/>
    <n v="0.26675450044020954"/>
  </r>
  <r>
    <s v="ORD1607"/>
    <d v="2022-04-12T00:00:00"/>
    <x v="0"/>
    <s v="PROD144"/>
    <n v="637.76"/>
    <n v="429.68"/>
    <n v="2"/>
    <s v="Consumer"/>
    <s v="Expedite Synergistic Web-Readiness"/>
    <x v="1"/>
    <s v="Dunlap, Carpenter and Monroe"/>
    <n v="289.66000000000003"/>
    <n v="0.6737330657300552"/>
  </r>
  <r>
    <s v="ORD1608"/>
    <d v="2024-08-20T00:00:00"/>
    <x v="2"/>
    <s v="PROD122"/>
    <n v="4800.43"/>
    <n v="634.74"/>
    <n v="9"/>
    <s v="Corporate"/>
    <s v="Empower Dot-Com Deliverables"/>
    <x v="1"/>
    <s v="Davis LLC"/>
    <n v="250.66"/>
    <n v="0.13222565478509216"/>
  </r>
  <r>
    <s v="ORD1609"/>
    <d v="2023-04-06T00:00:00"/>
    <x v="2"/>
    <s v="PROD137"/>
    <n v="3875.66"/>
    <n v="693.13"/>
    <n v="6"/>
    <s v="Corporate"/>
    <s v="Optimize Collaborative Initiatives"/>
    <x v="1"/>
    <s v="Adkins Ltd"/>
    <n v="34.46"/>
    <n v="0.17884179726807822"/>
  </r>
  <r>
    <s v="ORD1610"/>
    <d v="2020-03-22T00:00:00"/>
    <x v="3"/>
    <s v="PROD111"/>
    <n v="1068.6400000000001"/>
    <n v="490.38"/>
    <n v="19"/>
    <s v="Corporate"/>
    <s v="Harness Revolutionary Interfaces"/>
    <x v="2"/>
    <s v="Davis, Short and Nguyen"/>
    <n v="26.49"/>
    <n v="0.45888231771223231"/>
  </r>
  <r>
    <s v="ORD1611"/>
    <d v="2020-09-09T00:00:00"/>
    <x v="2"/>
    <s v="PROD150"/>
    <n v="727.42"/>
    <n v="775.08"/>
    <n v="2"/>
    <s v="Consumer"/>
    <s v="Evolve Intuitive Bandwidth"/>
    <x v="0"/>
    <s v="Rogers Group"/>
    <n v="131.63"/>
    <n v="1.0655192323554481"/>
  </r>
  <r>
    <s v="ORD1612"/>
    <d v="2023-07-25T00:00:00"/>
    <x v="0"/>
    <s v="PROD136"/>
    <n v="2114.04"/>
    <n v="569.89"/>
    <n v="3"/>
    <s v="Consumer"/>
    <s v="Evolve Innovative Web Services"/>
    <x v="2"/>
    <s v="Bush Inc"/>
    <n v="87.75"/>
    <n v="0.26957389642580082"/>
  </r>
  <r>
    <s v="ORD1613"/>
    <d v="2023-06-29T00:00:00"/>
    <x v="2"/>
    <s v="PROD194"/>
    <n v="2303.91"/>
    <n v="414.87"/>
    <n v="14"/>
    <s v="Corporate"/>
    <s v="Leverage Scalable Interfaces"/>
    <x v="0"/>
    <s v="Kaufman-Jones"/>
    <n v="73.33"/>
    <n v="0.18007213823456647"/>
  </r>
  <r>
    <s v="ORD1614"/>
    <d v="2021-10-28T00:00:00"/>
    <x v="3"/>
    <s v="PROD115"/>
    <n v="95.62"/>
    <n v="121.01"/>
    <n v="1"/>
    <s v="Consumer"/>
    <s v="Morph World-Class Synergies"/>
    <x v="1"/>
    <s v="Bryant Ltd"/>
    <n v="20.69"/>
    <n v="1.2655302238025519"/>
  </r>
  <r>
    <s v="ORD1615"/>
    <d v="2023-09-25T00:00:00"/>
    <x v="1"/>
    <s v="PROD114"/>
    <n v="662.6"/>
    <n v="516.82000000000005"/>
    <n v="15"/>
    <s v="Corporate"/>
    <s v="Orchestrate User-Centric Platforms"/>
    <x v="2"/>
    <s v="Wells Ltd"/>
    <n v="201.87"/>
    <n v="0.77998792635073955"/>
  </r>
  <r>
    <s v="ORD1616"/>
    <d v="2022-05-06T00:00:00"/>
    <x v="0"/>
    <s v="PROD115"/>
    <n v="3972.51"/>
    <n v="292.95999999999998"/>
    <n v="13"/>
    <s v="Corporate"/>
    <s v="Morph World-Class Synergies"/>
    <x v="1"/>
    <s v="Bryant Ltd"/>
    <n v="20.69"/>
    <n v="7.3746825055191798E-2"/>
  </r>
  <r>
    <s v="ORD1617"/>
    <d v="2023-07-09T00:00:00"/>
    <x v="3"/>
    <s v="PROD120"/>
    <n v="4365.45"/>
    <n v="748.75"/>
    <n v="12"/>
    <s v="Small Business"/>
    <s v="Mesh B2B Platforms"/>
    <x v="2"/>
    <s v="Stevens, Walton and Riddle"/>
    <n v="236.57"/>
    <n v="0.17151725480763724"/>
  </r>
  <r>
    <s v="ORD1618"/>
    <d v="2020-07-18T00:00:00"/>
    <x v="1"/>
    <s v="PROD119"/>
    <n v="1066.98"/>
    <n v="305.08999999999997"/>
    <n v="2"/>
    <s v="Small Business"/>
    <s v="Generate Front-End Functionalities"/>
    <x v="0"/>
    <s v="Morales-Brown"/>
    <n v="299.77"/>
    <n v="0.2859378807475304"/>
  </r>
  <r>
    <s v="ORD1619"/>
    <d v="2023-01-01T00:00:00"/>
    <x v="2"/>
    <s v="PROD152"/>
    <n v="2198.77"/>
    <n v="378.52"/>
    <n v="5"/>
    <s v="Small Business"/>
    <s v="Reinvent Frictionless Roi"/>
    <x v="2"/>
    <s v="Bridges, Castillo and Rodriguez"/>
    <n v="253.89"/>
    <n v="0.17215079339812714"/>
  </r>
  <r>
    <s v="ORD1620"/>
    <d v="2023-11-01T00:00:00"/>
    <x v="1"/>
    <s v="PROD140"/>
    <n v="4203.51"/>
    <n v="999.06"/>
    <n v="12"/>
    <s v="Corporate"/>
    <s v="Extend Bricks-And-Clicks Architectures"/>
    <x v="2"/>
    <s v="Fuller PLC"/>
    <n v="202.99"/>
    <n v="0.23767280201545848"/>
  </r>
  <r>
    <s v="ORD1621"/>
    <d v="2021-08-19T00:00:00"/>
    <x v="2"/>
    <s v="PROD178"/>
    <n v="1527.03"/>
    <n v="546.91"/>
    <n v="20"/>
    <s v="Small Business"/>
    <s v="Monetize Value-Added Niches"/>
    <x v="0"/>
    <s v="Foster, Velazquez and Lee"/>
    <n v="171.51"/>
    <n v="0.35815275403888591"/>
  </r>
  <r>
    <s v="ORD1622"/>
    <d v="2022-04-18T00:00:00"/>
    <x v="0"/>
    <s v="PROD168"/>
    <n v="2819.58"/>
    <n v="935.52"/>
    <n v="2"/>
    <s v="Corporate"/>
    <s v="Facilitate End-To-End Experiences"/>
    <x v="0"/>
    <s v="Pierce-Goodwin"/>
    <n v="260.52999999999997"/>
    <n v="0.3317940969931692"/>
  </r>
  <r>
    <s v="ORD1623"/>
    <d v="2024-10-06T00:00:00"/>
    <x v="1"/>
    <s v="PROD197"/>
    <n v="3753.85"/>
    <n v="106.15"/>
    <n v="6"/>
    <s v="Small Business"/>
    <s v="Leverage Rich Portals"/>
    <x v="0"/>
    <s v="Wilson PLC"/>
    <n v="46.35"/>
    <n v="2.8277634961439591E-2"/>
  </r>
  <r>
    <s v="ORD1624"/>
    <d v="2020-08-02T00:00:00"/>
    <x v="3"/>
    <s v="PROD162"/>
    <n v="62.1"/>
    <n v="632.02"/>
    <n v="6"/>
    <s v="Consumer"/>
    <s v="Reinvent Visionary Niches"/>
    <x v="2"/>
    <s v="Huber-Richmond"/>
    <n v="219.81"/>
    <n v="10.177455716586151"/>
  </r>
  <r>
    <s v="ORD1625"/>
    <d v="2021-12-21T00:00:00"/>
    <x v="1"/>
    <s v="PROD108"/>
    <n v="3818.08"/>
    <n v="575.74"/>
    <n v="2"/>
    <s v="Consumer"/>
    <s v="Synergize World-Class Networks"/>
    <x v="1"/>
    <s v="Gomez-Lawrence"/>
    <n v="72.37"/>
    <n v="0.15079306876754808"/>
  </r>
  <r>
    <s v="ORD1626"/>
    <d v="2021-07-03T00:00:00"/>
    <x v="3"/>
    <s v="PROD181"/>
    <n v="660.69"/>
    <n v="998.42"/>
    <n v="14"/>
    <s v="Small Business"/>
    <s v="Extend Bricks-And-Clicks Niches"/>
    <x v="0"/>
    <s v="Hernandez-Rios"/>
    <n v="65.989999999999995"/>
    <n v="1.5111777081535969"/>
  </r>
  <r>
    <s v="ORD1627"/>
    <d v="2021-05-12T00:00:00"/>
    <x v="1"/>
    <s v="PROD104"/>
    <n v="3568.08"/>
    <n v="660.24"/>
    <n v="7"/>
    <s v="Consumer"/>
    <s v="Implement Clicks-And-Mortar Partnerships"/>
    <x v="1"/>
    <s v="Smith Inc"/>
    <n v="195.53"/>
    <n v="0.18504069415483959"/>
  </r>
  <r>
    <s v="ORD1628"/>
    <d v="2024-09-20T00:00:00"/>
    <x v="1"/>
    <s v="PROD156"/>
    <n v="2586.6999999999998"/>
    <n v="189.02"/>
    <n v="9"/>
    <s v="Small Business"/>
    <s v="Empower Killer Info-Mediaries"/>
    <x v="2"/>
    <s v="Jones Ltd"/>
    <n v="213.24"/>
    <n v="7.3073800595353164E-2"/>
  </r>
  <r>
    <s v="ORD1629"/>
    <d v="2024-07-14T00:00:00"/>
    <x v="2"/>
    <s v="PROD156"/>
    <n v="4704.6899999999996"/>
    <n v="885.35"/>
    <n v="18"/>
    <s v="Consumer"/>
    <s v="Empower Killer Info-Mediaries"/>
    <x v="2"/>
    <s v="Jones Ltd"/>
    <n v="213.24"/>
    <n v="0.18818455626194289"/>
  </r>
  <r>
    <s v="ORD1630"/>
    <d v="2022-05-05T00:00:00"/>
    <x v="1"/>
    <s v="PROD147"/>
    <n v="2433.44"/>
    <n v="648.05999999999995"/>
    <n v="9"/>
    <s v="Corporate"/>
    <s v="Brand B2C Info-Mediaries"/>
    <x v="0"/>
    <s v="Preston Ltd"/>
    <n v="13.46"/>
    <n v="0.26631435334341508"/>
  </r>
  <r>
    <s v="ORD1631"/>
    <d v="2023-07-01T00:00:00"/>
    <x v="2"/>
    <s v="PROD144"/>
    <n v="3171.74"/>
    <n v="221.78"/>
    <n v="6"/>
    <s v="Consumer"/>
    <s v="Expedite Synergistic Web-Readiness"/>
    <x v="1"/>
    <s v="Dunlap, Carpenter and Monroe"/>
    <n v="289.66000000000003"/>
    <n v="6.992376424297074E-2"/>
  </r>
  <r>
    <s v="ORD1632"/>
    <d v="2024-02-12T00:00:00"/>
    <x v="2"/>
    <s v="PROD170"/>
    <n v="3265.74"/>
    <n v="315.07"/>
    <n v="11"/>
    <s v="Small Business"/>
    <s v="Deliver Sticky Networks"/>
    <x v="2"/>
    <s v="Massey LLC"/>
    <n v="272.33"/>
    <n v="9.6477368069717739E-2"/>
  </r>
  <r>
    <s v="ORD1633"/>
    <d v="2020-04-27T00:00:00"/>
    <x v="0"/>
    <s v="PROD113"/>
    <n v="1329.92"/>
    <n v="250.97"/>
    <n v="20"/>
    <s v="Small Business"/>
    <s v="Envisioneer B2B Users"/>
    <x v="0"/>
    <s v="Rogers Group"/>
    <n v="239.16"/>
    <n v="0.18871059913378246"/>
  </r>
  <r>
    <s v="ORD1634"/>
    <d v="2021-01-05T00:00:00"/>
    <x v="2"/>
    <s v="PROD151"/>
    <n v="3131.85"/>
    <n v="408.14"/>
    <n v="16"/>
    <s v="Small Business"/>
    <s v="Re-Contextualize Viral Markets"/>
    <x v="1"/>
    <s v="Meadows-Barber"/>
    <n v="177.52"/>
    <n v="0.13031914044414644"/>
  </r>
  <r>
    <s v="ORD1635"/>
    <d v="2020-09-19T00:00:00"/>
    <x v="1"/>
    <s v="PROD155"/>
    <n v="2258.59"/>
    <n v="118.86"/>
    <n v="12"/>
    <s v="Small Business"/>
    <s v="Incentivize User-Centric Mindshare"/>
    <x v="1"/>
    <s v="Becker, Wright and Wong"/>
    <n v="38.51"/>
    <n v="5.2625753235425635E-2"/>
  </r>
  <r>
    <s v="ORD1636"/>
    <d v="2020-12-18T00:00:00"/>
    <x v="0"/>
    <s v="PROD179"/>
    <n v="3208.93"/>
    <n v="572.61"/>
    <n v="12"/>
    <s v="Consumer"/>
    <s v="Target Viral Methodologies"/>
    <x v="1"/>
    <s v="Alvarez, Myers and Walter"/>
    <n v="149.26"/>
    <n v="0.17844265845624555"/>
  </r>
  <r>
    <s v="ORD1637"/>
    <d v="2024-02-08T00:00:00"/>
    <x v="3"/>
    <s v="PROD133"/>
    <n v="906.01"/>
    <n v="863.11"/>
    <n v="10"/>
    <s v="Corporate"/>
    <s v="Re-Intermediate Seamless Applications"/>
    <x v="0"/>
    <s v="Welch-Reed"/>
    <n v="45.82"/>
    <n v="0.95264952925464397"/>
  </r>
  <r>
    <s v="ORD1638"/>
    <d v="2020-07-23T00:00:00"/>
    <x v="3"/>
    <s v="PROD160"/>
    <n v="4612.95"/>
    <n v="346.65"/>
    <n v="12"/>
    <s v="Corporate"/>
    <s v="Deliver Extensible Partnerships"/>
    <x v="2"/>
    <s v="Martin, Paul and Salazar"/>
    <n v="43.76"/>
    <n v="7.5147140116411409E-2"/>
  </r>
  <r>
    <s v="ORD1639"/>
    <d v="2024-10-31T00:00:00"/>
    <x v="1"/>
    <s v="PROD112"/>
    <n v="3321.94"/>
    <n v="121.01"/>
    <n v="10"/>
    <s v="Corporate"/>
    <s v="Seize Clicks-And-Mortar Platforms"/>
    <x v="0"/>
    <s v="Owens, Campos and Wood"/>
    <n v="271.16000000000003"/>
    <n v="3.64275092265363E-2"/>
  </r>
  <r>
    <s v="ORD1640"/>
    <d v="2022-06-13T00:00:00"/>
    <x v="3"/>
    <s v="PROD170"/>
    <n v="955.36"/>
    <n v="34.200000000000003"/>
    <n v="15"/>
    <s v="Corporate"/>
    <s v="Deliver Sticky Networks"/>
    <x v="2"/>
    <s v="Massey LLC"/>
    <n v="272.33"/>
    <n v="3.5798023781611121E-2"/>
  </r>
  <r>
    <s v="ORD1641"/>
    <d v="2023-08-24T00:00:00"/>
    <x v="3"/>
    <s v="PROD107"/>
    <n v="2899.87"/>
    <n v="569.58000000000004"/>
    <n v="6"/>
    <s v="Small Business"/>
    <s v="Utilize Back-End Models"/>
    <x v="2"/>
    <s v="Lewis-Holden"/>
    <n v="241.53"/>
    <n v="0.19641570139351078"/>
  </r>
  <r>
    <s v="ORD1642"/>
    <d v="2021-07-26T00:00:00"/>
    <x v="1"/>
    <s v="PROD153"/>
    <n v="4026.72"/>
    <n v="472.74"/>
    <n v="7"/>
    <s v="Small Business"/>
    <s v="Seize Plug-And-Play Web-Readiness"/>
    <x v="1"/>
    <s v="Joseph, Mayer and Carr"/>
    <n v="102.73"/>
    <n v="0.11740076290380261"/>
  </r>
  <r>
    <s v="ORD1643"/>
    <d v="2023-06-24T00:00:00"/>
    <x v="0"/>
    <s v="PROD198"/>
    <n v="1956.1"/>
    <n v="93.46"/>
    <n v="13"/>
    <s v="Corporate"/>
    <s v="Visualize Dynamic E-Commerce"/>
    <x v="2"/>
    <s v="Jones LLC"/>
    <n v="92.61"/>
    <n v="4.7778743418025661E-2"/>
  </r>
  <r>
    <s v="ORD1644"/>
    <d v="2024-07-10T00:00:00"/>
    <x v="2"/>
    <s v="PROD163"/>
    <n v="3794.62"/>
    <n v="890.21"/>
    <n v="8"/>
    <s v="Consumer"/>
    <s v="Grow Back-End Supply-Chains"/>
    <x v="1"/>
    <s v="Green LLC"/>
    <n v="140.08000000000001"/>
    <n v="0.23459793075459467"/>
  </r>
  <r>
    <s v="ORD1645"/>
    <d v="2022-11-03T00:00:00"/>
    <x v="0"/>
    <s v="PROD122"/>
    <n v="3518.97"/>
    <n v="649.17999999999995"/>
    <n v="5"/>
    <s v="Consumer"/>
    <s v="Empower Dot-Com Deliverables"/>
    <x v="1"/>
    <s v="Davis LLC"/>
    <n v="250.66"/>
    <n v="0.1844801177617314"/>
  </r>
  <r>
    <s v="ORD1646"/>
    <d v="2020-05-04T00:00:00"/>
    <x v="1"/>
    <s v="PROD180"/>
    <n v="764.08"/>
    <n v="572.27"/>
    <n v="2"/>
    <s v="Corporate"/>
    <s v="Iterate Extensible Roi"/>
    <x v="0"/>
    <s v="Hill-Kelly"/>
    <n v="180"/>
    <n v="0.74896607685059147"/>
  </r>
  <r>
    <s v="ORD1647"/>
    <d v="2022-09-12T00:00:00"/>
    <x v="3"/>
    <s v="PROD145"/>
    <n v="2594.17"/>
    <n v="123.31"/>
    <n v="13"/>
    <s v="Consumer"/>
    <s v="Innovate Strategic Systems"/>
    <x v="0"/>
    <s v="Mcfarland, Parker and Armstrong"/>
    <n v="70.239999999999995"/>
    <n v="4.7533507827166296E-2"/>
  </r>
  <r>
    <s v="ORD1648"/>
    <d v="2023-03-18T00:00:00"/>
    <x v="2"/>
    <s v="PROD111"/>
    <n v="848.36"/>
    <n v="752.49"/>
    <n v="2"/>
    <s v="Corporate"/>
    <s v="Harness Revolutionary Interfaces"/>
    <x v="2"/>
    <s v="Davis, Short and Nguyen"/>
    <n v="26.49"/>
    <n v="0.88699372907727847"/>
  </r>
  <r>
    <s v="ORD1649"/>
    <d v="2024-06-04T00:00:00"/>
    <x v="3"/>
    <s v="PROD166"/>
    <n v="1010.7"/>
    <n v="447.47"/>
    <n v="15"/>
    <s v="Small Business"/>
    <s v="Monetize Wireless Functionalities"/>
    <x v="2"/>
    <s v="Robinson, Rodriguez and Hernandez"/>
    <n v="162.22"/>
    <n v="0.44273275947363216"/>
  </r>
  <r>
    <s v="ORD1650"/>
    <d v="2021-07-06T00:00:00"/>
    <x v="0"/>
    <s v="PROD113"/>
    <n v="379.93"/>
    <n v="429.04"/>
    <n v="20"/>
    <s v="Corporate"/>
    <s v="Envisioneer B2B Users"/>
    <x v="0"/>
    <s v="Rogers Group"/>
    <n v="239.16"/>
    <n v="1.1292606532782354"/>
  </r>
  <r>
    <s v="ORD1651"/>
    <d v="2023-11-13T00:00:00"/>
    <x v="1"/>
    <s v="PROD190"/>
    <n v="3360.46"/>
    <n v="785.79"/>
    <n v="16"/>
    <s v="Consumer"/>
    <s v="Repurpose End-To-End Networks"/>
    <x v="0"/>
    <s v="Torres-Rush"/>
    <n v="97.02"/>
    <n v="0.23383405843247648"/>
  </r>
  <r>
    <s v="ORD1652"/>
    <d v="2021-12-27T00:00:00"/>
    <x v="2"/>
    <s v="PROD134"/>
    <n v="2636.97"/>
    <n v="610.47"/>
    <n v="13"/>
    <s v="Small Business"/>
    <s v="Utilize Ubiquitous Synergies"/>
    <x v="1"/>
    <s v="Kramer, Huang and Shaw"/>
    <n v="295.89999999999998"/>
    <n v="0.2315043402086486"/>
  </r>
  <r>
    <s v="ORD1653"/>
    <d v="2022-03-11T00:00:00"/>
    <x v="0"/>
    <s v="PROD163"/>
    <n v="2465.17"/>
    <n v="496.9"/>
    <n v="11"/>
    <s v="Small Business"/>
    <s v="Grow Back-End Supply-Chains"/>
    <x v="1"/>
    <s v="Green LLC"/>
    <n v="140.08000000000001"/>
    <n v="0.20156824884287897"/>
  </r>
  <r>
    <s v="ORD1654"/>
    <d v="2024-05-12T00:00:00"/>
    <x v="1"/>
    <s v="PROD119"/>
    <n v="3584.06"/>
    <n v="39.36"/>
    <n v="12"/>
    <s v="Small Business"/>
    <s v="Generate Front-End Functionalities"/>
    <x v="0"/>
    <s v="Morales-Brown"/>
    <n v="299.77"/>
    <n v="1.0981959007382689E-2"/>
  </r>
  <r>
    <s v="ORD1655"/>
    <d v="2024-03-17T00:00:00"/>
    <x v="1"/>
    <s v="PROD179"/>
    <n v="2531.98"/>
    <n v="359.35"/>
    <n v="2"/>
    <s v="Corporate"/>
    <s v="Target Viral Methodologies"/>
    <x v="1"/>
    <s v="Alvarez, Myers and Walter"/>
    <n v="149.26"/>
    <n v="0.14192450177331575"/>
  </r>
  <r>
    <s v="ORD1656"/>
    <d v="2024-05-18T00:00:00"/>
    <x v="2"/>
    <s v="PROD187"/>
    <n v="4087.68"/>
    <n v="87.66"/>
    <n v="13"/>
    <s v="Corporate"/>
    <s v="Whiteboard Compelling Experiences"/>
    <x v="2"/>
    <s v="Carrillo, Carr and Ball"/>
    <n v="206.54"/>
    <n v="2.1444927195866603E-2"/>
  </r>
  <r>
    <s v="ORD1657"/>
    <d v="2022-12-07T00:00:00"/>
    <x v="0"/>
    <s v="PROD108"/>
    <n v="2353.42"/>
    <n v="25.95"/>
    <n v="11"/>
    <s v="Corporate"/>
    <s v="Synergize World-Class Networks"/>
    <x v="1"/>
    <s v="Gomez-Lawrence"/>
    <n v="72.37"/>
    <n v="1.1026506106007427E-2"/>
  </r>
  <r>
    <s v="ORD1658"/>
    <d v="2024-03-30T00:00:00"/>
    <x v="1"/>
    <s v="PROD150"/>
    <n v="3682.57"/>
    <n v="727.23"/>
    <n v="8"/>
    <s v="Corporate"/>
    <s v="Evolve Intuitive Bandwidth"/>
    <x v="0"/>
    <s v="Rogers Group"/>
    <n v="131.63"/>
    <n v="0.19747893454842677"/>
  </r>
  <r>
    <s v="ORD1659"/>
    <d v="2023-06-10T00:00:00"/>
    <x v="3"/>
    <s v="PROD146"/>
    <n v="273.37"/>
    <n v="838.54"/>
    <n v="5"/>
    <s v="Consumer"/>
    <s v="Engage Rich Web-Readiness"/>
    <x v="0"/>
    <s v="Turner Inc"/>
    <n v="81.069999999999993"/>
    <n v="3.0674177854190288"/>
  </r>
  <r>
    <s v="ORD1660"/>
    <d v="2022-07-04T00:00:00"/>
    <x v="1"/>
    <s v="PROD132"/>
    <n v="4462.6499999999996"/>
    <n v="693.98"/>
    <n v="2"/>
    <s v="Corporate"/>
    <s v="Synergize End-To-End Roi"/>
    <x v="1"/>
    <s v="Evans-Smith"/>
    <n v="159.85"/>
    <n v="0.15550849831378219"/>
  </r>
  <r>
    <s v="ORD1661"/>
    <d v="2021-10-24T00:00:00"/>
    <x v="2"/>
    <s v="PROD109"/>
    <n v="2524.98"/>
    <n v="349.39"/>
    <n v="20"/>
    <s v="Small Business"/>
    <s v="Orchestrate E-Business Niches"/>
    <x v="2"/>
    <s v="Johnson LLC"/>
    <n v="198.99"/>
    <n v="0.1383733732544416"/>
  </r>
  <r>
    <s v="ORD1662"/>
    <d v="2021-03-26T00:00:00"/>
    <x v="2"/>
    <s v="PROD141"/>
    <n v="4603.8599999999997"/>
    <n v="983.79"/>
    <n v="11"/>
    <s v="Consumer"/>
    <s v="Re-Contextualize Integrated Info-Mediaries"/>
    <x v="1"/>
    <s v="Jones-Schroeder"/>
    <n v="26.02"/>
    <n v="0.21368807913359661"/>
  </r>
  <r>
    <s v="ORD1663"/>
    <d v="2020-10-06T00:00:00"/>
    <x v="2"/>
    <s v="PROD173"/>
    <n v="1877.16"/>
    <n v="140.26"/>
    <n v="7"/>
    <s v="Consumer"/>
    <s v="Whiteboard Sticky Content"/>
    <x v="2"/>
    <s v="Wolfe Group"/>
    <n v="82.16"/>
    <n v="7.471925674955783E-2"/>
  </r>
  <r>
    <s v="ORD1664"/>
    <d v="2023-07-30T00:00:00"/>
    <x v="3"/>
    <s v="PROD117"/>
    <n v="3914.18"/>
    <n v="921.84"/>
    <n v="2"/>
    <s v="Consumer"/>
    <s v="Revolutionize Efficient Niches"/>
    <x v="1"/>
    <s v="Lopez-Torres"/>
    <n v="23.02"/>
    <n v="0.23551292991124578"/>
  </r>
  <r>
    <s v="ORD1665"/>
    <d v="2021-10-09T00:00:00"/>
    <x v="0"/>
    <s v="PROD148"/>
    <n v="4042.52"/>
    <n v="92.13"/>
    <n v="10"/>
    <s v="Consumer"/>
    <s v="Empower Seamless Roi"/>
    <x v="0"/>
    <s v="Proctor Group"/>
    <n v="266.64999999999998"/>
    <n v="2.2790239751442169E-2"/>
  </r>
  <r>
    <s v="ORD1666"/>
    <d v="2020-12-22T00:00:00"/>
    <x v="2"/>
    <s v="PROD174"/>
    <n v="3051.99"/>
    <n v="39.57"/>
    <n v="17"/>
    <s v="Corporate"/>
    <s v="Disintermediate Scalable Bandwidth"/>
    <x v="1"/>
    <s v="Levy PLC"/>
    <n v="19.86"/>
    <n v="1.2965311157638132E-2"/>
  </r>
  <r>
    <s v="ORD1667"/>
    <d v="2022-09-13T00:00:00"/>
    <x v="0"/>
    <s v="PROD117"/>
    <n v="2453.5100000000002"/>
    <n v="276.8"/>
    <n v="1"/>
    <s v="Consumer"/>
    <s v="Revolutionize Efficient Niches"/>
    <x v="1"/>
    <s v="Lopez-Torres"/>
    <n v="23.02"/>
    <n v="0.11281796283691527"/>
  </r>
  <r>
    <s v="ORD1668"/>
    <d v="2023-04-10T00:00:00"/>
    <x v="0"/>
    <s v="PROD174"/>
    <n v="3715.86"/>
    <n v="76.2"/>
    <n v="16"/>
    <s v="Corporate"/>
    <s v="Disintermediate Scalable Bandwidth"/>
    <x v="1"/>
    <s v="Levy PLC"/>
    <n v="19.86"/>
    <n v="2.0506692932457091E-2"/>
  </r>
  <r>
    <s v="ORD1669"/>
    <d v="2020-05-05T00:00:00"/>
    <x v="1"/>
    <s v="PROD199"/>
    <n v="2841.27"/>
    <n v="549.57000000000005"/>
    <n v="4"/>
    <s v="Corporate"/>
    <s v="Scale Cross-Platform Web Services"/>
    <x v="2"/>
    <s v="Morrow, Brock and Lewis"/>
    <n v="115.21"/>
    <n v="0.19342406740647669"/>
  </r>
  <r>
    <s v="ORD1670"/>
    <d v="2021-05-22T00:00:00"/>
    <x v="0"/>
    <s v="PROD130"/>
    <n v="1515.53"/>
    <n v="256.55"/>
    <n v="13"/>
    <s v="Corporate"/>
    <s v="Synthesize Wireless Initiatives"/>
    <x v="1"/>
    <s v="Mosley Ltd"/>
    <n v="162.69999999999999"/>
    <n v="0.16928071367772332"/>
  </r>
  <r>
    <s v="ORD1671"/>
    <d v="2022-02-20T00:00:00"/>
    <x v="2"/>
    <s v="PROD141"/>
    <n v="4030.19"/>
    <n v="315.62"/>
    <n v="10"/>
    <s v="Small Business"/>
    <s v="Re-Contextualize Integrated Info-Mediaries"/>
    <x v="1"/>
    <s v="Jones-Schroeder"/>
    <n v="26.02"/>
    <n v="7.8313925646185417E-2"/>
  </r>
  <r>
    <s v="ORD1672"/>
    <d v="2021-09-20T00:00:00"/>
    <x v="2"/>
    <s v="PROD147"/>
    <n v="303.58"/>
    <n v="727.97"/>
    <n v="4"/>
    <s v="Small Business"/>
    <s v="Brand B2C Info-Mediaries"/>
    <x v="0"/>
    <s v="Preston Ltd"/>
    <n v="13.46"/>
    <n v="2.3979511166743528"/>
  </r>
  <r>
    <s v="ORD1673"/>
    <d v="2022-06-22T00:00:00"/>
    <x v="3"/>
    <s v="PROD134"/>
    <n v="4350.83"/>
    <n v="775.83"/>
    <n v="18"/>
    <s v="Corporate"/>
    <s v="Utilize Ubiquitous Synergies"/>
    <x v="1"/>
    <s v="Kramer, Huang and Shaw"/>
    <n v="295.89999999999998"/>
    <n v="0.17831770030086214"/>
  </r>
  <r>
    <s v="ORD1674"/>
    <d v="2023-11-19T00:00:00"/>
    <x v="2"/>
    <s v="PROD169"/>
    <n v="4334.7"/>
    <n v="429.71"/>
    <n v="19"/>
    <s v="Consumer"/>
    <s v="Unleash End-To-End Web Services"/>
    <x v="0"/>
    <s v="Jones Ltd"/>
    <n v="188.02"/>
    <n v="9.9132581262832489E-2"/>
  </r>
  <r>
    <s v="ORD1675"/>
    <d v="2022-02-27T00:00:00"/>
    <x v="0"/>
    <s v="PROD167"/>
    <n v="79.11"/>
    <n v="562.98"/>
    <n v="13"/>
    <s v="Small Business"/>
    <s v="Grow Synergistic Infrastructures"/>
    <x v="2"/>
    <s v="Adams-Carter"/>
    <n v="113.17"/>
    <n v="7.1164201744406528"/>
  </r>
  <r>
    <s v="ORD1676"/>
    <d v="2020-04-23T00:00:00"/>
    <x v="2"/>
    <s v="PROD199"/>
    <n v="3247.11"/>
    <n v="62.28"/>
    <n v="4"/>
    <s v="Small Business"/>
    <s v="Scale Cross-Platform Web Services"/>
    <x v="2"/>
    <s v="Morrow, Brock and Lewis"/>
    <n v="115.21"/>
    <n v="1.9180132487042322E-2"/>
  </r>
  <r>
    <s v="ORD1677"/>
    <d v="2020-07-04T00:00:00"/>
    <x v="3"/>
    <s v="PROD118"/>
    <n v="1045.97"/>
    <n v="680.45"/>
    <n v="12"/>
    <s v="Small Business"/>
    <s v="Engineer Real-Time Architectures"/>
    <x v="2"/>
    <s v="James and Sons"/>
    <n v="127.23"/>
    <n v="0.65054447068271559"/>
  </r>
  <r>
    <s v="ORD1678"/>
    <d v="2020-07-05T00:00:00"/>
    <x v="0"/>
    <s v="PROD196"/>
    <n v="4825.6499999999996"/>
    <n v="533.19000000000005"/>
    <n v="1"/>
    <s v="Consumer"/>
    <s v="Strategize E-Business Content"/>
    <x v="1"/>
    <s v="Patterson LLC"/>
    <n v="294.02"/>
    <n v="0.11049081470889933"/>
  </r>
  <r>
    <s v="ORD1679"/>
    <d v="2021-08-08T00:00:00"/>
    <x v="3"/>
    <s v="PROD198"/>
    <n v="4614.75"/>
    <n v="628.09"/>
    <n v="18"/>
    <s v="Small Business"/>
    <s v="Visualize Dynamic E-Commerce"/>
    <x v="2"/>
    <s v="Jones LLC"/>
    <n v="92.61"/>
    <n v="0.13610488108781624"/>
  </r>
  <r>
    <s v="ORD1680"/>
    <d v="2021-11-04T00:00:00"/>
    <x v="0"/>
    <s v="PROD173"/>
    <n v="4496.4799999999996"/>
    <n v="833.34"/>
    <n v="8"/>
    <s v="Small Business"/>
    <s v="Whiteboard Sticky Content"/>
    <x v="2"/>
    <s v="Wolfe Group"/>
    <n v="82.16"/>
    <n v="0.18533163719175891"/>
  </r>
  <r>
    <s v="ORD1681"/>
    <d v="2024-07-28T00:00:00"/>
    <x v="1"/>
    <s v="PROD132"/>
    <n v="1576.7"/>
    <n v="478.58"/>
    <n v="3"/>
    <s v="Consumer"/>
    <s v="Synergize End-To-End Roi"/>
    <x v="1"/>
    <s v="Evans-Smith"/>
    <n v="159.85"/>
    <n v="0.30353269486903023"/>
  </r>
  <r>
    <s v="ORD1682"/>
    <d v="2024-09-12T00:00:00"/>
    <x v="1"/>
    <s v="PROD115"/>
    <n v="1510.44"/>
    <n v="416.19"/>
    <n v="2"/>
    <s v="Consumer"/>
    <s v="Morph World-Class Synergies"/>
    <x v="1"/>
    <s v="Bryant Ltd"/>
    <n v="20.69"/>
    <n v="0.27554222610630014"/>
  </r>
  <r>
    <s v="ORD1683"/>
    <d v="2022-10-10T00:00:00"/>
    <x v="2"/>
    <s v="PROD191"/>
    <n v="230.27"/>
    <n v="131.77000000000001"/>
    <n v="16"/>
    <s v="Consumer"/>
    <s v="Synergize Frictionless Synergies"/>
    <x v="2"/>
    <s v="Hester and Sons"/>
    <n v="289.06"/>
    <n v="0.57224128197333568"/>
  </r>
  <r>
    <s v="ORD1684"/>
    <d v="2023-05-02T00:00:00"/>
    <x v="0"/>
    <s v="PROD176"/>
    <n v="1320.37"/>
    <n v="135.44999999999999"/>
    <n v="15"/>
    <s v="Consumer"/>
    <s v="Facilitate Integrated E-Business"/>
    <x v="0"/>
    <s v="Chang-Vargas"/>
    <n v="130.33000000000001"/>
    <n v="0.1025848815104857"/>
  </r>
  <r>
    <s v="ORD1685"/>
    <d v="2020-12-24T00:00:00"/>
    <x v="2"/>
    <s v="PROD126"/>
    <n v="1521.42"/>
    <n v="680.21"/>
    <n v="5"/>
    <s v="Corporate"/>
    <s v="Streamline Innovative Architectures"/>
    <x v="2"/>
    <s v="Price, Valentine and Lutz"/>
    <n v="291.14999999999998"/>
    <n v="0.44708890378725141"/>
  </r>
  <r>
    <s v="ORD1686"/>
    <d v="2020-04-27T00:00:00"/>
    <x v="1"/>
    <s v="PROD143"/>
    <n v="1451.34"/>
    <n v="57.44"/>
    <n v="14"/>
    <s v="Corporate"/>
    <s v="E-Enable Synergistic Vortals"/>
    <x v="1"/>
    <s v="Guzman Group"/>
    <n v="278.43"/>
    <n v="3.9577218294817203E-2"/>
  </r>
  <r>
    <s v="ORD1687"/>
    <d v="2023-07-30T00:00:00"/>
    <x v="2"/>
    <s v="PROD113"/>
    <n v="3348.49"/>
    <n v="873.81"/>
    <n v="2"/>
    <s v="Consumer"/>
    <s v="Envisioneer B2B Users"/>
    <x v="0"/>
    <s v="Rogers Group"/>
    <n v="239.16"/>
    <n v="0.26095643110775307"/>
  </r>
  <r>
    <s v="ORD1688"/>
    <d v="2020-04-18T00:00:00"/>
    <x v="1"/>
    <s v="PROD197"/>
    <n v="3444.24"/>
    <n v="137.13999999999999"/>
    <n v="9"/>
    <s v="Consumer"/>
    <s v="Leverage Rich Portals"/>
    <x v="0"/>
    <s v="Wilson PLC"/>
    <n v="46.35"/>
    <n v="3.9817202053283159E-2"/>
  </r>
  <r>
    <s v="ORD1689"/>
    <d v="2022-10-18T00:00:00"/>
    <x v="1"/>
    <s v="PROD185"/>
    <n v="2456.92"/>
    <n v="817.5"/>
    <n v="6"/>
    <s v="Consumer"/>
    <s v="Generate End-To-End Functionalities"/>
    <x v="1"/>
    <s v="Sanchez-Stewart"/>
    <n v="196.15"/>
    <n v="0.33273366654184916"/>
  </r>
  <r>
    <s v="ORD1690"/>
    <d v="2020-05-24T00:00:00"/>
    <x v="2"/>
    <s v="PROD166"/>
    <n v="587.16"/>
    <n v="839.46"/>
    <n v="13"/>
    <s v="Consumer"/>
    <s v="Monetize Wireless Functionalities"/>
    <x v="2"/>
    <s v="Robinson, Rodriguez and Hernandez"/>
    <n v="162.22"/>
    <n v="1.4296954833435522"/>
  </r>
  <r>
    <s v="ORD1691"/>
    <d v="2022-01-19T00:00:00"/>
    <x v="2"/>
    <s v="PROD111"/>
    <n v="4298.62"/>
    <n v="694.33"/>
    <n v="18"/>
    <s v="Consumer"/>
    <s v="Harness Revolutionary Interfaces"/>
    <x v="2"/>
    <s v="Davis, Short and Nguyen"/>
    <n v="26.49"/>
    <n v="0.16152393093597481"/>
  </r>
  <r>
    <s v="ORD1692"/>
    <d v="2023-01-29T00:00:00"/>
    <x v="3"/>
    <s v="PROD159"/>
    <n v="4770.45"/>
    <n v="950.31"/>
    <n v="5"/>
    <s v="Small Business"/>
    <s v="Mesh Intuitive Supply-Chains"/>
    <x v="1"/>
    <s v="Soto, Barnett and Heath"/>
    <n v="281"/>
    <n v="0.19920762192246014"/>
  </r>
  <r>
    <s v="ORD1693"/>
    <d v="2020-03-25T00:00:00"/>
    <x v="0"/>
    <s v="PROD191"/>
    <n v="438.84"/>
    <n v="154.66"/>
    <n v="10"/>
    <s v="Corporate"/>
    <s v="Synergize Frictionless Synergies"/>
    <x v="2"/>
    <s v="Hester and Sons"/>
    <n v="289.06"/>
    <n v="0.35242913134627657"/>
  </r>
  <r>
    <s v="ORD1694"/>
    <d v="2020-07-16T00:00:00"/>
    <x v="1"/>
    <s v="PROD127"/>
    <n v="2508.4"/>
    <n v="276.45"/>
    <n v="3"/>
    <s v="Corporate"/>
    <s v="Deliver Viral Channels"/>
    <x v="2"/>
    <s v="Parker LLC"/>
    <n v="45.41"/>
    <n v="0.11020969542337744"/>
  </r>
  <r>
    <s v="ORD1695"/>
    <d v="2020-09-23T00:00:00"/>
    <x v="2"/>
    <s v="PROD135"/>
    <n v="548.38"/>
    <n v="342.07"/>
    <n v="19"/>
    <s v="Corporate"/>
    <s v="Optimize 24/365 E-Services"/>
    <x v="0"/>
    <s v="Chase Ltd"/>
    <n v="100.35"/>
    <n v="0.62378277836536711"/>
  </r>
  <r>
    <s v="ORD1696"/>
    <d v="2024-08-19T00:00:00"/>
    <x v="0"/>
    <s v="PROD159"/>
    <n v="85.51"/>
    <n v="179.7"/>
    <n v="17"/>
    <s v="Small Business"/>
    <s v="Mesh Intuitive Supply-Chains"/>
    <x v="1"/>
    <s v="Soto, Barnett and Heath"/>
    <n v="281"/>
    <n v="2.1015085954859076"/>
  </r>
  <r>
    <s v="ORD1697"/>
    <d v="2020-07-13T00:00:00"/>
    <x v="1"/>
    <s v="PROD158"/>
    <n v="2372.9299999999998"/>
    <n v="503.41"/>
    <n v="6"/>
    <s v="Corporate"/>
    <s v="Brand Web-Enabled Solutions"/>
    <x v="1"/>
    <s v="Russell Group"/>
    <n v="51.67"/>
    <n v="0.21214700812919052"/>
  </r>
  <r>
    <s v="ORD1698"/>
    <d v="2021-09-12T00:00:00"/>
    <x v="2"/>
    <s v="PROD112"/>
    <n v="1866.34"/>
    <n v="755.46"/>
    <n v="5"/>
    <s v="Small Business"/>
    <s v="Seize Clicks-And-Mortar Platforms"/>
    <x v="0"/>
    <s v="Owens, Campos and Wood"/>
    <n v="271.16000000000003"/>
    <n v="0.4047815510571493"/>
  </r>
  <r>
    <s v="ORD1699"/>
    <d v="2023-04-20T00:00:00"/>
    <x v="2"/>
    <s v="PROD101"/>
    <n v="2272.9299999999998"/>
    <n v="771.19"/>
    <n v="17"/>
    <s v="Corporate"/>
    <s v="Harness Proactive Eyeballs"/>
    <x v="1"/>
    <s v="Moran and Sons"/>
    <n v="58.01"/>
    <n v="0.33929333503451498"/>
  </r>
  <r>
    <s v="ORD1700"/>
    <d v="2020-08-12T00:00:00"/>
    <x v="0"/>
    <s v="PROD107"/>
    <n v="660.27"/>
    <n v="415.28"/>
    <n v="20"/>
    <s v="Small Business"/>
    <s v="Utilize Back-End Models"/>
    <x v="2"/>
    <s v="Lewis-Holden"/>
    <n v="241.53"/>
    <n v="0.62895482151241155"/>
  </r>
  <r>
    <s v="ORD1701"/>
    <d v="2021-03-13T00:00:00"/>
    <x v="0"/>
    <s v="PROD169"/>
    <n v="4618.4399999999996"/>
    <n v="671.56"/>
    <n v="18"/>
    <s v="Corporate"/>
    <s v="Unleash End-To-End Web Services"/>
    <x v="0"/>
    <s v="Jones Ltd"/>
    <n v="188.02"/>
    <n v="0.14540840630169494"/>
  </r>
  <r>
    <s v="ORD1702"/>
    <d v="2023-03-18T00:00:00"/>
    <x v="1"/>
    <s v="PROD155"/>
    <n v="283.02999999999997"/>
    <n v="632.17999999999995"/>
    <n v="4"/>
    <s v="Corporate"/>
    <s v="Incentivize User-Centric Mindshare"/>
    <x v="1"/>
    <s v="Becker, Wright and Wong"/>
    <n v="38.51"/>
    <n v="2.2336148111507614"/>
  </r>
  <r>
    <s v="ORD1703"/>
    <d v="2023-02-05T00:00:00"/>
    <x v="1"/>
    <s v="PROD148"/>
    <n v="2132.98"/>
    <n v="262.43"/>
    <n v="3"/>
    <s v="Small Business"/>
    <s v="Empower Seamless Roi"/>
    <x v="0"/>
    <s v="Proctor Group"/>
    <n v="266.64999999999998"/>
    <n v="0.12303444007913811"/>
  </r>
  <r>
    <s v="ORD1704"/>
    <d v="2020-01-21T00:00:00"/>
    <x v="0"/>
    <s v="PROD122"/>
    <n v="4258.38"/>
    <n v="118.55"/>
    <n v="17"/>
    <s v="Consumer"/>
    <s v="Empower Dot-Com Deliverables"/>
    <x v="1"/>
    <s v="Davis LLC"/>
    <n v="250.66"/>
    <n v="2.7839225245281068E-2"/>
  </r>
  <r>
    <s v="ORD1705"/>
    <d v="2020-07-16T00:00:00"/>
    <x v="1"/>
    <s v="PROD165"/>
    <n v="741.44"/>
    <n v="91.21"/>
    <n v="16"/>
    <s v="Corporate"/>
    <s v="Benchmark Cross-Platform Markets"/>
    <x v="2"/>
    <s v="Murphy, Mathews and Wilson"/>
    <n v="78.88"/>
    <n v="0.12301737160120844"/>
  </r>
  <r>
    <s v="ORD1706"/>
    <d v="2023-09-12T00:00:00"/>
    <x v="2"/>
    <s v="PROD138"/>
    <n v="3601.03"/>
    <n v="862.97"/>
    <n v="4"/>
    <s v="Corporate"/>
    <s v="Deliver Viral Eyeballs"/>
    <x v="0"/>
    <s v="Estes, Chan and Thomas"/>
    <n v="16.89"/>
    <n v="0.23964532369905275"/>
  </r>
  <r>
    <s v="ORD1707"/>
    <d v="2021-09-10T00:00:00"/>
    <x v="2"/>
    <s v="PROD141"/>
    <n v="4838.8999999999996"/>
    <n v="356.01"/>
    <n v="11"/>
    <s v="Small Business"/>
    <s v="Re-Contextualize Integrated Info-Mediaries"/>
    <x v="1"/>
    <s v="Jones-Schroeder"/>
    <n v="26.02"/>
    <n v="7.3572506148091507E-2"/>
  </r>
  <r>
    <s v="ORD1708"/>
    <d v="2022-05-13T00:00:00"/>
    <x v="2"/>
    <s v="PROD126"/>
    <n v="53.73"/>
    <n v="964.56"/>
    <n v="4"/>
    <s v="Corporate"/>
    <s v="Streamline Innovative Architectures"/>
    <x v="2"/>
    <s v="Price, Valentine and Lutz"/>
    <n v="291.14999999999998"/>
    <n v="17.951982132886656"/>
  </r>
  <r>
    <s v="ORD1709"/>
    <d v="2023-04-30T00:00:00"/>
    <x v="1"/>
    <s v="PROD126"/>
    <n v="3212.65"/>
    <n v="88.87"/>
    <n v="20"/>
    <s v="Small Business"/>
    <s v="Streamline Innovative Architectures"/>
    <x v="2"/>
    <s v="Price, Valentine and Lutz"/>
    <n v="291.14999999999998"/>
    <n v="2.7662521594322444E-2"/>
  </r>
  <r>
    <s v="ORD1710"/>
    <d v="2020-04-23T00:00:00"/>
    <x v="0"/>
    <s v="PROD171"/>
    <n v="2770.66"/>
    <n v="807.78"/>
    <n v="12"/>
    <s v="Small Business"/>
    <s v="Scale 24/365 Networks"/>
    <x v="2"/>
    <s v="Kim-Hamilton"/>
    <n v="157.55000000000001"/>
    <n v="0.29154786224220947"/>
  </r>
  <r>
    <s v="ORD1711"/>
    <d v="2022-11-09T00:00:00"/>
    <x v="1"/>
    <s v="PROD127"/>
    <n v="4575.7700000000004"/>
    <n v="477.28"/>
    <n v="2"/>
    <s v="Small Business"/>
    <s v="Deliver Viral Channels"/>
    <x v="2"/>
    <s v="Parker LLC"/>
    <n v="45.41"/>
    <n v="0.10430594195075363"/>
  </r>
  <r>
    <s v="ORD1712"/>
    <d v="2022-04-16T00:00:00"/>
    <x v="3"/>
    <s v="PROD194"/>
    <n v="99.11"/>
    <n v="782.72"/>
    <n v="8"/>
    <s v="Small Business"/>
    <s v="Leverage Scalable Interfaces"/>
    <x v="0"/>
    <s v="Kaufman-Jones"/>
    <n v="73.33"/>
    <n v="7.8974876399959646"/>
  </r>
  <r>
    <s v="ORD1713"/>
    <d v="2020-08-15T00:00:00"/>
    <x v="0"/>
    <s v="PROD174"/>
    <n v="2835.81"/>
    <n v="452.9"/>
    <n v="3"/>
    <s v="Corporate"/>
    <s v="Disintermediate Scalable Bandwidth"/>
    <x v="1"/>
    <s v="Levy PLC"/>
    <n v="19.86"/>
    <n v="0.15970745571811934"/>
  </r>
  <r>
    <s v="ORD1714"/>
    <d v="2024-03-04T00:00:00"/>
    <x v="0"/>
    <s v="PROD137"/>
    <n v="494.19"/>
    <n v="659.66"/>
    <n v="19"/>
    <s v="Small Business"/>
    <s v="Optimize Collaborative Initiatives"/>
    <x v="1"/>
    <s v="Adkins Ltd"/>
    <n v="34.46"/>
    <n v="1.3348307331188409"/>
  </r>
  <r>
    <s v="ORD1715"/>
    <d v="2021-10-11T00:00:00"/>
    <x v="0"/>
    <s v="PROD155"/>
    <n v="4875.84"/>
    <n v="640.54"/>
    <n v="2"/>
    <s v="Small Business"/>
    <s v="Incentivize User-Centric Mindshare"/>
    <x v="1"/>
    <s v="Becker, Wright and Wong"/>
    <n v="38.51"/>
    <n v="0.13137018441950515"/>
  </r>
  <r>
    <s v="ORD1716"/>
    <d v="2022-09-14T00:00:00"/>
    <x v="2"/>
    <s v="PROD123"/>
    <n v="218.81"/>
    <n v="146.32"/>
    <n v="1"/>
    <s v="Consumer"/>
    <s v="Redefine Real-Time Convergence"/>
    <x v="1"/>
    <s v="Hayes, Peters and Douglas"/>
    <n v="78.260000000000005"/>
    <n v="0.66870801151684101"/>
  </r>
  <r>
    <s v="ORD1717"/>
    <d v="2020-11-08T00:00:00"/>
    <x v="0"/>
    <s v="PROD185"/>
    <n v="2316.48"/>
    <n v="186.02"/>
    <n v="15"/>
    <s v="Small Business"/>
    <s v="Generate End-To-End Functionalities"/>
    <x v="1"/>
    <s v="Sanchez-Stewart"/>
    <n v="196.15"/>
    <n v="8.0302873325044904E-2"/>
  </r>
  <r>
    <s v="ORD1718"/>
    <d v="2023-04-08T00:00:00"/>
    <x v="3"/>
    <s v="PROD122"/>
    <n v="4630.67"/>
    <n v="122.53"/>
    <n v="3"/>
    <s v="Small Business"/>
    <s v="Empower Dot-Com Deliverables"/>
    <x v="1"/>
    <s v="Davis LLC"/>
    <n v="250.66"/>
    <n v="2.6460533788846972E-2"/>
  </r>
  <r>
    <s v="ORD1719"/>
    <d v="2022-03-31T00:00:00"/>
    <x v="0"/>
    <s v="PROD169"/>
    <n v="3890.14"/>
    <n v="848.66"/>
    <n v="14"/>
    <s v="Consumer"/>
    <s v="Unleash End-To-End Web Services"/>
    <x v="0"/>
    <s v="Jones Ltd"/>
    <n v="188.02"/>
    <n v="0.21815667302462122"/>
  </r>
  <r>
    <s v="ORD1720"/>
    <d v="2020-02-08T00:00:00"/>
    <x v="3"/>
    <s v="PROD160"/>
    <n v="1577.72"/>
    <n v="487.45"/>
    <n v="2"/>
    <s v="Small Business"/>
    <s v="Deliver Extensible Partnerships"/>
    <x v="2"/>
    <s v="Martin, Paul and Salazar"/>
    <n v="43.76"/>
    <n v="0.30895849707172374"/>
  </r>
  <r>
    <s v="ORD1721"/>
    <d v="2022-04-05T00:00:00"/>
    <x v="1"/>
    <s v="PROD149"/>
    <n v="2904.6"/>
    <n v="631.1"/>
    <n v="13"/>
    <s v="Consumer"/>
    <s v="Envisioneer B2C Web-Readiness"/>
    <x v="1"/>
    <s v="Kemp Group"/>
    <n v="97.23"/>
    <n v="0.2172760448943056"/>
  </r>
  <r>
    <s v="ORD1722"/>
    <d v="2021-08-17T00:00:00"/>
    <x v="1"/>
    <s v="PROD165"/>
    <n v="4452.8900000000003"/>
    <n v="106.54"/>
    <n v="18"/>
    <s v="Small Business"/>
    <s v="Benchmark Cross-Platform Markets"/>
    <x v="2"/>
    <s v="Murphy, Mathews and Wilson"/>
    <n v="78.88"/>
    <n v="2.3926034552840963E-2"/>
  </r>
  <r>
    <s v="ORD1723"/>
    <d v="2020-08-23T00:00:00"/>
    <x v="1"/>
    <s v="PROD137"/>
    <n v="2186.7600000000002"/>
    <n v="613.91"/>
    <n v="15"/>
    <s v="Consumer"/>
    <s v="Optimize Collaborative Initiatives"/>
    <x v="1"/>
    <s v="Adkins Ltd"/>
    <n v="34.46"/>
    <n v="0.28073954160493148"/>
  </r>
  <r>
    <s v="ORD1724"/>
    <d v="2024-04-22T00:00:00"/>
    <x v="3"/>
    <s v="PROD174"/>
    <n v="4527.54"/>
    <n v="68.209999999999994"/>
    <n v="19"/>
    <s v="Corporate"/>
    <s v="Disintermediate Scalable Bandwidth"/>
    <x v="1"/>
    <s v="Levy PLC"/>
    <n v="19.86"/>
    <n v="1.5065576449904361E-2"/>
  </r>
  <r>
    <s v="ORD1725"/>
    <d v="2020-08-07T00:00:00"/>
    <x v="0"/>
    <s v="PROD167"/>
    <n v="3420.6"/>
    <n v="834.25"/>
    <n v="14"/>
    <s v="Small Business"/>
    <s v="Grow Synergistic Infrastructures"/>
    <x v="2"/>
    <s v="Adams-Carter"/>
    <n v="113.17"/>
    <n v="0.24388996082558617"/>
  </r>
  <r>
    <s v="ORD1726"/>
    <d v="2024-08-03T00:00:00"/>
    <x v="0"/>
    <s v="PROD137"/>
    <n v="3734.92"/>
    <n v="718.15"/>
    <n v="16"/>
    <s v="Consumer"/>
    <s v="Optimize Collaborative Initiatives"/>
    <x v="1"/>
    <s v="Adkins Ltd"/>
    <n v="34.46"/>
    <n v="0.19227988819037622"/>
  </r>
  <r>
    <s v="ORD1727"/>
    <d v="2022-11-11T00:00:00"/>
    <x v="3"/>
    <s v="PROD141"/>
    <n v="4631.2299999999996"/>
    <n v="445.61"/>
    <n v="3"/>
    <s v="Corporate"/>
    <s v="Re-Contextualize Integrated Info-Mediaries"/>
    <x v="1"/>
    <s v="Jones-Schroeder"/>
    <n v="26.02"/>
    <n v="9.6218499189200293E-2"/>
  </r>
  <r>
    <s v="ORD1728"/>
    <d v="2022-09-22T00:00:00"/>
    <x v="1"/>
    <s v="PROD154"/>
    <n v="2500.27"/>
    <n v="693.82"/>
    <n v="16"/>
    <s v="Consumer"/>
    <s v="Utilize Virtual Partnerships"/>
    <x v="2"/>
    <s v="Smith, Diaz and Heath"/>
    <n v="193.02"/>
    <n v="0.27749803021273706"/>
  </r>
  <r>
    <s v="ORD1729"/>
    <d v="2021-04-18T00:00:00"/>
    <x v="3"/>
    <s v="PROD156"/>
    <n v="402.16"/>
    <n v="344.04"/>
    <n v="1"/>
    <s v="Consumer"/>
    <s v="Empower Killer Info-Mediaries"/>
    <x v="2"/>
    <s v="Jones Ltd"/>
    <n v="213.24"/>
    <n v="0.85548040580863338"/>
  </r>
  <r>
    <s v="ORD1730"/>
    <d v="2023-03-12T00:00:00"/>
    <x v="2"/>
    <s v="PROD132"/>
    <n v="3914.57"/>
    <n v="613.87"/>
    <n v="3"/>
    <s v="Corporate"/>
    <s v="Synergize End-To-End Roi"/>
    <x v="1"/>
    <s v="Evans-Smith"/>
    <n v="159.85"/>
    <n v="0.15681671294676042"/>
  </r>
  <r>
    <s v="ORD1731"/>
    <d v="2023-11-02T00:00:00"/>
    <x v="0"/>
    <s v="PROD187"/>
    <n v="3668.56"/>
    <n v="176.38"/>
    <n v="2"/>
    <s v="Consumer"/>
    <s v="Whiteboard Compelling Experiences"/>
    <x v="2"/>
    <s v="Carrillo, Carr and Ball"/>
    <n v="206.54"/>
    <n v="4.8078810214362035E-2"/>
  </r>
  <r>
    <s v="ORD1732"/>
    <d v="2024-02-25T00:00:00"/>
    <x v="1"/>
    <s v="PROD108"/>
    <n v="2502.42"/>
    <n v="871.38"/>
    <n v="16"/>
    <s v="Corporate"/>
    <s v="Synergize World-Class Networks"/>
    <x v="1"/>
    <s v="Gomez-Lawrence"/>
    <n v="72.37"/>
    <n v="0.34821492794974462"/>
  </r>
  <r>
    <s v="ORD1733"/>
    <d v="2021-12-03T00:00:00"/>
    <x v="0"/>
    <s v="PROD152"/>
    <n v="3640.92"/>
    <n v="956.47"/>
    <n v="20"/>
    <s v="Consumer"/>
    <s v="Reinvent Frictionless Roi"/>
    <x v="2"/>
    <s v="Bridges, Castillo and Rodriguez"/>
    <n v="253.89"/>
    <n v="0.26270008679125056"/>
  </r>
  <r>
    <s v="ORD1734"/>
    <d v="2023-08-29T00:00:00"/>
    <x v="0"/>
    <s v="PROD113"/>
    <n v="2394.58"/>
    <n v="696.63"/>
    <n v="5"/>
    <s v="Consumer"/>
    <s v="Envisioneer B2B Users"/>
    <x v="0"/>
    <s v="Rogers Group"/>
    <n v="239.16"/>
    <n v="0.29091949318878468"/>
  </r>
  <r>
    <s v="ORD1735"/>
    <d v="2022-10-27T00:00:00"/>
    <x v="0"/>
    <s v="PROD183"/>
    <n v="626.36"/>
    <n v="229.15"/>
    <n v="16"/>
    <s v="Small Business"/>
    <s v="Incentivize Front-End Mindshare"/>
    <x v="1"/>
    <s v="Phillips-Tran"/>
    <n v="196.86"/>
    <n v="0.36584392362219809"/>
  </r>
  <r>
    <s v="ORD1736"/>
    <d v="2022-06-08T00:00:00"/>
    <x v="3"/>
    <s v="PROD191"/>
    <n v="2644.34"/>
    <n v="46.81"/>
    <n v="7"/>
    <s v="Corporate"/>
    <s v="Synergize Frictionless Synergies"/>
    <x v="2"/>
    <s v="Hester and Sons"/>
    <n v="289.06"/>
    <n v="1.7701959657230159E-2"/>
  </r>
  <r>
    <s v="ORD1737"/>
    <d v="2024-03-27T00:00:00"/>
    <x v="2"/>
    <s v="PROD147"/>
    <n v="2902.72"/>
    <n v="79.16"/>
    <n v="12"/>
    <s v="Small Business"/>
    <s v="Brand B2C Info-Mediaries"/>
    <x v="0"/>
    <s v="Preston Ltd"/>
    <n v="13.46"/>
    <n v="2.7270973431815677E-2"/>
  </r>
  <r>
    <s v="ORD1738"/>
    <d v="2020-07-16T00:00:00"/>
    <x v="0"/>
    <s v="PROD145"/>
    <n v="3823.95"/>
    <n v="680.63"/>
    <n v="4"/>
    <s v="Small Business"/>
    <s v="Innovate Strategic Systems"/>
    <x v="0"/>
    <s v="Mcfarland, Parker and Armstrong"/>
    <n v="70.239999999999995"/>
    <n v="0.17799134402907987"/>
  </r>
  <r>
    <s v="ORD1739"/>
    <d v="2024-09-03T00:00:00"/>
    <x v="3"/>
    <s v="PROD145"/>
    <n v="1021.55"/>
    <n v="29.98"/>
    <n v="13"/>
    <s v="Corporate"/>
    <s v="Innovate Strategic Systems"/>
    <x v="0"/>
    <s v="Mcfarland, Parker and Armstrong"/>
    <n v="70.239999999999995"/>
    <n v="2.9347560080270181E-2"/>
  </r>
  <r>
    <s v="ORD1740"/>
    <d v="2020-06-07T00:00:00"/>
    <x v="2"/>
    <s v="PROD107"/>
    <n v="4720.78"/>
    <n v="213.92"/>
    <n v="9"/>
    <s v="Consumer"/>
    <s v="Utilize Back-End Models"/>
    <x v="2"/>
    <s v="Lewis-Holden"/>
    <n v="241.53"/>
    <n v="4.5314545477654115E-2"/>
  </r>
  <r>
    <s v="ORD1741"/>
    <d v="2024-07-12T00:00:00"/>
    <x v="1"/>
    <s v="PROD149"/>
    <n v="2246.85"/>
    <n v="22.86"/>
    <n v="14"/>
    <s v="Small Business"/>
    <s v="Envisioneer B2C Web-Readiness"/>
    <x v="1"/>
    <s v="Kemp Group"/>
    <n v="97.23"/>
    <n v="1.0174243941518125E-2"/>
  </r>
  <r>
    <s v="ORD1742"/>
    <d v="2022-09-28T00:00:00"/>
    <x v="3"/>
    <s v="PROD138"/>
    <n v="2034.14"/>
    <n v="850.08"/>
    <n v="13"/>
    <s v="Corporate"/>
    <s v="Deliver Viral Eyeballs"/>
    <x v="0"/>
    <s v="Estes, Chan and Thomas"/>
    <n v="16.89"/>
    <n v="0.41790633879673966"/>
  </r>
  <r>
    <s v="ORD1743"/>
    <d v="2020-02-16T00:00:00"/>
    <x v="2"/>
    <s v="PROD166"/>
    <n v="202.76"/>
    <n v="563.79999999999995"/>
    <n v="1"/>
    <s v="Consumer"/>
    <s v="Monetize Wireless Functionalities"/>
    <x v="2"/>
    <s v="Robinson, Rodriguez and Hernandez"/>
    <n v="162.22"/>
    <n v="2.7806273426711381"/>
  </r>
  <r>
    <s v="ORD1744"/>
    <d v="2020-02-15T00:00:00"/>
    <x v="2"/>
    <s v="PROD144"/>
    <n v="1644.71"/>
    <n v="132.03"/>
    <n v="1"/>
    <s v="Corporate"/>
    <s v="Expedite Synergistic Web-Readiness"/>
    <x v="1"/>
    <s v="Dunlap, Carpenter and Monroe"/>
    <n v="289.66000000000003"/>
    <n v="8.027555009697758E-2"/>
  </r>
  <r>
    <s v="ORD1745"/>
    <d v="2021-01-07T00:00:00"/>
    <x v="1"/>
    <s v="PROD117"/>
    <n v="222.39"/>
    <n v="182.75"/>
    <n v="12"/>
    <s v="Small Business"/>
    <s v="Revolutionize Efficient Niches"/>
    <x v="1"/>
    <s v="Lopez-Torres"/>
    <n v="23.02"/>
    <n v="0.82175457529565188"/>
  </r>
  <r>
    <s v="ORD1746"/>
    <d v="2022-11-06T00:00:00"/>
    <x v="1"/>
    <s v="PROD146"/>
    <n v="392.01"/>
    <n v="995.03"/>
    <n v="12"/>
    <s v="Consumer"/>
    <s v="Engage Rich Web-Readiness"/>
    <x v="0"/>
    <s v="Turner Inc"/>
    <n v="81.069999999999993"/>
    <n v="2.5382770847682457"/>
  </r>
  <r>
    <s v="ORD1747"/>
    <d v="2021-09-12T00:00:00"/>
    <x v="2"/>
    <s v="PROD180"/>
    <n v="716.51"/>
    <n v="254.81"/>
    <n v="10"/>
    <s v="Corporate"/>
    <s v="Iterate Extensible Roi"/>
    <x v="0"/>
    <s v="Hill-Kelly"/>
    <n v="180"/>
    <n v="0.35562657883351245"/>
  </r>
  <r>
    <s v="ORD1748"/>
    <d v="2022-04-09T00:00:00"/>
    <x v="2"/>
    <s v="PROD143"/>
    <n v="3427.01"/>
    <n v="734.07"/>
    <n v="9"/>
    <s v="Corporate"/>
    <s v="E-Enable Synergistic Vortals"/>
    <x v="1"/>
    <s v="Guzman Group"/>
    <n v="278.43"/>
    <n v="0.21420130084242534"/>
  </r>
  <r>
    <s v="ORD1749"/>
    <d v="2021-09-23T00:00:00"/>
    <x v="1"/>
    <s v="PROD198"/>
    <n v="1215.96"/>
    <n v="947.97"/>
    <n v="14"/>
    <s v="Corporate"/>
    <s v="Visualize Dynamic E-Commerce"/>
    <x v="2"/>
    <s v="Jones LLC"/>
    <n v="92.61"/>
    <n v="0.77960623704727128"/>
  </r>
  <r>
    <s v="ORD1750"/>
    <d v="2023-01-22T00:00:00"/>
    <x v="2"/>
    <s v="PROD162"/>
    <n v="1649.81"/>
    <n v="727.9"/>
    <n v="9"/>
    <s v="Consumer"/>
    <s v="Reinvent Visionary Niches"/>
    <x v="2"/>
    <s v="Huber-Richmond"/>
    <n v="219.81"/>
    <n v="0.44120232026718226"/>
  </r>
  <r>
    <s v="ORD1751"/>
    <d v="2021-02-01T00:00:00"/>
    <x v="2"/>
    <s v="PROD102"/>
    <n v="2749.5"/>
    <n v="419.99"/>
    <n v="10"/>
    <s v="Small Business"/>
    <s v="Optimize Transparent E-Markets"/>
    <x v="0"/>
    <s v="Lee, Tyler and Blevins"/>
    <n v="111.22"/>
    <n v="0.15275140934715403"/>
  </r>
  <r>
    <s v="ORD1752"/>
    <d v="2023-08-11T00:00:00"/>
    <x v="1"/>
    <s v="PROD147"/>
    <n v="2223.2199999999998"/>
    <n v="57.22"/>
    <n v="10"/>
    <s v="Consumer"/>
    <s v="Brand B2C Info-Mediaries"/>
    <x v="0"/>
    <s v="Preston Ltd"/>
    <n v="13.46"/>
    <n v="2.5737443887694427E-2"/>
  </r>
  <r>
    <s v="ORD1753"/>
    <d v="2020-04-13T00:00:00"/>
    <x v="1"/>
    <s v="PROD133"/>
    <n v="117.79"/>
    <n v="401.58"/>
    <n v="13"/>
    <s v="Corporate"/>
    <s v="Re-Intermediate Seamless Applications"/>
    <x v="0"/>
    <s v="Welch-Reed"/>
    <n v="45.82"/>
    <n v="3.4092877154257573"/>
  </r>
  <r>
    <s v="ORD1754"/>
    <d v="2024-03-24T00:00:00"/>
    <x v="1"/>
    <s v="PROD118"/>
    <n v="2762.51"/>
    <n v="855.96"/>
    <n v="2"/>
    <s v="Consumer"/>
    <s v="Engineer Real-Time Architectures"/>
    <x v="2"/>
    <s v="James and Sons"/>
    <n v="127.23"/>
    <n v="0.30984865213157597"/>
  </r>
  <r>
    <s v="ORD1755"/>
    <d v="2022-04-22T00:00:00"/>
    <x v="3"/>
    <s v="PROD119"/>
    <n v="2590.48"/>
    <n v="745.08"/>
    <n v="4"/>
    <s v="Consumer"/>
    <s v="Generate Front-End Functionalities"/>
    <x v="0"/>
    <s v="Morales-Brown"/>
    <n v="299.77"/>
    <n v="0.28762237114357186"/>
  </r>
  <r>
    <s v="ORD1756"/>
    <d v="2024-02-27T00:00:00"/>
    <x v="3"/>
    <s v="PROD147"/>
    <n v="3607.64"/>
    <n v="54.42"/>
    <n v="4"/>
    <s v="Corporate"/>
    <s v="Brand B2C Info-Mediaries"/>
    <x v="0"/>
    <s v="Preston Ltd"/>
    <n v="13.46"/>
    <n v="1.508465367941369E-2"/>
  </r>
  <r>
    <s v="ORD1757"/>
    <d v="2024-03-30T00:00:00"/>
    <x v="2"/>
    <s v="PROD139"/>
    <n v="1507.68"/>
    <n v="774.66"/>
    <n v="4"/>
    <s v="Consumer"/>
    <s v="Re-Contextualize Viral Mindshare"/>
    <x v="1"/>
    <s v="Carter-Lane"/>
    <n v="142.25"/>
    <n v="0.51380929640241957"/>
  </r>
  <r>
    <s v="ORD1758"/>
    <d v="2023-12-05T00:00:00"/>
    <x v="2"/>
    <s v="PROD135"/>
    <n v="1426.51"/>
    <n v="722.14"/>
    <n v="4"/>
    <s v="Corporate"/>
    <s v="Optimize 24/365 E-Services"/>
    <x v="0"/>
    <s v="Chase Ltd"/>
    <n v="100.35"/>
    <n v="0.5062284877077623"/>
  </r>
  <r>
    <s v="ORD1759"/>
    <d v="2022-10-21T00:00:00"/>
    <x v="2"/>
    <s v="PROD186"/>
    <n v="1585.32"/>
    <n v="240.46"/>
    <n v="17"/>
    <s v="Small Business"/>
    <s v="Reinvent Mission-Critical Markets"/>
    <x v="2"/>
    <s v="Gilbert-Sanders"/>
    <n v="154.21"/>
    <n v="0.15167915625867334"/>
  </r>
  <r>
    <s v="ORD1760"/>
    <d v="2024-03-25T00:00:00"/>
    <x v="0"/>
    <s v="PROD164"/>
    <n v="57.42"/>
    <n v="626.1"/>
    <n v="15"/>
    <s v="Corporate"/>
    <s v="Transition Compelling Web-Readiness"/>
    <x v="2"/>
    <s v="Wood-Beck"/>
    <n v="88.34"/>
    <n v="10.903866248693834"/>
  </r>
  <r>
    <s v="ORD1761"/>
    <d v="2024-04-23T00:00:00"/>
    <x v="2"/>
    <s v="PROD107"/>
    <n v="2640.33"/>
    <n v="94.72"/>
    <n v="1"/>
    <s v="Consumer"/>
    <s v="Utilize Back-End Models"/>
    <x v="2"/>
    <s v="Lewis-Holden"/>
    <n v="241.53"/>
    <n v="3.5874303590839027E-2"/>
  </r>
  <r>
    <s v="ORD1762"/>
    <d v="2024-01-16T00:00:00"/>
    <x v="3"/>
    <s v="PROD164"/>
    <n v="420.94"/>
    <n v="540.75"/>
    <n v="14"/>
    <s v="Consumer"/>
    <s v="Transition Compelling Web-Readiness"/>
    <x v="2"/>
    <s v="Wood-Beck"/>
    <n v="88.34"/>
    <n v="1.2846248871573145"/>
  </r>
  <r>
    <s v="ORD1763"/>
    <d v="2020-10-09T00:00:00"/>
    <x v="2"/>
    <s v="PROD168"/>
    <n v="1866.17"/>
    <n v="750.66"/>
    <n v="16"/>
    <s v="Corporate"/>
    <s v="Facilitate End-To-End Experiences"/>
    <x v="0"/>
    <s v="Pierce-Goodwin"/>
    <n v="260.52999999999997"/>
    <n v="0.40224631196514782"/>
  </r>
  <r>
    <s v="ORD1764"/>
    <d v="2022-01-23T00:00:00"/>
    <x v="1"/>
    <s v="PROD105"/>
    <n v="1401.5"/>
    <n v="191.06"/>
    <n v="1"/>
    <s v="Consumer"/>
    <s v="Transform Holistic Functionalities"/>
    <x v="0"/>
    <s v="Ruiz Ltd"/>
    <n v="179.27"/>
    <n v="0.13632536567962897"/>
  </r>
  <r>
    <s v="ORD1765"/>
    <d v="2024-04-23T00:00:00"/>
    <x v="0"/>
    <s v="PROD113"/>
    <n v="4354.63"/>
    <n v="477.53"/>
    <n v="18"/>
    <s v="Small Business"/>
    <s v="Envisioneer B2B Users"/>
    <x v="0"/>
    <s v="Rogers Group"/>
    <n v="239.16"/>
    <n v="0.10966029260809758"/>
  </r>
  <r>
    <s v="ORD1766"/>
    <d v="2021-04-19T00:00:00"/>
    <x v="2"/>
    <s v="PROD138"/>
    <n v="132.53"/>
    <n v="801.55"/>
    <n v="16"/>
    <s v="Corporate"/>
    <s v="Deliver Viral Eyeballs"/>
    <x v="0"/>
    <s v="Estes, Chan and Thomas"/>
    <n v="16.89"/>
    <n v="6.0480645891496261"/>
  </r>
  <r>
    <s v="ORD1767"/>
    <d v="2021-02-11T00:00:00"/>
    <x v="0"/>
    <s v="PROD149"/>
    <n v="337.82"/>
    <n v="708.89"/>
    <n v="4"/>
    <s v="Small Business"/>
    <s v="Envisioneer B2C Web-Readiness"/>
    <x v="1"/>
    <s v="Kemp Group"/>
    <n v="97.23"/>
    <n v="2.0984251968503935"/>
  </r>
  <r>
    <s v="ORD1768"/>
    <d v="2023-05-29T00:00:00"/>
    <x v="1"/>
    <s v="PROD144"/>
    <n v="2271.19"/>
    <n v="250.51"/>
    <n v="1"/>
    <s v="Small Business"/>
    <s v="Expedite Synergistic Web-Readiness"/>
    <x v="1"/>
    <s v="Dunlap, Carpenter and Monroe"/>
    <n v="289.66000000000003"/>
    <n v="0.11029900624782603"/>
  </r>
  <r>
    <s v="ORD1769"/>
    <d v="2022-06-26T00:00:00"/>
    <x v="2"/>
    <s v="PROD179"/>
    <n v="173.98"/>
    <n v="37.909999999999997"/>
    <n v="19"/>
    <s v="Corporate"/>
    <s v="Target Viral Methodologies"/>
    <x v="1"/>
    <s v="Alvarez, Myers and Walter"/>
    <n v="149.26"/>
    <n v="0.21789860903552133"/>
  </r>
  <r>
    <s v="ORD1770"/>
    <d v="2022-08-21T00:00:00"/>
    <x v="0"/>
    <s v="PROD194"/>
    <n v="1128.97"/>
    <n v="345.26"/>
    <n v="5"/>
    <s v="Small Business"/>
    <s v="Leverage Scalable Interfaces"/>
    <x v="0"/>
    <s v="Kaufman-Jones"/>
    <n v="73.33"/>
    <n v="0.30581857799587231"/>
  </r>
  <r>
    <s v="ORD1771"/>
    <d v="2022-01-20T00:00:00"/>
    <x v="3"/>
    <s v="PROD154"/>
    <n v="67.27"/>
    <n v="591.09"/>
    <n v="4"/>
    <s v="Small Business"/>
    <s v="Utilize Virtual Partnerships"/>
    <x v="2"/>
    <s v="Smith, Diaz and Heath"/>
    <n v="193.02"/>
    <n v="8.7868291957782088"/>
  </r>
  <r>
    <s v="ORD1772"/>
    <d v="2021-06-26T00:00:00"/>
    <x v="1"/>
    <s v="PROD119"/>
    <n v="645.88"/>
    <n v="397.57"/>
    <n v="15"/>
    <s v="Consumer"/>
    <s v="Generate Front-End Functionalities"/>
    <x v="0"/>
    <s v="Morales-Brown"/>
    <n v="299.77"/>
    <n v="0.61554777977333253"/>
  </r>
  <r>
    <s v="ORD1773"/>
    <d v="2021-08-08T00:00:00"/>
    <x v="0"/>
    <s v="PROD101"/>
    <n v="808.05"/>
    <n v="523.58000000000004"/>
    <n v="14"/>
    <s v="Small Business"/>
    <s v="Harness Proactive Eyeballs"/>
    <x v="1"/>
    <s v="Moran and Sons"/>
    <n v="58.01"/>
    <n v="0.647954953282594"/>
  </r>
  <r>
    <s v="ORD1774"/>
    <d v="2022-07-08T00:00:00"/>
    <x v="3"/>
    <s v="PROD178"/>
    <n v="1709.68"/>
    <n v="728.07"/>
    <n v="11"/>
    <s v="Corporate"/>
    <s v="Monetize Value-Added Niches"/>
    <x v="0"/>
    <s v="Foster, Velazquez and Lee"/>
    <n v="171.51"/>
    <n v="0.42585162135604326"/>
  </r>
  <r>
    <s v="ORD1775"/>
    <d v="2021-09-01T00:00:00"/>
    <x v="3"/>
    <s v="PROD154"/>
    <n v="1595.32"/>
    <n v="488.95"/>
    <n v="4"/>
    <s v="Corporate"/>
    <s v="Utilize Virtual Partnerships"/>
    <x v="2"/>
    <s v="Smith, Diaz and Heath"/>
    <n v="193.02"/>
    <n v="0.30649023393425773"/>
  </r>
  <r>
    <s v="ORD1776"/>
    <d v="2021-03-07T00:00:00"/>
    <x v="3"/>
    <s v="PROD190"/>
    <n v="4646.8"/>
    <n v="148.56"/>
    <n v="2"/>
    <s v="Consumer"/>
    <s v="Repurpose End-To-End Networks"/>
    <x v="0"/>
    <s v="Torres-Rush"/>
    <n v="97.02"/>
    <n v="3.1970388224154253E-2"/>
  </r>
  <r>
    <s v="ORD1777"/>
    <d v="2023-03-30T00:00:00"/>
    <x v="2"/>
    <s v="PROD174"/>
    <n v="4697.49"/>
    <n v="609.64"/>
    <n v="8"/>
    <s v="Small Business"/>
    <s v="Disintermediate Scalable Bandwidth"/>
    <x v="1"/>
    <s v="Levy PLC"/>
    <n v="19.86"/>
    <n v="0.12977994631175371"/>
  </r>
  <r>
    <s v="ORD1778"/>
    <d v="2022-03-02T00:00:00"/>
    <x v="3"/>
    <s v="PROD126"/>
    <n v="760.41"/>
    <n v="909.63"/>
    <n v="14"/>
    <s v="Corporate"/>
    <s v="Streamline Innovative Architectures"/>
    <x v="2"/>
    <s v="Price, Valentine and Lutz"/>
    <n v="291.14999999999998"/>
    <n v="1.1962362409752634"/>
  </r>
  <r>
    <s v="ORD1779"/>
    <d v="2020-06-25T00:00:00"/>
    <x v="1"/>
    <s v="PROD153"/>
    <n v="3230.8"/>
    <n v="132.88"/>
    <n v="16"/>
    <s v="Consumer"/>
    <s v="Seize Plug-And-Play Web-Readiness"/>
    <x v="1"/>
    <s v="Joseph, Mayer and Carr"/>
    <n v="102.73"/>
    <n v="4.1129132103503774E-2"/>
  </r>
  <r>
    <s v="ORD1780"/>
    <d v="2022-03-09T00:00:00"/>
    <x v="3"/>
    <s v="PROD107"/>
    <n v="563.73"/>
    <n v="767.32"/>
    <n v="2"/>
    <s v="Corporate"/>
    <s v="Utilize Back-End Models"/>
    <x v="2"/>
    <s v="Lewis-Holden"/>
    <n v="241.53"/>
    <n v="1.3611480673372005"/>
  </r>
  <r>
    <s v="ORD1781"/>
    <d v="2020-04-02T00:00:00"/>
    <x v="2"/>
    <s v="PROD134"/>
    <n v="1040.97"/>
    <n v="376.61"/>
    <n v="13"/>
    <s v="Consumer"/>
    <s v="Utilize Ubiquitous Synergies"/>
    <x v="1"/>
    <s v="Kramer, Huang and Shaw"/>
    <n v="295.89999999999998"/>
    <n v="0.36178756352248387"/>
  </r>
  <r>
    <s v="ORD1782"/>
    <d v="2021-11-02T00:00:00"/>
    <x v="0"/>
    <s v="PROD108"/>
    <n v="218.21"/>
    <n v="735.77"/>
    <n v="17"/>
    <s v="Consumer"/>
    <s v="Synergize World-Class Networks"/>
    <x v="1"/>
    <s v="Gomez-Lawrence"/>
    <n v="72.37"/>
    <n v="3.3718436368635718"/>
  </r>
  <r>
    <s v="ORD1783"/>
    <d v="2023-12-30T00:00:00"/>
    <x v="1"/>
    <s v="PROD143"/>
    <n v="4871.41"/>
    <n v="884.63"/>
    <n v="11"/>
    <s v="Small Business"/>
    <s v="E-Enable Synergistic Vortals"/>
    <x v="1"/>
    <s v="Guzman Group"/>
    <n v="278.43"/>
    <n v="0.18159629347560563"/>
  </r>
  <r>
    <s v="ORD1784"/>
    <d v="2020-06-13T00:00:00"/>
    <x v="2"/>
    <s v="PROD116"/>
    <n v="4907.21"/>
    <n v="386.45"/>
    <n v="8"/>
    <s v="Consumer"/>
    <s v="Synergize Cross-Platform Vortals"/>
    <x v="2"/>
    <s v="Edwards Group"/>
    <n v="87.18"/>
    <n v="7.8751469776104949E-2"/>
  </r>
  <r>
    <s v="ORD1785"/>
    <d v="2020-01-25T00:00:00"/>
    <x v="2"/>
    <s v="PROD103"/>
    <n v="4143.72"/>
    <n v="103.17"/>
    <n v="8"/>
    <s v="Small Business"/>
    <s v="Monetize Collaborative Metrics"/>
    <x v="1"/>
    <s v="Ramirez-Brown"/>
    <n v="286.04000000000002"/>
    <n v="2.4897917812979641E-2"/>
  </r>
  <r>
    <s v="ORD1786"/>
    <d v="2021-05-13T00:00:00"/>
    <x v="0"/>
    <s v="PROD156"/>
    <n v="2385.91"/>
    <n v="970.71"/>
    <n v="11"/>
    <s v="Consumer"/>
    <s v="Empower Killer Info-Mediaries"/>
    <x v="2"/>
    <s v="Jones Ltd"/>
    <n v="213.24"/>
    <n v="0.40685105473383326"/>
  </r>
  <r>
    <s v="ORD1787"/>
    <d v="2024-07-05T00:00:00"/>
    <x v="1"/>
    <s v="PROD125"/>
    <n v="2480.5300000000002"/>
    <n v="264.87"/>
    <n v="15"/>
    <s v="Corporate"/>
    <s v="Leverage Cutting-Edge Vortals"/>
    <x v="1"/>
    <s v="Robinson, Garrett and Chavez"/>
    <n v="117.3"/>
    <n v="0.10677959952107009"/>
  </r>
  <r>
    <s v="ORD1788"/>
    <d v="2020-11-09T00:00:00"/>
    <x v="2"/>
    <s v="PROD107"/>
    <n v="3748.27"/>
    <n v="939.98"/>
    <n v="18"/>
    <s v="Corporate"/>
    <s v="Utilize Back-End Models"/>
    <x v="2"/>
    <s v="Lewis-Holden"/>
    <n v="241.53"/>
    <n v="0.25077702513426192"/>
  </r>
  <r>
    <s v="ORD1789"/>
    <d v="2024-08-06T00:00:00"/>
    <x v="3"/>
    <s v="PROD169"/>
    <n v="3035.89"/>
    <n v="985.28"/>
    <n v="13"/>
    <s v="Consumer"/>
    <s v="Unleash End-To-End Web Services"/>
    <x v="0"/>
    <s v="Jones Ltd"/>
    <n v="188.02"/>
    <n v="0.32454403815685023"/>
  </r>
  <r>
    <s v="ORD1790"/>
    <d v="2024-09-16T00:00:00"/>
    <x v="3"/>
    <s v="PROD136"/>
    <n v="3983.37"/>
    <n v="965.15"/>
    <n v="10"/>
    <s v="Corporate"/>
    <s v="Evolve Innovative Web Services"/>
    <x v="2"/>
    <s v="Bush Inc"/>
    <n v="87.75"/>
    <n v="0.2422948408006286"/>
  </r>
  <r>
    <s v="ORD1791"/>
    <d v="2022-04-09T00:00:00"/>
    <x v="2"/>
    <s v="PROD162"/>
    <n v="3991.86"/>
    <n v="44.66"/>
    <n v="1"/>
    <s v="Consumer"/>
    <s v="Reinvent Visionary Niches"/>
    <x v="2"/>
    <s v="Huber-Richmond"/>
    <n v="219.81"/>
    <n v="1.1187767106060833E-2"/>
  </r>
  <r>
    <s v="ORD1792"/>
    <d v="2020-07-11T00:00:00"/>
    <x v="0"/>
    <s v="PROD127"/>
    <n v="506.65"/>
    <n v="398.12"/>
    <n v="13"/>
    <s v="Corporate"/>
    <s v="Deliver Viral Channels"/>
    <x v="2"/>
    <s v="Parker LLC"/>
    <n v="45.41"/>
    <n v="0.78578900621730985"/>
  </r>
  <r>
    <s v="ORD1793"/>
    <d v="2024-06-26T00:00:00"/>
    <x v="2"/>
    <s v="PROD127"/>
    <n v="157.46"/>
    <n v="424.18"/>
    <n v="17"/>
    <s v="Consumer"/>
    <s v="Deliver Viral Channels"/>
    <x v="2"/>
    <s v="Parker LLC"/>
    <n v="45.41"/>
    <n v="2.6938905118760319"/>
  </r>
  <r>
    <s v="ORD1794"/>
    <d v="2023-05-29T00:00:00"/>
    <x v="1"/>
    <s v="PROD167"/>
    <n v="2683.52"/>
    <n v="74.2"/>
    <n v="16"/>
    <s v="Consumer"/>
    <s v="Grow Synergistic Infrastructures"/>
    <x v="2"/>
    <s v="Adams-Carter"/>
    <n v="113.17"/>
    <n v="2.7650250417362271E-2"/>
  </r>
  <r>
    <s v="ORD1795"/>
    <d v="2023-04-08T00:00:00"/>
    <x v="0"/>
    <s v="PROD129"/>
    <n v="113.49"/>
    <n v="444.27"/>
    <n v="9"/>
    <s v="Consumer"/>
    <s v="Scale Vertical Networks"/>
    <x v="2"/>
    <s v="Lam, Wood and Jacobs"/>
    <n v="133.24"/>
    <n v="3.9146180280200897"/>
  </r>
  <r>
    <s v="ORD1796"/>
    <d v="2020-08-13T00:00:00"/>
    <x v="3"/>
    <s v="PROD104"/>
    <n v="1648.46"/>
    <n v="635.36"/>
    <n v="17"/>
    <s v="Corporate"/>
    <s v="Implement Clicks-And-Mortar Partnerships"/>
    <x v="1"/>
    <s v="Smith Inc"/>
    <n v="195.53"/>
    <n v="0.38542639797144002"/>
  </r>
  <r>
    <s v="ORD1797"/>
    <d v="2021-01-10T00:00:00"/>
    <x v="1"/>
    <s v="PROD100"/>
    <n v="4126.26"/>
    <n v="838.49"/>
    <n v="6"/>
    <s v="Consumer"/>
    <s v="Synthesize Scalable Portals"/>
    <x v="2"/>
    <s v="Singh, Villa and Flynn"/>
    <n v="298.57"/>
    <n v="0.20320823215211836"/>
  </r>
  <r>
    <s v="ORD1798"/>
    <d v="2020-01-26T00:00:00"/>
    <x v="3"/>
    <s v="PROD128"/>
    <n v="2264.6"/>
    <n v="777.05"/>
    <n v="16"/>
    <s v="Corporate"/>
    <s v="Brand Distributed Info-Mediaries"/>
    <x v="2"/>
    <s v="Garcia Ltd"/>
    <n v="114.48"/>
    <n v="0.34312902940916717"/>
  </r>
  <r>
    <s v="ORD1799"/>
    <d v="2020-11-19T00:00:00"/>
    <x v="2"/>
    <s v="PROD136"/>
    <n v="4982.8900000000003"/>
    <n v="396.84"/>
    <n v="6"/>
    <s v="Corporate"/>
    <s v="Evolve Innovative Web Services"/>
    <x v="2"/>
    <s v="Bush Inc"/>
    <n v="87.75"/>
    <n v="7.9640529893294842E-2"/>
  </r>
  <r>
    <s v="ORD1800"/>
    <d v="2024-06-10T00:00:00"/>
    <x v="2"/>
    <s v="PROD117"/>
    <n v="3430.68"/>
    <n v="658.7"/>
    <n v="4"/>
    <s v="Small Business"/>
    <s v="Revolutionize Efficient Niches"/>
    <x v="1"/>
    <s v="Lopez-Torres"/>
    <n v="23.02"/>
    <n v="0.19200275164107408"/>
  </r>
  <r>
    <s v="ORD1801"/>
    <d v="2023-01-08T00:00:00"/>
    <x v="3"/>
    <s v="PROD119"/>
    <n v="1784.53"/>
    <n v="204.36"/>
    <n v="8"/>
    <s v="Small Business"/>
    <s v="Generate Front-End Functionalities"/>
    <x v="0"/>
    <s v="Morales-Brown"/>
    <n v="299.77"/>
    <n v="0.11451754803785871"/>
  </r>
  <r>
    <s v="ORD1802"/>
    <d v="2021-12-04T00:00:00"/>
    <x v="0"/>
    <s v="PROD178"/>
    <n v="4015.19"/>
    <n v="527.69000000000005"/>
    <n v="10"/>
    <s v="Corporate"/>
    <s v="Monetize Value-Added Niches"/>
    <x v="0"/>
    <s v="Foster, Velazquez and Lee"/>
    <n v="171.51"/>
    <n v="0.13142341956420495"/>
  </r>
  <r>
    <s v="ORD1803"/>
    <d v="2021-05-16T00:00:00"/>
    <x v="1"/>
    <s v="PROD174"/>
    <n v="2050.62"/>
    <n v="678.2"/>
    <n v="11"/>
    <s v="Consumer"/>
    <s v="Disintermediate Scalable Bandwidth"/>
    <x v="1"/>
    <s v="Levy PLC"/>
    <n v="19.86"/>
    <n v="0.3307292428631341"/>
  </r>
  <r>
    <s v="ORD1804"/>
    <d v="2023-11-17T00:00:00"/>
    <x v="0"/>
    <s v="PROD107"/>
    <n v="2772.41"/>
    <n v="565.88"/>
    <n v="19"/>
    <s v="Corporate"/>
    <s v="Utilize Back-End Models"/>
    <x v="2"/>
    <s v="Lewis-Holden"/>
    <n v="241.53"/>
    <n v="0.20411122453028233"/>
  </r>
  <r>
    <s v="ORD1805"/>
    <d v="2022-05-11T00:00:00"/>
    <x v="3"/>
    <s v="PROD123"/>
    <n v="2297.04"/>
    <n v="886.95"/>
    <n v="16"/>
    <s v="Consumer"/>
    <s v="Redefine Real-Time Convergence"/>
    <x v="1"/>
    <s v="Hayes, Peters and Douglas"/>
    <n v="78.260000000000005"/>
    <n v="0.38612736391181696"/>
  </r>
  <r>
    <s v="ORD1806"/>
    <d v="2022-12-07T00:00:00"/>
    <x v="2"/>
    <s v="PROD145"/>
    <n v="4105.87"/>
    <n v="713.69"/>
    <n v="6"/>
    <s v="Consumer"/>
    <s v="Innovate Strategic Systems"/>
    <x v="0"/>
    <s v="Mcfarland, Parker and Armstrong"/>
    <n v="70.239999999999995"/>
    <n v="0.17382186966465088"/>
  </r>
  <r>
    <s v="ORD1807"/>
    <d v="2022-11-13T00:00:00"/>
    <x v="2"/>
    <s v="PROD104"/>
    <n v="2014.33"/>
    <n v="990"/>
    <n v="11"/>
    <s v="Small Business"/>
    <s v="Implement Clicks-And-Mortar Partnerships"/>
    <x v="1"/>
    <s v="Smith Inc"/>
    <n v="195.53"/>
    <n v="0.49147855614521951"/>
  </r>
  <r>
    <s v="ORD1808"/>
    <d v="2023-11-10T00:00:00"/>
    <x v="3"/>
    <s v="PROD190"/>
    <n v="1825.82"/>
    <n v="683.49"/>
    <n v="15"/>
    <s v="Consumer"/>
    <s v="Repurpose End-To-End Networks"/>
    <x v="0"/>
    <s v="Torres-Rush"/>
    <n v="97.02"/>
    <n v="0.37434686880415374"/>
  </r>
  <r>
    <s v="ORD1809"/>
    <d v="2020-08-08T00:00:00"/>
    <x v="0"/>
    <s v="PROD173"/>
    <n v="2962.74"/>
    <n v="948.92"/>
    <n v="1"/>
    <s v="Consumer"/>
    <s v="Whiteboard Sticky Content"/>
    <x v="2"/>
    <s v="Wolfe Group"/>
    <n v="82.16"/>
    <n v="0.32028460141625659"/>
  </r>
  <r>
    <s v="ORD1810"/>
    <d v="2022-10-13T00:00:00"/>
    <x v="0"/>
    <s v="PROD108"/>
    <n v="4226.3"/>
    <n v="578.29999999999995"/>
    <n v="14"/>
    <s v="Consumer"/>
    <s v="Synergize World-Class Networks"/>
    <x v="1"/>
    <s v="Gomez-Lawrence"/>
    <n v="72.37"/>
    <n v="0.13683363698743581"/>
  </r>
  <r>
    <s v="ORD1811"/>
    <d v="2021-09-05T00:00:00"/>
    <x v="3"/>
    <s v="PROD107"/>
    <n v="183.59"/>
    <n v="169.17"/>
    <n v="4"/>
    <s v="Corporate"/>
    <s v="Utilize Back-End Models"/>
    <x v="2"/>
    <s v="Lewis-Holden"/>
    <n v="241.53"/>
    <n v="0.92145541696170807"/>
  </r>
  <r>
    <s v="ORD1812"/>
    <d v="2024-09-05T00:00:00"/>
    <x v="2"/>
    <s v="PROD182"/>
    <n v="182.18"/>
    <n v="259.27999999999997"/>
    <n v="2"/>
    <s v="Consumer"/>
    <s v="Strategize Best-Of-Breed Web-Readiness"/>
    <x v="0"/>
    <s v="Morris, King and Ayers"/>
    <n v="220.16"/>
    <n v="1.4232078164452737"/>
  </r>
  <r>
    <s v="ORD1813"/>
    <d v="2022-02-09T00:00:00"/>
    <x v="0"/>
    <s v="PROD144"/>
    <n v="4100.79"/>
    <n v="778.51"/>
    <n v="9"/>
    <s v="Small Business"/>
    <s v="Expedite Synergistic Web-Readiness"/>
    <x v="1"/>
    <s v="Dunlap, Carpenter and Monroe"/>
    <n v="289.66000000000003"/>
    <n v="0.18984390812501981"/>
  </r>
  <r>
    <s v="ORD1814"/>
    <d v="2020-12-09T00:00:00"/>
    <x v="2"/>
    <s v="PROD126"/>
    <n v="1065.23"/>
    <n v="183.92"/>
    <n v="14"/>
    <s v="Corporate"/>
    <s v="Streamline Innovative Architectures"/>
    <x v="2"/>
    <s v="Price, Valentine and Lutz"/>
    <n v="291.14999999999998"/>
    <n v="0.1726575481351445"/>
  </r>
  <r>
    <s v="ORD1815"/>
    <d v="2020-12-22T00:00:00"/>
    <x v="1"/>
    <s v="PROD121"/>
    <n v="1245.19"/>
    <n v="451.14"/>
    <n v="10"/>
    <s v="Consumer"/>
    <s v="Whiteboard B2B Content"/>
    <x v="0"/>
    <s v="Romero PLC"/>
    <n v="93.81"/>
    <n v="0.36230615408090328"/>
  </r>
  <r>
    <s v="ORD1816"/>
    <d v="2023-05-17T00:00:00"/>
    <x v="3"/>
    <s v="PROD119"/>
    <n v="4016.5"/>
    <n v="15.36"/>
    <n v="12"/>
    <s v="Consumer"/>
    <s v="Generate Front-End Functionalities"/>
    <x v="0"/>
    <s v="Morales-Brown"/>
    <n v="299.77"/>
    <n v="3.8242250715797336E-3"/>
  </r>
  <r>
    <s v="ORD1817"/>
    <d v="2022-06-25T00:00:00"/>
    <x v="3"/>
    <s v="PROD142"/>
    <n v="4015.14"/>
    <n v="486.95"/>
    <n v="15"/>
    <s v="Corporate"/>
    <s v="Target Bricks-And-Clicks Channels"/>
    <x v="1"/>
    <s v="Dunn, Christensen and Meyer"/>
    <n v="126.86"/>
    <n v="0.1212784610250203"/>
  </r>
  <r>
    <s v="ORD1818"/>
    <d v="2022-03-19T00:00:00"/>
    <x v="0"/>
    <s v="PROD108"/>
    <n v="4166.99"/>
    <n v="800.24"/>
    <n v="11"/>
    <s v="Small Business"/>
    <s v="Synergize World-Class Networks"/>
    <x v="1"/>
    <s v="Gomez-Lawrence"/>
    <n v="72.37"/>
    <n v="0.19204269748667505"/>
  </r>
  <r>
    <s v="ORD1819"/>
    <d v="2023-12-20T00:00:00"/>
    <x v="3"/>
    <s v="PROD194"/>
    <n v="445.31"/>
    <n v="15.17"/>
    <n v="10"/>
    <s v="Corporate"/>
    <s v="Leverage Scalable Interfaces"/>
    <x v="0"/>
    <s v="Kaufman-Jones"/>
    <n v="73.33"/>
    <n v="3.4066156160876694E-2"/>
  </r>
  <r>
    <s v="ORD1820"/>
    <d v="2021-04-20T00:00:00"/>
    <x v="0"/>
    <s v="PROD106"/>
    <n v="3939.14"/>
    <n v="86.49"/>
    <n v="12"/>
    <s v="Consumer"/>
    <s v="Synergize End-To-End Supply-Chains"/>
    <x v="0"/>
    <s v="Higgins-Espinoza"/>
    <n v="279.8"/>
    <n v="2.195656920038384E-2"/>
  </r>
  <r>
    <s v="ORD1821"/>
    <d v="2021-12-07T00:00:00"/>
    <x v="2"/>
    <s v="PROD130"/>
    <n v="901.69"/>
    <n v="438.77"/>
    <n v="9"/>
    <s v="Consumer"/>
    <s v="Synthesize Wireless Initiatives"/>
    <x v="1"/>
    <s v="Mosley Ltd"/>
    <n v="162.69999999999999"/>
    <n v="0.48660847963268966"/>
  </r>
  <r>
    <s v="ORD1822"/>
    <d v="2023-08-11T00:00:00"/>
    <x v="2"/>
    <s v="PROD111"/>
    <n v="4416.37"/>
    <n v="980.94"/>
    <n v="10"/>
    <s v="Corporate"/>
    <s v="Harness Revolutionary Interfaces"/>
    <x v="2"/>
    <s v="Davis, Short and Nguyen"/>
    <n v="26.49"/>
    <n v="0.22211454203338943"/>
  </r>
  <r>
    <s v="ORD1823"/>
    <d v="2021-08-05T00:00:00"/>
    <x v="0"/>
    <s v="PROD169"/>
    <n v="3257.42"/>
    <n v="851.55"/>
    <n v="18"/>
    <s v="Small Business"/>
    <s v="Unleash End-To-End Web Services"/>
    <x v="0"/>
    <s v="Jones Ltd"/>
    <n v="188.02"/>
    <n v="0.2614185459658257"/>
  </r>
  <r>
    <s v="ORD1824"/>
    <d v="2020-08-15T00:00:00"/>
    <x v="0"/>
    <s v="PROD141"/>
    <n v="4760.43"/>
    <n v="179.58"/>
    <n v="15"/>
    <s v="Small Business"/>
    <s v="Re-Contextualize Integrated Info-Mediaries"/>
    <x v="1"/>
    <s v="Jones-Schroeder"/>
    <n v="26.02"/>
    <n v="3.7723482962673541E-2"/>
  </r>
  <r>
    <s v="ORD1825"/>
    <d v="2023-03-27T00:00:00"/>
    <x v="0"/>
    <s v="PROD113"/>
    <n v="2575.96"/>
    <n v="770.97"/>
    <n v="3"/>
    <s v="Small Business"/>
    <s v="Envisioneer B2B Users"/>
    <x v="0"/>
    <s v="Rogers Group"/>
    <n v="239.16"/>
    <n v="0.29929424369943636"/>
  </r>
  <r>
    <s v="ORD1826"/>
    <d v="2023-10-31T00:00:00"/>
    <x v="1"/>
    <s v="PROD181"/>
    <n v="3755.49"/>
    <n v="955.56"/>
    <n v="17"/>
    <s v="Corporate"/>
    <s v="Extend Bricks-And-Clicks Niches"/>
    <x v="0"/>
    <s v="Hernandez-Rios"/>
    <n v="65.989999999999995"/>
    <n v="0.25444349472372446"/>
  </r>
  <r>
    <s v="ORD1827"/>
    <d v="2020-05-29T00:00:00"/>
    <x v="1"/>
    <s v="PROD163"/>
    <n v="2821.2"/>
    <n v="603.79"/>
    <n v="18"/>
    <s v="Small Business"/>
    <s v="Grow Back-End Supply-Chains"/>
    <x v="1"/>
    <s v="Green LLC"/>
    <n v="140.08000000000001"/>
    <n v="0.21401885722387637"/>
  </r>
  <r>
    <s v="ORD1828"/>
    <d v="2022-09-17T00:00:00"/>
    <x v="0"/>
    <s v="PROD115"/>
    <n v="547.61"/>
    <n v="286.72000000000003"/>
    <n v="13"/>
    <s v="Consumer"/>
    <s v="Morph World-Class Synergies"/>
    <x v="1"/>
    <s v="Bryant Ltd"/>
    <n v="20.69"/>
    <n v="0.52358430269717504"/>
  </r>
  <r>
    <s v="ORD1829"/>
    <d v="2021-10-21T00:00:00"/>
    <x v="2"/>
    <s v="PROD172"/>
    <n v="1345.71"/>
    <n v="673.41"/>
    <n v="2"/>
    <s v="Consumer"/>
    <s v="E-Enable Virtual Methodologies"/>
    <x v="0"/>
    <s v="Floyd-Love"/>
    <n v="283.64999999999998"/>
    <n v="0.50041242169561051"/>
  </r>
  <r>
    <s v="ORD1830"/>
    <d v="2020-11-14T00:00:00"/>
    <x v="0"/>
    <s v="PROD173"/>
    <n v="4341.67"/>
    <n v="75.819999999999993"/>
    <n v="8"/>
    <s v="Corporate"/>
    <s v="Whiteboard Sticky Content"/>
    <x v="2"/>
    <s v="Wolfe Group"/>
    <n v="82.16"/>
    <n v="1.7463326323741785E-2"/>
  </r>
  <r>
    <s v="ORD1831"/>
    <d v="2023-12-08T00:00:00"/>
    <x v="0"/>
    <s v="PROD133"/>
    <n v="2747.85"/>
    <n v="276.94"/>
    <n v="12"/>
    <s v="Corporate"/>
    <s v="Re-Intermediate Seamless Applications"/>
    <x v="0"/>
    <s v="Welch-Reed"/>
    <n v="45.82"/>
    <n v="0.10078424950415781"/>
  </r>
  <r>
    <s v="ORD1832"/>
    <d v="2021-11-23T00:00:00"/>
    <x v="0"/>
    <s v="PROD129"/>
    <n v="2052.84"/>
    <n v="200.44"/>
    <n v="7"/>
    <s v="Consumer"/>
    <s v="Scale Vertical Networks"/>
    <x v="2"/>
    <s v="Lam, Wood and Jacobs"/>
    <n v="133.24"/>
    <n v="9.7640342160129373E-2"/>
  </r>
  <r>
    <s v="ORD1833"/>
    <d v="2020-12-15T00:00:00"/>
    <x v="1"/>
    <s v="PROD137"/>
    <n v="2623.84"/>
    <n v="692.04"/>
    <n v="14"/>
    <s v="Corporate"/>
    <s v="Optimize Collaborative Initiatives"/>
    <x v="1"/>
    <s v="Adkins Ltd"/>
    <n v="34.46"/>
    <n v="0.26375083846576008"/>
  </r>
  <r>
    <s v="ORD1834"/>
    <d v="2021-04-28T00:00:00"/>
    <x v="3"/>
    <s v="PROD121"/>
    <n v="4245.88"/>
    <n v="212.88"/>
    <n v="13"/>
    <s v="Corporate"/>
    <s v="Whiteboard B2B Content"/>
    <x v="0"/>
    <s v="Romero PLC"/>
    <n v="93.81"/>
    <n v="5.0138016147418203E-2"/>
  </r>
  <r>
    <s v="ORD1835"/>
    <d v="2020-07-06T00:00:00"/>
    <x v="0"/>
    <s v="PROD160"/>
    <n v="360.58"/>
    <n v="10.86"/>
    <n v="11"/>
    <s v="Small Business"/>
    <s v="Deliver Extensible Partnerships"/>
    <x v="2"/>
    <s v="Martin, Paul and Salazar"/>
    <n v="43.76"/>
    <n v="3.011814299184647E-2"/>
  </r>
  <r>
    <s v="ORD1836"/>
    <d v="2020-03-22T00:00:00"/>
    <x v="2"/>
    <s v="PROD111"/>
    <n v="1786.23"/>
    <n v="127.93"/>
    <n v="11"/>
    <s v="Small Business"/>
    <s v="Harness Revolutionary Interfaces"/>
    <x v="2"/>
    <s v="Davis, Short and Nguyen"/>
    <n v="26.49"/>
    <n v="7.16201161104673E-2"/>
  </r>
  <r>
    <s v="ORD1837"/>
    <d v="2022-10-02T00:00:00"/>
    <x v="1"/>
    <s v="PROD154"/>
    <n v="775"/>
    <n v="457.09"/>
    <n v="16"/>
    <s v="Small Business"/>
    <s v="Utilize Virtual Partnerships"/>
    <x v="2"/>
    <s v="Smith, Diaz and Heath"/>
    <n v="193.02"/>
    <n v="0.58979354838709674"/>
  </r>
  <r>
    <s v="ORD1838"/>
    <d v="2020-03-23T00:00:00"/>
    <x v="0"/>
    <s v="PROD180"/>
    <n v="1181.45"/>
    <n v="278.07"/>
    <n v="18"/>
    <s v="Small Business"/>
    <s v="Iterate Extensible Roi"/>
    <x v="0"/>
    <s v="Hill-Kelly"/>
    <n v="180"/>
    <n v="0.23536332472808835"/>
  </r>
  <r>
    <s v="ORD1839"/>
    <d v="2024-09-25T00:00:00"/>
    <x v="3"/>
    <s v="PROD197"/>
    <n v="4164.57"/>
    <n v="54.44"/>
    <n v="13"/>
    <s v="Small Business"/>
    <s v="Leverage Rich Portals"/>
    <x v="0"/>
    <s v="Wilson PLC"/>
    <n v="46.35"/>
    <n v="1.3072177919929309E-2"/>
  </r>
  <r>
    <s v="ORD1840"/>
    <d v="2021-05-16T00:00:00"/>
    <x v="3"/>
    <s v="PROD129"/>
    <n v="648.25"/>
    <n v="146.19999999999999"/>
    <n v="6"/>
    <s v="Corporate"/>
    <s v="Scale Vertical Networks"/>
    <x v="2"/>
    <s v="Lam, Wood and Jacobs"/>
    <n v="133.24"/>
    <n v="0.22553027381411492"/>
  </r>
  <r>
    <s v="ORD1841"/>
    <d v="2020-04-10T00:00:00"/>
    <x v="3"/>
    <s v="PROD148"/>
    <n v="1121.46"/>
    <n v="983.76"/>
    <n v="6"/>
    <s v="Small Business"/>
    <s v="Empower Seamless Roi"/>
    <x v="0"/>
    <s v="Proctor Group"/>
    <n v="266.64999999999998"/>
    <n v="0.87721363222941517"/>
  </r>
  <r>
    <s v="ORD1842"/>
    <d v="2022-05-16T00:00:00"/>
    <x v="0"/>
    <s v="PROD176"/>
    <n v="4938.45"/>
    <n v="901.84"/>
    <n v="7"/>
    <s v="Consumer"/>
    <s v="Facilitate Integrated E-Business"/>
    <x v="0"/>
    <s v="Chang-Vargas"/>
    <n v="130.33000000000001"/>
    <n v="0.18261600299689176"/>
  </r>
  <r>
    <s v="ORD1843"/>
    <d v="2022-02-15T00:00:00"/>
    <x v="2"/>
    <s v="PROD190"/>
    <n v="1605.35"/>
    <n v="926.99"/>
    <n v="4"/>
    <s v="Small Business"/>
    <s v="Repurpose End-To-End Networks"/>
    <x v="0"/>
    <s v="Torres-Rush"/>
    <n v="97.02"/>
    <n v="0.57743794188183262"/>
  </r>
  <r>
    <s v="ORD1844"/>
    <d v="2023-01-19T00:00:00"/>
    <x v="1"/>
    <s v="PROD172"/>
    <n v="4399.1899999999996"/>
    <n v="332.58"/>
    <n v="19"/>
    <s v="Corporate"/>
    <s v="E-Enable Virtual Methodologies"/>
    <x v="0"/>
    <s v="Floyd-Love"/>
    <n v="283.64999999999998"/>
    <n v="7.560028096081324E-2"/>
  </r>
  <r>
    <s v="ORD1845"/>
    <d v="2023-02-17T00:00:00"/>
    <x v="1"/>
    <s v="PROD146"/>
    <n v="1269.52"/>
    <n v="864.36"/>
    <n v="17"/>
    <s v="Small Business"/>
    <s v="Engage Rich Web-Readiness"/>
    <x v="0"/>
    <s v="Turner Inc"/>
    <n v="81.069999999999993"/>
    <n v="0.68085575650639618"/>
  </r>
  <r>
    <s v="ORD1846"/>
    <d v="2020-02-21T00:00:00"/>
    <x v="1"/>
    <s v="PROD158"/>
    <n v="116.54"/>
    <n v="485.08"/>
    <n v="10"/>
    <s v="Consumer"/>
    <s v="Brand Web-Enabled Solutions"/>
    <x v="1"/>
    <s v="Russell Group"/>
    <n v="51.67"/>
    <n v="4.1623476917796465"/>
  </r>
  <r>
    <s v="ORD1847"/>
    <d v="2020-05-31T00:00:00"/>
    <x v="1"/>
    <s v="PROD199"/>
    <n v="1725.71"/>
    <n v="838.28"/>
    <n v="4"/>
    <s v="Corporate"/>
    <s v="Scale Cross-Platform Web Services"/>
    <x v="2"/>
    <s v="Morrow, Brock and Lewis"/>
    <n v="115.21"/>
    <n v="0.48575948450203105"/>
  </r>
  <r>
    <s v="ORD1848"/>
    <d v="2024-07-31T00:00:00"/>
    <x v="0"/>
    <s v="PROD114"/>
    <n v="4219.8900000000003"/>
    <n v="998.33"/>
    <n v="11"/>
    <s v="Consumer"/>
    <s v="Orchestrate User-Centric Platforms"/>
    <x v="2"/>
    <s v="Wells Ltd"/>
    <n v="201.87"/>
    <n v="0.23657725675313809"/>
  </r>
  <r>
    <s v="ORD1849"/>
    <d v="2021-10-03T00:00:00"/>
    <x v="0"/>
    <s v="PROD193"/>
    <n v="1311.14"/>
    <n v="118.05"/>
    <n v="15"/>
    <s v="Corporate"/>
    <s v="Innovate Sticky Web Services"/>
    <x v="1"/>
    <s v="Friedman, Sanders and Adams"/>
    <n v="125.85"/>
    <n v="9.0036151745808979E-2"/>
  </r>
  <r>
    <s v="ORD1850"/>
    <d v="2020-12-28T00:00:00"/>
    <x v="1"/>
    <s v="PROD185"/>
    <n v="2428.88"/>
    <n v="254.88"/>
    <n v="14"/>
    <s v="Corporate"/>
    <s v="Generate End-To-End Functionalities"/>
    <x v="1"/>
    <s v="Sanchez-Stewart"/>
    <n v="196.15"/>
    <n v="0.10493725503112546"/>
  </r>
  <r>
    <s v="ORD1851"/>
    <d v="2024-09-14T00:00:00"/>
    <x v="1"/>
    <s v="PROD127"/>
    <n v="771.83"/>
    <n v="904.41"/>
    <n v="6"/>
    <s v="Consumer"/>
    <s v="Deliver Viral Channels"/>
    <x v="2"/>
    <s v="Parker LLC"/>
    <n v="45.41"/>
    <n v="1.1717735770830364"/>
  </r>
  <r>
    <s v="ORD1852"/>
    <d v="2020-05-21T00:00:00"/>
    <x v="3"/>
    <s v="PROD189"/>
    <n v="4513.01"/>
    <n v="151.85"/>
    <n v="17"/>
    <s v="Corporate"/>
    <s v="E-Enable Next-Generation Experiences"/>
    <x v="2"/>
    <s v="Sanchez-Quinn"/>
    <n v="266.93"/>
    <n v="3.3647166746805346E-2"/>
  </r>
  <r>
    <s v="ORD1853"/>
    <d v="2020-03-04T00:00:00"/>
    <x v="2"/>
    <s v="PROD140"/>
    <n v="3682.54"/>
    <n v="430.24"/>
    <n v="14"/>
    <s v="Corporate"/>
    <s v="Extend Bricks-And-Clicks Architectures"/>
    <x v="2"/>
    <s v="Fuller PLC"/>
    <n v="202.99"/>
    <n v="0.11683240372134451"/>
  </r>
  <r>
    <s v="ORD1854"/>
    <d v="2023-01-18T00:00:00"/>
    <x v="3"/>
    <s v="PROD189"/>
    <n v="2587.35"/>
    <n v="85.51"/>
    <n v="6"/>
    <s v="Corporate"/>
    <s v="E-Enable Next-Generation Experiences"/>
    <x v="2"/>
    <s v="Sanchez-Quinn"/>
    <n v="266.93"/>
    <n v="3.304925889423542E-2"/>
  </r>
  <r>
    <s v="ORD1855"/>
    <d v="2020-04-30T00:00:00"/>
    <x v="1"/>
    <s v="PROD186"/>
    <n v="861.2"/>
    <n v="996.88"/>
    <n v="11"/>
    <s v="Small Business"/>
    <s v="Reinvent Mission-Critical Markets"/>
    <x v="2"/>
    <s v="Gilbert-Sanders"/>
    <n v="154.21"/>
    <n v="1.1575476079888527"/>
  </r>
  <r>
    <s v="ORD1856"/>
    <d v="2022-12-05T00:00:00"/>
    <x v="0"/>
    <s v="PROD111"/>
    <n v="3736.87"/>
    <n v="725.05"/>
    <n v="14"/>
    <s v="Small Business"/>
    <s v="Harness Revolutionary Interfaces"/>
    <x v="2"/>
    <s v="Davis, Short and Nguyen"/>
    <n v="26.49"/>
    <n v="0.19402601642551118"/>
  </r>
  <r>
    <s v="ORD1857"/>
    <d v="2024-02-11T00:00:00"/>
    <x v="0"/>
    <s v="PROD140"/>
    <n v="3040.15"/>
    <n v="636.61"/>
    <n v="10"/>
    <s v="Consumer"/>
    <s v="Extend Bricks-And-Clicks Architectures"/>
    <x v="2"/>
    <s v="Fuller PLC"/>
    <n v="202.99"/>
    <n v="0.20940085193164812"/>
  </r>
  <r>
    <s v="ORD1858"/>
    <d v="2023-08-25T00:00:00"/>
    <x v="0"/>
    <s v="PROD168"/>
    <n v="4105.59"/>
    <n v="744.51"/>
    <n v="8"/>
    <s v="Small Business"/>
    <s v="Facilitate End-To-End Experiences"/>
    <x v="0"/>
    <s v="Pierce-Goodwin"/>
    <n v="260.52999999999997"/>
    <n v="0.18134056250137007"/>
  </r>
  <r>
    <s v="ORD1859"/>
    <d v="2020-03-07T00:00:00"/>
    <x v="3"/>
    <s v="PROD171"/>
    <n v="2291.9499999999998"/>
    <n v="63.32"/>
    <n v="1"/>
    <s v="Consumer"/>
    <s v="Scale 24/365 Networks"/>
    <x v="2"/>
    <s v="Kim-Hamilton"/>
    <n v="157.55000000000001"/>
    <n v="2.7627129736687104E-2"/>
  </r>
  <r>
    <s v="ORD1860"/>
    <d v="2024-08-08T00:00:00"/>
    <x v="0"/>
    <s v="PROD108"/>
    <n v="1991.21"/>
    <n v="849.4"/>
    <n v="7"/>
    <s v="Consumer"/>
    <s v="Synergize World-Class Networks"/>
    <x v="1"/>
    <s v="Gomez-Lawrence"/>
    <n v="72.37"/>
    <n v="0.42657479622942834"/>
  </r>
  <r>
    <s v="ORD1861"/>
    <d v="2024-11-03T00:00:00"/>
    <x v="1"/>
    <s v="PROD148"/>
    <n v="150.9"/>
    <n v="709.11"/>
    <n v="18"/>
    <s v="Consumer"/>
    <s v="Empower Seamless Roi"/>
    <x v="0"/>
    <s v="Proctor Group"/>
    <n v="266.64999999999998"/>
    <n v="4.6992047713717691"/>
  </r>
  <r>
    <s v="ORD1862"/>
    <d v="2023-01-19T00:00:00"/>
    <x v="1"/>
    <s v="PROD112"/>
    <n v="4970.47"/>
    <n v="256.35000000000002"/>
    <n v="12"/>
    <s v="Corporate"/>
    <s v="Seize Clicks-And-Mortar Platforms"/>
    <x v="0"/>
    <s v="Owens, Campos and Wood"/>
    <n v="271.16000000000003"/>
    <n v="5.15745995851499E-2"/>
  </r>
  <r>
    <s v="ORD1863"/>
    <d v="2024-06-06T00:00:00"/>
    <x v="2"/>
    <s v="PROD147"/>
    <n v="3409.97"/>
    <n v="891.71"/>
    <n v="2"/>
    <s v="Corporate"/>
    <s v="Brand B2C Info-Mediaries"/>
    <x v="0"/>
    <s v="Preston Ltd"/>
    <n v="13.46"/>
    <n v="0.26150083431819049"/>
  </r>
  <r>
    <s v="ORD1864"/>
    <d v="2022-03-12T00:00:00"/>
    <x v="2"/>
    <s v="PROD188"/>
    <n v="3360.71"/>
    <n v="915.78"/>
    <n v="13"/>
    <s v="Corporate"/>
    <s v="Transition Mission-Critical Interfaces"/>
    <x v="0"/>
    <s v="Weaver Ltd"/>
    <n v="34.64"/>
    <n v="0.27249599043059353"/>
  </r>
  <r>
    <s v="ORD1865"/>
    <d v="2021-01-05T00:00:00"/>
    <x v="3"/>
    <s v="PROD195"/>
    <n v="221.61"/>
    <n v="372.44"/>
    <n v="12"/>
    <s v="Small Business"/>
    <s v="Reinvent Out-Of-The-Box Models"/>
    <x v="0"/>
    <s v="Wagner-Curtis"/>
    <n v="172.34"/>
    <n v="1.6806100807725282"/>
  </r>
  <r>
    <s v="ORD1866"/>
    <d v="2024-03-14T00:00:00"/>
    <x v="0"/>
    <s v="PROD169"/>
    <n v="4546.68"/>
    <n v="981.94"/>
    <n v="11"/>
    <s v="Consumer"/>
    <s v="Unleash End-To-End Web Services"/>
    <x v="0"/>
    <s v="Jones Ltd"/>
    <n v="188.02"/>
    <n v="0.21596857487221444"/>
  </r>
  <r>
    <s v="ORD1867"/>
    <d v="2023-07-01T00:00:00"/>
    <x v="3"/>
    <s v="PROD177"/>
    <n v="166.97"/>
    <n v="150.52000000000001"/>
    <n v="7"/>
    <s v="Small Business"/>
    <s v="Deploy Granular Channels"/>
    <x v="2"/>
    <s v="Barnes Ltd"/>
    <n v="288.99"/>
    <n v="0.90147930766005879"/>
  </r>
  <r>
    <s v="ORD1868"/>
    <d v="2021-03-07T00:00:00"/>
    <x v="1"/>
    <s v="PROD129"/>
    <n v="3807.49"/>
    <n v="720.12"/>
    <n v="14"/>
    <s v="Consumer"/>
    <s v="Scale Vertical Networks"/>
    <x v="2"/>
    <s v="Lam, Wood and Jacobs"/>
    <n v="133.24"/>
    <n v="0.18913247309907577"/>
  </r>
  <r>
    <s v="ORD1869"/>
    <d v="2024-10-11T00:00:00"/>
    <x v="0"/>
    <s v="PROD195"/>
    <n v="2467.92"/>
    <n v="413.18"/>
    <n v="7"/>
    <s v="Corporate"/>
    <s v="Reinvent Out-Of-The-Box Models"/>
    <x v="0"/>
    <s v="Wagner-Curtis"/>
    <n v="172.34"/>
    <n v="0.16742033777432008"/>
  </r>
  <r>
    <s v="ORD1870"/>
    <d v="2023-06-29T00:00:00"/>
    <x v="0"/>
    <s v="PROD159"/>
    <n v="386.55"/>
    <n v="265.19"/>
    <n v="1"/>
    <s v="Small Business"/>
    <s v="Mesh Intuitive Supply-Chains"/>
    <x v="1"/>
    <s v="Soto, Barnett and Heath"/>
    <n v="281"/>
    <n v="0.68604320269046692"/>
  </r>
  <r>
    <s v="ORD1871"/>
    <d v="2023-10-02T00:00:00"/>
    <x v="2"/>
    <s v="PROD130"/>
    <n v="2509.39"/>
    <n v="878.66"/>
    <n v="7"/>
    <s v="Corporate"/>
    <s v="Synthesize Wireless Initiatives"/>
    <x v="1"/>
    <s v="Mosley Ltd"/>
    <n v="162.69999999999999"/>
    <n v="0.35014884095337911"/>
  </r>
  <r>
    <s v="ORD1872"/>
    <d v="2024-09-18T00:00:00"/>
    <x v="1"/>
    <s v="PROD184"/>
    <n v="1999.69"/>
    <n v="556.13"/>
    <n v="7"/>
    <s v="Small Business"/>
    <s v="Embrace 24/365 Functionalities"/>
    <x v="0"/>
    <s v="Smith LLC"/>
    <n v="204.04"/>
    <n v="0.27810810675654724"/>
  </r>
  <r>
    <s v="ORD1873"/>
    <d v="2023-09-29T00:00:00"/>
    <x v="2"/>
    <s v="PROD197"/>
    <n v="722.25"/>
    <n v="144.36000000000001"/>
    <n v="7"/>
    <s v="Corporate"/>
    <s v="Leverage Rich Portals"/>
    <x v="0"/>
    <s v="Wilson PLC"/>
    <n v="46.35"/>
    <n v="0.19987538940809971"/>
  </r>
  <r>
    <s v="ORD1874"/>
    <d v="2022-06-05T00:00:00"/>
    <x v="1"/>
    <s v="PROD109"/>
    <n v="3958.62"/>
    <n v="635.79999999999995"/>
    <n v="4"/>
    <s v="Corporate"/>
    <s v="Orchestrate E-Business Niches"/>
    <x v="2"/>
    <s v="Johnson LLC"/>
    <n v="198.99"/>
    <n v="0.16061152623894184"/>
  </r>
  <r>
    <s v="ORD1875"/>
    <d v="2021-11-09T00:00:00"/>
    <x v="2"/>
    <s v="PROD140"/>
    <n v="498.75"/>
    <n v="104.68"/>
    <n v="5"/>
    <s v="Small Business"/>
    <s v="Extend Bricks-And-Clicks Architectures"/>
    <x v="2"/>
    <s v="Fuller PLC"/>
    <n v="202.99"/>
    <n v="0.20988471177944865"/>
  </r>
  <r>
    <s v="ORD1876"/>
    <d v="2022-09-07T00:00:00"/>
    <x v="3"/>
    <s v="PROD117"/>
    <n v="4383.45"/>
    <n v="920.5"/>
    <n v="4"/>
    <s v="Corporate"/>
    <s v="Revolutionize Efficient Niches"/>
    <x v="1"/>
    <s v="Lopez-Torres"/>
    <n v="23.02"/>
    <n v="0.20999441079514994"/>
  </r>
  <r>
    <s v="ORD1877"/>
    <d v="2020-12-18T00:00:00"/>
    <x v="1"/>
    <s v="PROD171"/>
    <n v="1605.04"/>
    <n v="440.96"/>
    <n v="4"/>
    <s v="Consumer"/>
    <s v="Scale 24/365 Networks"/>
    <x v="2"/>
    <s v="Kim-Hamilton"/>
    <n v="157.55000000000001"/>
    <n v="0.27473458605393014"/>
  </r>
  <r>
    <s v="ORD1878"/>
    <d v="2022-10-09T00:00:00"/>
    <x v="1"/>
    <s v="PROD151"/>
    <n v="4166.4399999999996"/>
    <n v="804.67"/>
    <n v="16"/>
    <s v="Small Business"/>
    <s v="Re-Contextualize Viral Markets"/>
    <x v="1"/>
    <s v="Meadows-Barber"/>
    <n v="177.52"/>
    <n v="0.19313130634306508"/>
  </r>
  <r>
    <s v="ORD1879"/>
    <d v="2023-05-29T00:00:00"/>
    <x v="0"/>
    <s v="PROD176"/>
    <n v="2538.4499999999998"/>
    <n v="320.38"/>
    <n v="8"/>
    <s v="Corporate"/>
    <s v="Facilitate Integrated E-Business"/>
    <x v="0"/>
    <s v="Chang-Vargas"/>
    <n v="130.33000000000001"/>
    <n v="0.12621087671610629"/>
  </r>
  <r>
    <s v="ORD1880"/>
    <d v="2021-04-03T00:00:00"/>
    <x v="2"/>
    <s v="PROD142"/>
    <n v="3585.12"/>
    <n v="673.42"/>
    <n v="20"/>
    <s v="Small Business"/>
    <s v="Target Bricks-And-Clicks Channels"/>
    <x v="1"/>
    <s v="Dunn, Christensen and Meyer"/>
    <n v="126.86"/>
    <n v="0.18783750613647521"/>
  </r>
  <r>
    <s v="ORD1881"/>
    <d v="2022-02-23T00:00:00"/>
    <x v="0"/>
    <s v="PROD135"/>
    <n v="174.63"/>
    <n v="641.16"/>
    <n v="9"/>
    <s v="Small Business"/>
    <s v="Optimize 24/365 E-Services"/>
    <x v="0"/>
    <s v="Chase Ltd"/>
    <n v="100.35"/>
    <n v="3.6715341006699878"/>
  </r>
  <r>
    <s v="ORD1882"/>
    <d v="2024-06-15T00:00:00"/>
    <x v="1"/>
    <s v="PROD147"/>
    <n v="2883.09"/>
    <n v="599.30999999999995"/>
    <n v="3"/>
    <s v="Small Business"/>
    <s v="Brand B2C Info-Mediaries"/>
    <x v="0"/>
    <s v="Preston Ltd"/>
    <n v="13.46"/>
    <n v="0.20787072203781357"/>
  </r>
  <r>
    <s v="ORD1883"/>
    <d v="2024-05-29T00:00:00"/>
    <x v="0"/>
    <s v="PROD111"/>
    <n v="2077.44"/>
    <n v="914.14"/>
    <n v="14"/>
    <s v="Consumer"/>
    <s v="Harness Revolutionary Interfaces"/>
    <x v="2"/>
    <s v="Davis, Short and Nguyen"/>
    <n v="26.49"/>
    <n v="0.44003196241528031"/>
  </r>
  <r>
    <s v="ORD1884"/>
    <d v="2021-04-15T00:00:00"/>
    <x v="2"/>
    <s v="PROD136"/>
    <n v="1646.01"/>
    <n v="156.32"/>
    <n v="2"/>
    <s v="Corporate"/>
    <s v="Evolve Innovative Web Services"/>
    <x v="2"/>
    <s v="Bush Inc"/>
    <n v="87.75"/>
    <n v="9.4969046360593182E-2"/>
  </r>
  <r>
    <s v="ORD1885"/>
    <d v="2021-05-17T00:00:00"/>
    <x v="3"/>
    <s v="PROD129"/>
    <n v="2028.74"/>
    <n v="263.07"/>
    <n v="18"/>
    <s v="Consumer"/>
    <s v="Scale Vertical Networks"/>
    <x v="2"/>
    <s v="Lam, Wood and Jacobs"/>
    <n v="133.24"/>
    <n v="0.12967161883730788"/>
  </r>
  <r>
    <s v="ORD1886"/>
    <d v="2021-05-30T00:00:00"/>
    <x v="3"/>
    <s v="PROD103"/>
    <n v="3108.61"/>
    <n v="373.87"/>
    <n v="18"/>
    <s v="Small Business"/>
    <s v="Monetize Collaborative Metrics"/>
    <x v="1"/>
    <s v="Ramirez-Brown"/>
    <n v="286.04000000000002"/>
    <n v="0.12026918783636416"/>
  </r>
  <r>
    <s v="ORD1887"/>
    <d v="2020-06-11T00:00:00"/>
    <x v="1"/>
    <s v="PROD191"/>
    <n v="3464.8"/>
    <n v="620.79999999999995"/>
    <n v="6"/>
    <s v="Consumer"/>
    <s v="Synergize Frictionless Synergies"/>
    <x v="2"/>
    <s v="Hester and Sons"/>
    <n v="289.06"/>
    <n v="0.17917340106211035"/>
  </r>
  <r>
    <s v="ORD1888"/>
    <d v="2024-08-28T00:00:00"/>
    <x v="2"/>
    <s v="PROD132"/>
    <n v="2077.54"/>
    <n v="796.95"/>
    <n v="11"/>
    <s v="Consumer"/>
    <s v="Synergize End-To-End Roi"/>
    <x v="1"/>
    <s v="Evans-Smith"/>
    <n v="159.85"/>
    <n v="0.38360272245059063"/>
  </r>
  <r>
    <s v="ORD1889"/>
    <d v="2020-09-16T00:00:00"/>
    <x v="3"/>
    <s v="PROD135"/>
    <n v="3930.19"/>
    <n v="956.49"/>
    <n v="12"/>
    <s v="Consumer"/>
    <s v="Optimize 24/365 E-Services"/>
    <x v="0"/>
    <s v="Chase Ltd"/>
    <n v="100.35"/>
    <n v="0.2433699134138553"/>
  </r>
  <r>
    <s v="ORD1890"/>
    <d v="2023-06-21T00:00:00"/>
    <x v="3"/>
    <s v="PROD171"/>
    <n v="3976.57"/>
    <n v="728.11"/>
    <n v="2"/>
    <s v="Consumer"/>
    <s v="Scale 24/365 Networks"/>
    <x v="2"/>
    <s v="Kim-Hamilton"/>
    <n v="157.55000000000001"/>
    <n v="0.18310000829860909"/>
  </r>
  <r>
    <s v="ORD1891"/>
    <d v="2024-05-26T00:00:00"/>
    <x v="3"/>
    <s v="PROD167"/>
    <n v="3133.66"/>
    <n v="186.62"/>
    <n v="17"/>
    <s v="Corporate"/>
    <s v="Grow Synergistic Infrastructures"/>
    <x v="2"/>
    <s v="Adams-Carter"/>
    <n v="113.17"/>
    <n v="5.9553365712936318E-2"/>
  </r>
  <r>
    <s v="ORD1892"/>
    <d v="2020-12-21T00:00:00"/>
    <x v="0"/>
    <s v="PROD102"/>
    <n v="3753.11"/>
    <n v="886.32"/>
    <n v="19"/>
    <s v="Corporate"/>
    <s v="Optimize Transparent E-Markets"/>
    <x v="0"/>
    <s v="Lee, Tyler and Blevins"/>
    <n v="111.22"/>
    <n v="0.23615614783472907"/>
  </r>
  <r>
    <s v="ORD1893"/>
    <d v="2020-07-23T00:00:00"/>
    <x v="3"/>
    <s v="PROD161"/>
    <n v="4254.41"/>
    <n v="456.8"/>
    <n v="11"/>
    <s v="Corporate"/>
    <s v="Synergize E-Business Deliverables"/>
    <x v="1"/>
    <s v="Crawford, Warren and Williams"/>
    <n v="125.93"/>
    <n v="0.10737093980128855"/>
  </r>
  <r>
    <s v="ORD1894"/>
    <d v="2023-09-23T00:00:00"/>
    <x v="3"/>
    <s v="PROD191"/>
    <n v="3266.4"/>
    <n v="794.14"/>
    <n v="20"/>
    <s v="Small Business"/>
    <s v="Synergize Frictionless Synergies"/>
    <x v="2"/>
    <s v="Hester and Sons"/>
    <n v="289.06"/>
    <n v="0.24312392848395786"/>
  </r>
  <r>
    <s v="ORD1895"/>
    <d v="2021-03-08T00:00:00"/>
    <x v="0"/>
    <s v="PROD193"/>
    <n v="3050.61"/>
    <n v="134.55000000000001"/>
    <n v="11"/>
    <s v="Small Business"/>
    <s v="Innovate Sticky Web Services"/>
    <x v="1"/>
    <s v="Friedman, Sanders and Adams"/>
    <n v="125.85"/>
    <n v="4.4105932911778299E-2"/>
  </r>
  <r>
    <s v="ORD1896"/>
    <d v="2020-09-25T00:00:00"/>
    <x v="0"/>
    <s v="PROD101"/>
    <n v="2607.15"/>
    <n v="621.34"/>
    <n v="9"/>
    <s v="Small Business"/>
    <s v="Harness Proactive Eyeballs"/>
    <x v="1"/>
    <s v="Moran and Sons"/>
    <n v="58.01"/>
    <n v="0.23832153884509905"/>
  </r>
  <r>
    <s v="ORD1897"/>
    <d v="2020-07-22T00:00:00"/>
    <x v="0"/>
    <s v="PROD137"/>
    <n v="3410.89"/>
    <n v="357.67"/>
    <n v="3"/>
    <s v="Consumer"/>
    <s v="Optimize Collaborative Initiatives"/>
    <x v="1"/>
    <s v="Adkins Ltd"/>
    <n v="34.46"/>
    <n v="0.10486119458557738"/>
  </r>
  <r>
    <s v="ORD1898"/>
    <d v="2020-09-17T00:00:00"/>
    <x v="0"/>
    <s v="PROD161"/>
    <n v="1630.85"/>
    <n v="290.43"/>
    <n v="9"/>
    <s v="Corporate"/>
    <s v="Synergize E-Business Deliverables"/>
    <x v="1"/>
    <s v="Crawford, Warren and Williams"/>
    <n v="125.93"/>
    <n v="0.17808504767452557"/>
  </r>
  <r>
    <s v="ORD1899"/>
    <d v="2023-03-16T00:00:00"/>
    <x v="0"/>
    <s v="PROD168"/>
    <n v="1010.02"/>
    <n v="912.52"/>
    <n v="15"/>
    <s v="Corporate"/>
    <s v="Facilitate End-To-End Experiences"/>
    <x v="0"/>
    <s v="Pierce-Goodwin"/>
    <n v="260.52999999999997"/>
    <n v="0.90346725807409756"/>
  </r>
  <r>
    <s v="ORD1900"/>
    <d v="2022-08-20T00:00:00"/>
    <x v="1"/>
    <s v="PROD107"/>
    <n v="3816.45"/>
    <n v="811.34"/>
    <n v="19"/>
    <s v="Small Business"/>
    <s v="Utilize Back-End Models"/>
    <x v="2"/>
    <s v="Lewis-Holden"/>
    <n v="241.53"/>
    <n v="0.21259023438011768"/>
  </r>
  <r>
    <s v="ORD1901"/>
    <d v="2021-08-23T00:00:00"/>
    <x v="1"/>
    <s v="PROD108"/>
    <n v="3289.19"/>
    <n v="925.97"/>
    <n v="5"/>
    <s v="Corporate"/>
    <s v="Synergize World-Class Networks"/>
    <x v="1"/>
    <s v="Gomez-Lawrence"/>
    <n v="72.37"/>
    <n v="0.28151915821220425"/>
  </r>
  <r>
    <s v="ORD1902"/>
    <d v="2024-03-10T00:00:00"/>
    <x v="1"/>
    <s v="PROD179"/>
    <n v="1547.83"/>
    <n v="906.47"/>
    <n v="13"/>
    <s v="Consumer"/>
    <s v="Target Viral Methodologies"/>
    <x v="1"/>
    <s v="Alvarez, Myers and Walter"/>
    <n v="149.26"/>
    <n v="0.58563924978841353"/>
  </r>
  <r>
    <s v="ORD1903"/>
    <d v="2022-12-29T00:00:00"/>
    <x v="3"/>
    <s v="PROD147"/>
    <n v="2092.61"/>
    <n v="973.59"/>
    <n v="8"/>
    <s v="Consumer"/>
    <s v="Brand B2C Info-Mediaries"/>
    <x v="0"/>
    <s v="Preston Ltd"/>
    <n v="13.46"/>
    <n v="0.46525152799613878"/>
  </r>
  <r>
    <s v="ORD1904"/>
    <d v="2020-08-05T00:00:00"/>
    <x v="2"/>
    <s v="PROD185"/>
    <n v="4156.7700000000004"/>
    <n v="502.89"/>
    <n v="10"/>
    <s v="Consumer"/>
    <s v="Generate End-To-End Functionalities"/>
    <x v="1"/>
    <s v="Sanchez-Stewart"/>
    <n v="196.15"/>
    <n v="0.12098095396185017"/>
  </r>
  <r>
    <s v="ORD1905"/>
    <d v="2024-06-11T00:00:00"/>
    <x v="3"/>
    <s v="PROD110"/>
    <n v="961.38"/>
    <n v="731.16"/>
    <n v="18"/>
    <s v="Small Business"/>
    <s v="E-Enable Holistic Supply-Chains"/>
    <x v="2"/>
    <s v="Lin-Mcdaniel"/>
    <n v="160.33000000000001"/>
    <n v="0.76053173563003185"/>
  </r>
  <r>
    <s v="ORD1906"/>
    <d v="2023-04-21T00:00:00"/>
    <x v="1"/>
    <s v="PROD195"/>
    <n v="1265.55"/>
    <n v="981.43"/>
    <n v="1"/>
    <s v="Small Business"/>
    <s v="Reinvent Out-Of-The-Box Models"/>
    <x v="0"/>
    <s v="Wagner-Curtis"/>
    <n v="172.34"/>
    <n v="0.77549681956461614"/>
  </r>
  <r>
    <s v="ORD1907"/>
    <d v="2023-09-21T00:00:00"/>
    <x v="1"/>
    <s v="PROD141"/>
    <n v="2295.4"/>
    <n v="560.91999999999996"/>
    <n v="9"/>
    <s v="Small Business"/>
    <s v="Re-Contextualize Integrated Info-Mediaries"/>
    <x v="1"/>
    <s v="Jones-Schroeder"/>
    <n v="26.02"/>
    <n v="0.24436699485928376"/>
  </r>
  <r>
    <s v="ORD1908"/>
    <d v="2020-02-02T00:00:00"/>
    <x v="0"/>
    <s v="PROD154"/>
    <n v="1896.6"/>
    <n v="231.21"/>
    <n v="5"/>
    <s v="Consumer"/>
    <s v="Utilize Virtual Partnerships"/>
    <x v="2"/>
    <s v="Smith, Diaz and Heath"/>
    <n v="193.02"/>
    <n v="0.1219076241695666"/>
  </r>
  <r>
    <s v="ORD1909"/>
    <d v="2021-06-19T00:00:00"/>
    <x v="1"/>
    <s v="PROD157"/>
    <n v="1925.44"/>
    <n v="870.16"/>
    <n v="1"/>
    <s v="Corporate"/>
    <s v="Implement Rich Platforms"/>
    <x v="1"/>
    <s v="Parker, Anderson and Salazar"/>
    <n v="53.59"/>
    <n v="0.45192787103207577"/>
  </r>
  <r>
    <s v="ORD1910"/>
    <d v="2022-07-28T00:00:00"/>
    <x v="0"/>
    <s v="PROD140"/>
    <n v="2745.37"/>
    <n v="360.54"/>
    <n v="19"/>
    <s v="Corporate"/>
    <s v="Extend Bricks-And-Clicks Architectures"/>
    <x v="2"/>
    <s v="Fuller PLC"/>
    <n v="202.99"/>
    <n v="0.13132656071859167"/>
  </r>
  <r>
    <s v="ORD1911"/>
    <d v="2020-04-14T00:00:00"/>
    <x v="2"/>
    <s v="PROD170"/>
    <n v="4864.33"/>
    <n v="175.01"/>
    <n v="12"/>
    <s v="Corporate"/>
    <s v="Deliver Sticky Networks"/>
    <x v="2"/>
    <s v="Massey LLC"/>
    <n v="272.33"/>
    <n v="3.5978233384659344E-2"/>
  </r>
  <r>
    <s v="ORD1912"/>
    <d v="2021-06-20T00:00:00"/>
    <x v="3"/>
    <s v="PROD168"/>
    <n v="2892.74"/>
    <n v="986.21"/>
    <n v="10"/>
    <s v="Consumer"/>
    <s v="Facilitate End-To-End Experiences"/>
    <x v="0"/>
    <s v="Pierce-Goodwin"/>
    <n v="260.52999999999997"/>
    <n v="0.34092590416006974"/>
  </r>
  <r>
    <s v="ORD1913"/>
    <d v="2021-02-27T00:00:00"/>
    <x v="1"/>
    <s v="PROD124"/>
    <n v="4935.7700000000004"/>
    <n v="110.04"/>
    <n v="17"/>
    <s v="Small Business"/>
    <s v="Incubate Real-Time E-Tailers"/>
    <x v="1"/>
    <s v="Johnson-Riley"/>
    <n v="86.67"/>
    <n v="2.2294393782530383E-2"/>
  </r>
  <r>
    <s v="ORD1914"/>
    <d v="2022-04-04T00:00:00"/>
    <x v="2"/>
    <s v="PROD188"/>
    <n v="2656.9"/>
    <n v="579.1"/>
    <n v="19"/>
    <s v="Corporate"/>
    <s v="Transition Mission-Critical Interfaces"/>
    <x v="0"/>
    <s v="Weaver Ltd"/>
    <n v="34.64"/>
    <n v="0.21796078136173735"/>
  </r>
  <r>
    <s v="ORD1915"/>
    <d v="2023-11-27T00:00:00"/>
    <x v="0"/>
    <s v="PROD170"/>
    <n v="3245.76"/>
    <n v="537.34"/>
    <n v="3"/>
    <s v="Consumer"/>
    <s v="Deliver Sticky Networks"/>
    <x v="2"/>
    <s v="Massey LLC"/>
    <n v="272.33"/>
    <n v="0.16555136547372573"/>
  </r>
  <r>
    <s v="ORD1916"/>
    <d v="2022-09-19T00:00:00"/>
    <x v="2"/>
    <s v="PROD135"/>
    <n v="3456.85"/>
    <n v="340"/>
    <n v="18"/>
    <s v="Small Business"/>
    <s v="Optimize 24/365 E-Services"/>
    <x v="0"/>
    <s v="Chase Ltd"/>
    <n v="100.35"/>
    <n v="9.8355439200428135E-2"/>
  </r>
  <r>
    <s v="ORD1917"/>
    <d v="2022-01-27T00:00:00"/>
    <x v="0"/>
    <s v="PROD112"/>
    <n v="2812.06"/>
    <n v="628.69000000000005"/>
    <n v="11"/>
    <s v="Consumer"/>
    <s v="Seize Clicks-And-Mortar Platforms"/>
    <x v="0"/>
    <s v="Owens, Campos and Wood"/>
    <n v="271.16000000000003"/>
    <n v="0.22356919838125788"/>
  </r>
  <r>
    <s v="ORD1918"/>
    <d v="2020-09-15T00:00:00"/>
    <x v="1"/>
    <s v="PROD169"/>
    <n v="3859.4"/>
    <n v="634.25"/>
    <n v="17"/>
    <s v="Consumer"/>
    <s v="Unleash End-To-End Web Services"/>
    <x v="0"/>
    <s v="Jones Ltd"/>
    <n v="188.02"/>
    <n v="0.16433901642742396"/>
  </r>
  <r>
    <s v="ORD1919"/>
    <d v="2020-04-13T00:00:00"/>
    <x v="2"/>
    <s v="PROD133"/>
    <n v="797.82"/>
    <n v="238.06"/>
    <n v="9"/>
    <s v="Corporate"/>
    <s v="Re-Intermediate Seamless Applications"/>
    <x v="0"/>
    <s v="Welch-Reed"/>
    <n v="45.82"/>
    <n v="0.29838810759319145"/>
  </r>
  <r>
    <s v="ORD1920"/>
    <d v="2023-12-17T00:00:00"/>
    <x v="1"/>
    <s v="PROD163"/>
    <n v="4030.23"/>
    <n v="163.66"/>
    <n v="18"/>
    <s v="Small Business"/>
    <s v="Grow Back-End Supply-Chains"/>
    <x v="1"/>
    <s v="Green LLC"/>
    <n v="140.08000000000001"/>
    <n v="4.0608104252114641E-2"/>
  </r>
  <r>
    <s v="ORD1921"/>
    <d v="2020-07-28T00:00:00"/>
    <x v="1"/>
    <s v="PROD162"/>
    <n v="4405.8100000000004"/>
    <n v="125.66"/>
    <n v="18"/>
    <s v="Consumer"/>
    <s v="Reinvent Visionary Niches"/>
    <x v="2"/>
    <s v="Huber-Richmond"/>
    <n v="219.81"/>
    <n v="2.852142965765659E-2"/>
  </r>
  <r>
    <s v="ORD1922"/>
    <d v="2021-09-30T00:00:00"/>
    <x v="2"/>
    <s v="PROD180"/>
    <n v="4490.3599999999997"/>
    <n v="179.89"/>
    <n v="6"/>
    <s v="Corporate"/>
    <s v="Iterate Extensible Roi"/>
    <x v="0"/>
    <s v="Hill-Kelly"/>
    <n v="180"/>
    <n v="4.0061375925315564E-2"/>
  </r>
  <r>
    <s v="ORD1923"/>
    <d v="2020-03-01T00:00:00"/>
    <x v="1"/>
    <s v="PROD152"/>
    <n v="4026.79"/>
    <n v="606.91"/>
    <n v="9"/>
    <s v="Corporate"/>
    <s v="Reinvent Frictionless Roi"/>
    <x v="2"/>
    <s v="Bridges, Castillo and Rodriguez"/>
    <n v="253.89"/>
    <n v="0.1507180657546085"/>
  </r>
  <r>
    <s v="ORD1924"/>
    <d v="2020-03-08T00:00:00"/>
    <x v="0"/>
    <s v="PROD109"/>
    <n v="862.65"/>
    <n v="276.13"/>
    <n v="15"/>
    <s v="Corporate"/>
    <s v="Orchestrate E-Business Niches"/>
    <x v="2"/>
    <s v="Johnson LLC"/>
    <n v="198.99"/>
    <n v="0.32009505593230164"/>
  </r>
  <r>
    <s v="ORD1925"/>
    <d v="2022-01-01T00:00:00"/>
    <x v="2"/>
    <s v="PROD173"/>
    <n v="1830.36"/>
    <n v="532.41"/>
    <n v="3"/>
    <s v="Small Business"/>
    <s v="Whiteboard Sticky Content"/>
    <x v="2"/>
    <s v="Wolfe Group"/>
    <n v="82.16"/>
    <n v="0.29087720448436372"/>
  </r>
  <r>
    <s v="ORD1926"/>
    <d v="2021-06-19T00:00:00"/>
    <x v="3"/>
    <s v="PROD153"/>
    <n v="3671.1"/>
    <n v="263.33999999999997"/>
    <n v="6"/>
    <s v="Consumer"/>
    <s v="Seize Plug-And-Play Web-Readiness"/>
    <x v="1"/>
    <s v="Joseph, Mayer and Carr"/>
    <n v="102.73"/>
    <n v="7.1733267957832803E-2"/>
  </r>
  <r>
    <s v="ORD1927"/>
    <d v="2024-06-16T00:00:00"/>
    <x v="1"/>
    <s v="PROD198"/>
    <n v="4822.9399999999996"/>
    <n v="511.92"/>
    <n v="5"/>
    <s v="Small Business"/>
    <s v="Visualize Dynamic E-Commerce"/>
    <x v="2"/>
    <s v="Jones LLC"/>
    <n v="92.61"/>
    <n v="0.10614272622093579"/>
  </r>
  <r>
    <s v="ORD1928"/>
    <d v="2021-12-16T00:00:00"/>
    <x v="2"/>
    <s v="PROD186"/>
    <n v="50.76"/>
    <n v="306.44"/>
    <n v="13"/>
    <s v="Consumer"/>
    <s v="Reinvent Mission-Critical Markets"/>
    <x v="2"/>
    <s v="Gilbert-Sanders"/>
    <n v="154.21"/>
    <n v="6.0370370370370372"/>
  </r>
  <r>
    <s v="ORD1929"/>
    <d v="2021-11-26T00:00:00"/>
    <x v="1"/>
    <s v="PROD126"/>
    <n v="1323.41"/>
    <n v="961.55"/>
    <n v="1"/>
    <s v="Corporate"/>
    <s v="Streamline Innovative Architectures"/>
    <x v="2"/>
    <s v="Price, Valentine and Lutz"/>
    <n v="291.14999999999998"/>
    <n v="0.72656999720419213"/>
  </r>
  <r>
    <s v="ORD1930"/>
    <d v="2020-02-27T00:00:00"/>
    <x v="3"/>
    <s v="PROD117"/>
    <n v="1993"/>
    <n v="140.44"/>
    <n v="4"/>
    <s v="Small Business"/>
    <s v="Revolutionize Efficient Niches"/>
    <x v="1"/>
    <s v="Lopez-Torres"/>
    <n v="23.02"/>
    <n v="7.0466633216256902E-2"/>
  </r>
  <r>
    <s v="ORD1931"/>
    <d v="2020-02-15T00:00:00"/>
    <x v="2"/>
    <s v="PROD158"/>
    <n v="4982.66"/>
    <n v="145.22999999999999"/>
    <n v="16"/>
    <s v="Consumer"/>
    <s v="Brand Web-Enabled Solutions"/>
    <x v="1"/>
    <s v="Russell Group"/>
    <n v="51.67"/>
    <n v="2.9147082080655713E-2"/>
  </r>
  <r>
    <s v="ORD1932"/>
    <d v="2021-09-17T00:00:00"/>
    <x v="0"/>
    <s v="PROD124"/>
    <n v="3253.73"/>
    <n v="921.66"/>
    <n v="8"/>
    <s v="Consumer"/>
    <s v="Incubate Real-Time E-Tailers"/>
    <x v="1"/>
    <s v="Johnson-Riley"/>
    <n v="86.67"/>
    <n v="0.28326259400749293"/>
  </r>
  <r>
    <s v="ORD1933"/>
    <d v="2024-04-19T00:00:00"/>
    <x v="0"/>
    <s v="PROD111"/>
    <n v="1435.62"/>
    <n v="957.79"/>
    <n v="17"/>
    <s v="Small Business"/>
    <s v="Harness Revolutionary Interfaces"/>
    <x v="2"/>
    <s v="Davis, Short and Nguyen"/>
    <n v="26.49"/>
    <n v="0.66716122650840759"/>
  </r>
  <r>
    <s v="ORD1934"/>
    <d v="2024-05-04T00:00:00"/>
    <x v="3"/>
    <s v="PROD129"/>
    <n v="2718.57"/>
    <n v="273.52"/>
    <n v="1"/>
    <s v="Consumer"/>
    <s v="Scale Vertical Networks"/>
    <x v="2"/>
    <s v="Lam, Wood and Jacobs"/>
    <n v="133.24"/>
    <n v="0.10061171866091363"/>
  </r>
  <r>
    <s v="ORD1935"/>
    <d v="2022-12-01T00:00:00"/>
    <x v="1"/>
    <s v="PROD119"/>
    <n v="2178.77"/>
    <n v="420.58"/>
    <n v="18"/>
    <s v="Small Business"/>
    <s v="Generate Front-End Functionalities"/>
    <x v="0"/>
    <s v="Morales-Brown"/>
    <n v="299.77"/>
    <n v="0.19303552004112412"/>
  </r>
  <r>
    <s v="ORD1936"/>
    <d v="2020-03-27T00:00:00"/>
    <x v="2"/>
    <s v="PROD143"/>
    <n v="841.42"/>
    <n v="837.31"/>
    <n v="1"/>
    <s v="Small Business"/>
    <s v="E-Enable Synergistic Vortals"/>
    <x v="1"/>
    <s v="Guzman Group"/>
    <n v="278.43"/>
    <n v="0.99511540015687761"/>
  </r>
  <r>
    <s v="ORD1937"/>
    <d v="2022-05-05T00:00:00"/>
    <x v="3"/>
    <s v="PROD146"/>
    <n v="1446.59"/>
    <n v="297.89"/>
    <n v="17"/>
    <s v="Corporate"/>
    <s v="Engage Rich Web-Readiness"/>
    <x v="0"/>
    <s v="Turner Inc"/>
    <n v="81.069999999999993"/>
    <n v="0.20592565965477433"/>
  </r>
  <r>
    <s v="ORD1938"/>
    <d v="2024-03-02T00:00:00"/>
    <x v="1"/>
    <s v="PROD121"/>
    <n v="298.33999999999997"/>
    <n v="519.16"/>
    <n v="15"/>
    <s v="Small Business"/>
    <s v="Whiteboard B2B Content"/>
    <x v="0"/>
    <s v="Romero PLC"/>
    <n v="93.81"/>
    <n v="1.7401622310115976"/>
  </r>
  <r>
    <s v="ORD1939"/>
    <d v="2022-06-17T00:00:00"/>
    <x v="3"/>
    <s v="PROD187"/>
    <n v="2330.0300000000002"/>
    <n v="228.38"/>
    <n v="20"/>
    <s v="Corporate"/>
    <s v="Whiteboard Compelling Experiences"/>
    <x v="2"/>
    <s v="Carrillo, Carr and Ball"/>
    <n v="206.54"/>
    <n v="9.80159053746089E-2"/>
  </r>
  <r>
    <s v="ORD1940"/>
    <d v="2022-09-17T00:00:00"/>
    <x v="2"/>
    <s v="PROD175"/>
    <n v="2741.47"/>
    <n v="923.52"/>
    <n v="19"/>
    <s v="Corporate"/>
    <s v="Empower Bleeding-Edge Action-Items"/>
    <x v="2"/>
    <s v="Gray, Hayes and Banks"/>
    <n v="204.26"/>
    <n v="0.33687036516905167"/>
  </r>
  <r>
    <s v="ORD1941"/>
    <d v="2021-04-01T00:00:00"/>
    <x v="2"/>
    <s v="PROD115"/>
    <n v="4104.59"/>
    <n v="282.42"/>
    <n v="17"/>
    <s v="Consumer"/>
    <s v="Morph World-Class Synergies"/>
    <x v="1"/>
    <s v="Bryant Ltd"/>
    <n v="20.69"/>
    <n v="6.8805897787598769E-2"/>
  </r>
  <r>
    <s v="ORD1942"/>
    <d v="2021-10-23T00:00:00"/>
    <x v="0"/>
    <s v="PROD198"/>
    <n v="3288.58"/>
    <n v="285.17"/>
    <n v="19"/>
    <s v="Consumer"/>
    <s v="Visualize Dynamic E-Commerce"/>
    <x v="2"/>
    <s v="Jones LLC"/>
    <n v="92.61"/>
    <n v="8.6715238796076122E-2"/>
  </r>
  <r>
    <s v="ORD1943"/>
    <d v="2023-08-05T00:00:00"/>
    <x v="3"/>
    <s v="PROD126"/>
    <n v="3502.73"/>
    <n v="761.58"/>
    <n v="14"/>
    <s v="Small Business"/>
    <s v="Streamline Innovative Architectures"/>
    <x v="2"/>
    <s v="Price, Valentine and Lutz"/>
    <n v="291.14999999999998"/>
    <n v="0.2174246944526127"/>
  </r>
  <r>
    <s v="ORD1944"/>
    <d v="2021-12-26T00:00:00"/>
    <x v="3"/>
    <s v="PROD103"/>
    <n v="613.15"/>
    <n v="768.16"/>
    <n v="1"/>
    <s v="Consumer"/>
    <s v="Monetize Collaborative Metrics"/>
    <x v="1"/>
    <s v="Ramirez-Brown"/>
    <n v="286.04000000000002"/>
    <n v="1.2528092636385877"/>
  </r>
  <r>
    <s v="ORD1945"/>
    <d v="2020-08-13T00:00:00"/>
    <x v="3"/>
    <s v="PROD138"/>
    <n v="840.2"/>
    <n v="251.16"/>
    <n v="12"/>
    <s v="Consumer"/>
    <s v="Deliver Viral Eyeballs"/>
    <x v="0"/>
    <s v="Estes, Chan and Thomas"/>
    <n v="16.89"/>
    <n v="0.29892882646988811"/>
  </r>
  <r>
    <s v="ORD1946"/>
    <d v="2020-08-12T00:00:00"/>
    <x v="0"/>
    <s v="PROD119"/>
    <n v="1448.73"/>
    <n v="558.6"/>
    <n v="4"/>
    <s v="Consumer"/>
    <s v="Generate Front-End Functionalities"/>
    <x v="0"/>
    <s v="Morales-Brown"/>
    <n v="299.77"/>
    <n v="0.38557909341285129"/>
  </r>
  <r>
    <s v="ORD1947"/>
    <d v="2022-12-29T00:00:00"/>
    <x v="1"/>
    <s v="PROD127"/>
    <n v="1271.48"/>
    <n v="108.01"/>
    <n v="8"/>
    <s v="Consumer"/>
    <s v="Deliver Viral Channels"/>
    <x v="2"/>
    <s v="Parker LLC"/>
    <n v="45.41"/>
    <n v="8.4948249284298616E-2"/>
  </r>
  <r>
    <s v="ORD1948"/>
    <d v="2020-09-16T00:00:00"/>
    <x v="3"/>
    <s v="PROD154"/>
    <n v="1004.42"/>
    <n v="833.97"/>
    <n v="18"/>
    <s v="Consumer"/>
    <s v="Utilize Virtual Partnerships"/>
    <x v="2"/>
    <s v="Smith, Diaz and Heath"/>
    <n v="193.02"/>
    <n v="0.83030007367435943"/>
  </r>
  <r>
    <s v="ORD1949"/>
    <d v="2023-06-27T00:00:00"/>
    <x v="3"/>
    <s v="PROD127"/>
    <n v="3577.83"/>
    <n v="649.44000000000005"/>
    <n v="14"/>
    <s v="Consumer"/>
    <s v="Deliver Viral Channels"/>
    <x v="2"/>
    <s v="Parker LLC"/>
    <n v="45.41"/>
    <n v="0.1815178474103018"/>
  </r>
  <r>
    <s v="ORD1950"/>
    <d v="2024-08-14T00:00:00"/>
    <x v="1"/>
    <s v="PROD144"/>
    <n v="3018.25"/>
    <n v="828.61"/>
    <n v="5"/>
    <s v="Corporate"/>
    <s v="Expedite Synergistic Web-Readiness"/>
    <x v="1"/>
    <s v="Dunlap, Carpenter and Monroe"/>
    <n v="289.66000000000003"/>
    <n v="0.27453325602584278"/>
  </r>
  <r>
    <s v="ORD1951"/>
    <d v="2021-06-15T00:00:00"/>
    <x v="2"/>
    <s v="PROD185"/>
    <n v="894.54"/>
    <n v="511.13"/>
    <n v="5"/>
    <s v="Corporate"/>
    <s v="Generate End-To-End Functionalities"/>
    <x v="1"/>
    <s v="Sanchez-Stewart"/>
    <n v="196.15"/>
    <n v="0.5713886466787399"/>
  </r>
  <r>
    <s v="ORD1952"/>
    <d v="2020-11-01T00:00:00"/>
    <x v="3"/>
    <s v="PROD192"/>
    <n v="800.53"/>
    <n v="840.1"/>
    <n v="18"/>
    <s v="Consumer"/>
    <s v="Drive Compelling E-Services"/>
    <x v="0"/>
    <s v="Morris-Villanueva"/>
    <n v="27.22"/>
    <n v="1.0494297527887775"/>
  </r>
  <r>
    <s v="ORD1953"/>
    <d v="2021-01-30T00:00:00"/>
    <x v="0"/>
    <s v="PROD155"/>
    <n v="1476.83"/>
    <n v="48.63"/>
    <n v="14"/>
    <s v="Consumer"/>
    <s v="Incentivize User-Centric Mindshare"/>
    <x v="1"/>
    <s v="Becker, Wright and Wong"/>
    <n v="38.51"/>
    <n v="3.2928637690187772E-2"/>
  </r>
  <r>
    <s v="ORD1954"/>
    <d v="2024-10-16T00:00:00"/>
    <x v="0"/>
    <s v="PROD130"/>
    <n v="1073"/>
    <n v="40.71"/>
    <n v="17"/>
    <s v="Corporate"/>
    <s v="Synthesize Wireless Initiatives"/>
    <x v="1"/>
    <s v="Mosley Ltd"/>
    <n v="162.69999999999999"/>
    <n v="3.79403541472507E-2"/>
  </r>
  <r>
    <s v="ORD1955"/>
    <d v="2023-09-01T00:00:00"/>
    <x v="3"/>
    <s v="PROD158"/>
    <n v="268.33"/>
    <n v="392.27"/>
    <n v="19"/>
    <s v="Small Business"/>
    <s v="Brand Web-Enabled Solutions"/>
    <x v="1"/>
    <s v="Russell Group"/>
    <n v="51.67"/>
    <n v="1.4618939365706407"/>
  </r>
  <r>
    <s v="ORD1956"/>
    <d v="2022-11-01T00:00:00"/>
    <x v="1"/>
    <s v="PROD187"/>
    <n v="1984.08"/>
    <n v="221.48"/>
    <n v="19"/>
    <s v="Corporate"/>
    <s v="Whiteboard Compelling Experiences"/>
    <x v="2"/>
    <s v="Carrillo, Carr and Ball"/>
    <n v="206.54"/>
    <n v="0.11162856336438047"/>
  </r>
  <r>
    <s v="ORD1957"/>
    <d v="2022-11-04T00:00:00"/>
    <x v="0"/>
    <s v="PROD189"/>
    <n v="2269.63"/>
    <n v="312.88"/>
    <n v="17"/>
    <s v="Consumer"/>
    <s v="E-Enable Next-Generation Experiences"/>
    <x v="2"/>
    <s v="Sanchez-Quinn"/>
    <n v="266.93"/>
    <n v="0.13785506888788041"/>
  </r>
  <r>
    <s v="ORD1958"/>
    <d v="2022-04-22T00:00:00"/>
    <x v="0"/>
    <s v="PROD177"/>
    <n v="754.18"/>
    <n v="916.25"/>
    <n v="14"/>
    <s v="Corporate"/>
    <s v="Deploy Granular Channels"/>
    <x v="2"/>
    <s v="Barnes Ltd"/>
    <n v="288.99"/>
    <n v="1.2148956482537325"/>
  </r>
  <r>
    <s v="ORD1959"/>
    <d v="2020-08-19T00:00:00"/>
    <x v="0"/>
    <s v="PROD134"/>
    <n v="4462.37"/>
    <n v="619.49"/>
    <n v="8"/>
    <s v="Consumer"/>
    <s v="Utilize Ubiquitous Synergies"/>
    <x v="1"/>
    <s v="Kramer, Huang and Shaw"/>
    <n v="295.89999999999998"/>
    <n v="0.13882533272677972"/>
  </r>
  <r>
    <s v="ORD1960"/>
    <d v="2021-03-07T00:00:00"/>
    <x v="2"/>
    <s v="PROD187"/>
    <n v="775"/>
    <n v="716.83"/>
    <n v="15"/>
    <s v="Small Business"/>
    <s v="Whiteboard Compelling Experiences"/>
    <x v="2"/>
    <s v="Carrillo, Carr and Ball"/>
    <n v="206.54"/>
    <n v="0.92494193548387105"/>
  </r>
  <r>
    <s v="ORD1961"/>
    <d v="2021-11-13T00:00:00"/>
    <x v="0"/>
    <s v="PROD174"/>
    <n v="4743.5600000000004"/>
    <n v="754.94"/>
    <n v="2"/>
    <s v="Corporate"/>
    <s v="Disintermediate Scalable Bandwidth"/>
    <x v="1"/>
    <s v="Levy PLC"/>
    <n v="19.86"/>
    <n v="0.15915051143023384"/>
  </r>
  <r>
    <s v="ORD1962"/>
    <d v="2022-07-25T00:00:00"/>
    <x v="2"/>
    <s v="PROD154"/>
    <n v="1309.54"/>
    <n v="222.8"/>
    <n v="14"/>
    <s v="Consumer"/>
    <s v="Utilize Virtual Partnerships"/>
    <x v="2"/>
    <s v="Smith, Diaz and Heath"/>
    <n v="193.02"/>
    <n v="0.17013607831757718"/>
  </r>
  <r>
    <s v="ORD1963"/>
    <d v="2022-02-06T00:00:00"/>
    <x v="2"/>
    <s v="PROD103"/>
    <n v="2670.84"/>
    <n v="259.07"/>
    <n v="5"/>
    <s v="Corporate"/>
    <s v="Monetize Collaborative Metrics"/>
    <x v="1"/>
    <s v="Ramirez-Brown"/>
    <n v="286.04000000000002"/>
    <n v="9.6999445867217801E-2"/>
  </r>
  <r>
    <s v="ORD1964"/>
    <d v="2022-03-11T00:00:00"/>
    <x v="3"/>
    <s v="PROD116"/>
    <n v="3344.33"/>
    <n v="930.54"/>
    <n v="10"/>
    <s v="Corporate"/>
    <s v="Synergize Cross-Platform Vortals"/>
    <x v="2"/>
    <s v="Edwards Group"/>
    <n v="87.18"/>
    <n v="0.27824407280382019"/>
  </r>
  <r>
    <s v="ORD1965"/>
    <d v="2024-02-18T00:00:00"/>
    <x v="1"/>
    <s v="PROD116"/>
    <n v="3141.47"/>
    <n v="53.41"/>
    <n v="16"/>
    <s v="Small Business"/>
    <s v="Synergize Cross-Platform Vortals"/>
    <x v="2"/>
    <s v="Edwards Group"/>
    <n v="87.18"/>
    <n v="1.7001594794793521E-2"/>
  </r>
  <r>
    <s v="ORD1966"/>
    <d v="2024-09-15T00:00:00"/>
    <x v="2"/>
    <s v="PROD142"/>
    <n v="2821.79"/>
    <n v="272.37"/>
    <n v="11"/>
    <s v="Small Business"/>
    <s v="Target Bricks-And-Clicks Channels"/>
    <x v="1"/>
    <s v="Dunn, Christensen and Meyer"/>
    <n v="126.86"/>
    <n v="9.6523837705853377E-2"/>
  </r>
  <r>
    <s v="ORD1967"/>
    <d v="2021-02-07T00:00:00"/>
    <x v="1"/>
    <s v="PROD143"/>
    <n v="3106.47"/>
    <n v="244.31"/>
    <n v="5"/>
    <s v="Small Business"/>
    <s v="E-Enable Synergistic Vortals"/>
    <x v="1"/>
    <s v="Guzman Group"/>
    <n v="278.43"/>
    <n v="7.8645536573667227E-2"/>
  </r>
  <r>
    <s v="ORD1968"/>
    <d v="2021-06-22T00:00:00"/>
    <x v="2"/>
    <s v="PROD177"/>
    <n v="4920.63"/>
    <n v="310.27999999999997"/>
    <n v="3"/>
    <s v="Small Business"/>
    <s v="Deploy Granular Channels"/>
    <x v="2"/>
    <s v="Barnes Ltd"/>
    <n v="288.99"/>
    <n v="6.3056966282772728E-2"/>
  </r>
  <r>
    <s v="ORD1969"/>
    <d v="2024-09-06T00:00:00"/>
    <x v="3"/>
    <s v="PROD108"/>
    <n v="3598.89"/>
    <n v="26.38"/>
    <n v="6"/>
    <s v="Small Business"/>
    <s v="Synergize World-Class Networks"/>
    <x v="1"/>
    <s v="Gomez-Lawrence"/>
    <n v="72.37"/>
    <n v="7.3300378727885543E-3"/>
  </r>
  <r>
    <s v="ORD1970"/>
    <d v="2020-04-05T00:00:00"/>
    <x v="3"/>
    <s v="PROD179"/>
    <n v="4912.47"/>
    <n v="292.92"/>
    <n v="13"/>
    <s v="Corporate"/>
    <s v="Target Viral Methodologies"/>
    <x v="1"/>
    <s v="Alvarez, Myers and Walter"/>
    <n v="149.26"/>
    <n v="5.9627845055542326E-2"/>
  </r>
  <r>
    <s v="ORD1971"/>
    <d v="2020-12-01T00:00:00"/>
    <x v="3"/>
    <s v="PROD191"/>
    <n v="323.39999999999998"/>
    <n v="900.09"/>
    <n v="1"/>
    <s v="Corporate"/>
    <s v="Synergize Frictionless Synergies"/>
    <x v="2"/>
    <s v="Hester and Sons"/>
    <n v="289.06"/>
    <n v="2.783209647495362"/>
  </r>
  <r>
    <s v="ORD1972"/>
    <d v="2024-03-29T00:00:00"/>
    <x v="3"/>
    <s v="PROD108"/>
    <n v="1542.23"/>
    <n v="196.75"/>
    <n v="3"/>
    <s v="Small Business"/>
    <s v="Synergize World-Class Networks"/>
    <x v="1"/>
    <s v="Gomez-Lawrence"/>
    <n v="72.37"/>
    <n v="0.12757500502519079"/>
  </r>
  <r>
    <s v="ORD1973"/>
    <d v="2021-05-10T00:00:00"/>
    <x v="1"/>
    <s v="PROD168"/>
    <n v="4853.8900000000003"/>
    <n v="211.16"/>
    <n v="13"/>
    <s v="Consumer"/>
    <s v="Facilitate End-To-End Experiences"/>
    <x v="0"/>
    <s v="Pierce-Goodwin"/>
    <n v="260.52999999999997"/>
    <n v="4.350325203084536E-2"/>
  </r>
  <r>
    <s v="ORD1974"/>
    <d v="2024-09-03T00:00:00"/>
    <x v="1"/>
    <s v="PROD145"/>
    <n v="4604.28"/>
    <n v="542.63"/>
    <n v="9"/>
    <s v="Corporate"/>
    <s v="Innovate Strategic Systems"/>
    <x v="0"/>
    <s v="Mcfarland, Parker and Armstrong"/>
    <n v="70.239999999999995"/>
    <n v="0.11785338858627191"/>
  </r>
  <r>
    <s v="ORD1975"/>
    <d v="2023-11-07T00:00:00"/>
    <x v="0"/>
    <s v="PROD187"/>
    <n v="3244.25"/>
    <n v="901.96"/>
    <n v="3"/>
    <s v="Small Business"/>
    <s v="Whiteboard Compelling Experiences"/>
    <x v="2"/>
    <s v="Carrillo, Carr and Ball"/>
    <n v="206.54"/>
    <n v="0.27801803190259694"/>
  </r>
  <r>
    <s v="ORD1976"/>
    <d v="2022-03-10T00:00:00"/>
    <x v="2"/>
    <s v="PROD167"/>
    <n v="1747.38"/>
    <n v="423.17"/>
    <n v="10"/>
    <s v="Corporate"/>
    <s v="Grow Synergistic Infrastructures"/>
    <x v="2"/>
    <s v="Adams-Carter"/>
    <n v="113.17"/>
    <n v="0.24217399764218428"/>
  </r>
  <r>
    <s v="ORD1977"/>
    <d v="2023-09-18T00:00:00"/>
    <x v="2"/>
    <s v="PROD190"/>
    <n v="4260.82"/>
    <n v="443.27"/>
    <n v="17"/>
    <s v="Small Business"/>
    <s v="Repurpose End-To-End Networks"/>
    <x v="0"/>
    <s v="Torres-Rush"/>
    <n v="97.02"/>
    <n v="0.10403396529306566"/>
  </r>
  <r>
    <s v="ORD1978"/>
    <d v="2020-01-17T00:00:00"/>
    <x v="0"/>
    <s v="PROD114"/>
    <n v="3916.09"/>
    <n v="481.54"/>
    <n v="4"/>
    <s v="Consumer"/>
    <s v="Orchestrate User-Centric Platforms"/>
    <x v="2"/>
    <s v="Wells Ltd"/>
    <n v="201.87"/>
    <n v="0.12296448753731401"/>
  </r>
  <r>
    <s v="ORD1979"/>
    <d v="2024-10-07T00:00:00"/>
    <x v="2"/>
    <s v="PROD135"/>
    <n v="262.92"/>
    <n v="205.66"/>
    <n v="17"/>
    <s v="Corporate"/>
    <s v="Optimize 24/365 E-Services"/>
    <x v="0"/>
    <s v="Chase Ltd"/>
    <n v="100.35"/>
    <n v="0.78221512247071345"/>
  </r>
  <r>
    <s v="ORD1980"/>
    <d v="2020-06-20T00:00:00"/>
    <x v="0"/>
    <s v="PROD157"/>
    <n v="1188.7"/>
    <n v="258.86"/>
    <n v="16"/>
    <s v="Small Business"/>
    <s v="Implement Rich Platforms"/>
    <x v="1"/>
    <s v="Parker, Anderson and Salazar"/>
    <n v="53.59"/>
    <n v="0.21776730882476655"/>
  </r>
  <r>
    <s v="ORD1981"/>
    <d v="2021-07-28T00:00:00"/>
    <x v="0"/>
    <s v="PROD192"/>
    <n v="4272.4399999999996"/>
    <n v="134.59"/>
    <n v="11"/>
    <s v="Small Business"/>
    <s v="Drive Compelling E-Services"/>
    <x v="0"/>
    <s v="Morris-Villanueva"/>
    <n v="27.22"/>
    <n v="3.1501905234479599E-2"/>
  </r>
  <r>
    <s v="ORD1982"/>
    <d v="2024-03-01T00:00:00"/>
    <x v="3"/>
    <s v="PROD176"/>
    <n v="2285.06"/>
    <n v="743.15"/>
    <n v="7"/>
    <s v="Consumer"/>
    <s v="Facilitate Integrated E-Business"/>
    <x v="0"/>
    <s v="Chang-Vargas"/>
    <n v="130.33000000000001"/>
    <n v="0.3252212195741031"/>
  </r>
  <r>
    <s v="ORD1983"/>
    <d v="2024-04-25T00:00:00"/>
    <x v="2"/>
    <s v="PROD180"/>
    <n v="4848.45"/>
    <n v="285.51"/>
    <n v="16"/>
    <s v="Small Business"/>
    <s v="Iterate Extensible Roi"/>
    <x v="0"/>
    <s v="Hill-Kelly"/>
    <n v="180"/>
    <n v="5.8886860749311633E-2"/>
  </r>
  <r>
    <s v="ORD1984"/>
    <d v="2020-02-08T00:00:00"/>
    <x v="3"/>
    <s v="PROD169"/>
    <n v="2098.0100000000002"/>
    <n v="469.47"/>
    <n v="1"/>
    <s v="Small Business"/>
    <s v="Unleash End-To-End Web Services"/>
    <x v="0"/>
    <s v="Jones Ltd"/>
    <n v="188.02"/>
    <n v="0.2237691908046196"/>
  </r>
  <r>
    <s v="ORD1985"/>
    <d v="2021-01-04T00:00:00"/>
    <x v="1"/>
    <s v="PROD157"/>
    <n v="464.24"/>
    <n v="816.94"/>
    <n v="1"/>
    <s v="Small Business"/>
    <s v="Implement Rich Platforms"/>
    <x v="1"/>
    <s v="Parker, Anderson and Salazar"/>
    <n v="53.59"/>
    <n v="1.759736343270722"/>
  </r>
  <r>
    <s v="ORD1986"/>
    <d v="2024-06-06T00:00:00"/>
    <x v="1"/>
    <s v="PROD114"/>
    <n v="1077.5"/>
    <n v="731.26"/>
    <n v="17"/>
    <s v="Corporate"/>
    <s v="Orchestrate User-Centric Platforms"/>
    <x v="2"/>
    <s v="Wells Ltd"/>
    <n v="201.87"/>
    <n v="0.67866357308584691"/>
  </r>
  <r>
    <s v="ORD1987"/>
    <d v="2021-06-01T00:00:00"/>
    <x v="1"/>
    <s v="PROD104"/>
    <n v="4763.84"/>
    <n v="299.14999999999998"/>
    <n v="4"/>
    <s v="Consumer"/>
    <s v="Implement Clicks-And-Mortar Partnerships"/>
    <x v="1"/>
    <s v="Smith Inc"/>
    <n v="195.53"/>
    <n v="6.2795979713844291E-2"/>
  </r>
  <r>
    <s v="ORD1988"/>
    <d v="2021-07-17T00:00:00"/>
    <x v="0"/>
    <s v="PROD145"/>
    <n v="4816.6000000000004"/>
    <n v="209.1"/>
    <n v="11"/>
    <s v="Corporate"/>
    <s v="Innovate Strategic Systems"/>
    <x v="0"/>
    <s v="Mcfarland, Parker and Armstrong"/>
    <n v="70.239999999999995"/>
    <n v="4.3412365569073616E-2"/>
  </r>
  <r>
    <s v="ORD1989"/>
    <d v="2022-03-05T00:00:00"/>
    <x v="3"/>
    <s v="PROD101"/>
    <n v="2801.61"/>
    <n v="590.53"/>
    <n v="1"/>
    <s v="Consumer"/>
    <s v="Harness Proactive Eyeballs"/>
    <x v="1"/>
    <s v="Moran and Sons"/>
    <n v="58.01"/>
    <n v="0.21078237156492158"/>
  </r>
  <r>
    <s v="ORD1990"/>
    <d v="2024-07-23T00:00:00"/>
    <x v="1"/>
    <s v="PROD116"/>
    <n v="1859.18"/>
    <n v="643.78"/>
    <n v="5"/>
    <s v="Corporate"/>
    <s v="Synergize Cross-Platform Vortals"/>
    <x v="2"/>
    <s v="Edwards Group"/>
    <n v="87.18"/>
    <n v="0.3462709366494906"/>
  </r>
  <r>
    <s v="ORD1991"/>
    <d v="2020-03-04T00:00:00"/>
    <x v="3"/>
    <s v="PROD137"/>
    <n v="80.36"/>
    <n v="755.11"/>
    <n v="17"/>
    <s v="Consumer"/>
    <s v="Optimize Collaborative Initiatives"/>
    <x v="1"/>
    <s v="Adkins Ltd"/>
    <n v="34.46"/>
    <n v="9.3965903434544558"/>
  </r>
  <r>
    <s v="ORD1992"/>
    <d v="2024-02-08T00:00:00"/>
    <x v="1"/>
    <s v="PROD170"/>
    <n v="1898.9"/>
    <n v="225.73"/>
    <n v="15"/>
    <s v="Small Business"/>
    <s v="Deliver Sticky Networks"/>
    <x v="2"/>
    <s v="Massey LLC"/>
    <n v="272.33"/>
    <n v="0.11887408499657695"/>
  </r>
  <r>
    <s v="ORD1993"/>
    <d v="2021-07-10T00:00:00"/>
    <x v="0"/>
    <s v="PROD166"/>
    <n v="4001.97"/>
    <n v="677.16"/>
    <n v="15"/>
    <s v="Corporate"/>
    <s v="Monetize Wireless Functionalities"/>
    <x v="2"/>
    <s v="Robinson, Rodriguez and Hernandez"/>
    <n v="162.22"/>
    <n v="0.1692066657171343"/>
  </r>
  <r>
    <s v="ORD1994"/>
    <d v="2021-01-15T00:00:00"/>
    <x v="3"/>
    <s v="PROD110"/>
    <n v="2685.68"/>
    <n v="76.989999999999995"/>
    <n v="8"/>
    <s v="Corporate"/>
    <s v="E-Enable Holistic Supply-Chains"/>
    <x v="2"/>
    <s v="Lin-Mcdaniel"/>
    <n v="160.33000000000001"/>
    <n v="2.8666855321557296E-2"/>
  </r>
  <r>
    <s v="ORD1995"/>
    <d v="2020-11-27T00:00:00"/>
    <x v="3"/>
    <s v="PROD117"/>
    <n v="1818.34"/>
    <n v="997.33"/>
    <n v="7"/>
    <s v="Small Business"/>
    <s v="Revolutionize Efficient Niches"/>
    <x v="1"/>
    <s v="Lopez-Torres"/>
    <n v="23.02"/>
    <n v="0.5484837819109738"/>
  </r>
  <r>
    <s v="ORD1996"/>
    <d v="2024-01-20T00:00:00"/>
    <x v="1"/>
    <s v="PROD106"/>
    <n v="461.86"/>
    <n v="87.92"/>
    <n v="13"/>
    <s v="Consumer"/>
    <s v="Synergize End-To-End Supply-Chains"/>
    <x v="0"/>
    <s v="Higgins-Espinoza"/>
    <n v="279.8"/>
    <n v="0.19036071536829341"/>
  </r>
  <r>
    <s v="ORD1997"/>
    <d v="2021-05-19T00:00:00"/>
    <x v="2"/>
    <s v="PROD133"/>
    <n v="3397.67"/>
    <n v="712.63"/>
    <n v="17"/>
    <s v="Small Business"/>
    <s v="Re-Intermediate Seamless Applications"/>
    <x v="0"/>
    <s v="Welch-Reed"/>
    <n v="45.82"/>
    <n v="0.20974079295517223"/>
  </r>
  <r>
    <s v="ORD1998"/>
    <d v="2020-05-05T00:00:00"/>
    <x v="3"/>
    <s v="PROD137"/>
    <n v="4210.71"/>
    <n v="203.21"/>
    <n v="14"/>
    <s v="Corporate"/>
    <s v="Optimize Collaborative Initiatives"/>
    <x v="1"/>
    <s v="Adkins Ltd"/>
    <n v="34.46"/>
    <n v="4.8260269645736709E-2"/>
  </r>
  <r>
    <s v="ORD1999"/>
    <d v="2024-01-08T00:00:00"/>
    <x v="2"/>
    <s v="PROD109"/>
    <n v="4461.79"/>
    <n v="94.19"/>
    <n v="5"/>
    <s v="Consumer"/>
    <s v="Orchestrate E-Business Niches"/>
    <x v="2"/>
    <s v="Johnson LLC"/>
    <n v="198.99"/>
    <n v="2.1110361536513373E-2"/>
  </r>
  <r>
    <s v="ORD2000"/>
    <d v="2023-05-02T00:00:00"/>
    <x v="1"/>
    <s v="PROD133"/>
    <n v="915.4"/>
    <n v="265.13"/>
    <n v="20"/>
    <s v="Corporate"/>
    <s v="Re-Intermediate Seamless Applications"/>
    <x v="0"/>
    <s v="Welch-Reed"/>
    <n v="45.82"/>
    <n v="0.28963294734542278"/>
  </r>
  <r>
    <s v="ORD2001"/>
    <d v="2022-05-18T00:00:00"/>
    <x v="0"/>
    <s v="PROD195"/>
    <n v="1005.26"/>
    <n v="886.87"/>
    <n v="13"/>
    <s v="Corporate"/>
    <s v="Reinvent Out-Of-The-Box Models"/>
    <x v="0"/>
    <s v="Wagner-Curtis"/>
    <n v="172.34"/>
    <n v="0.88222947297216636"/>
  </r>
  <r>
    <s v="ORD2002"/>
    <d v="2023-02-17T00:00:00"/>
    <x v="1"/>
    <s v="PROD110"/>
    <n v="3879.86"/>
    <n v="135.75"/>
    <n v="17"/>
    <s v="Consumer"/>
    <s v="E-Enable Holistic Supply-Chains"/>
    <x v="2"/>
    <s v="Lin-Mcdaniel"/>
    <n v="160.33000000000001"/>
    <n v="3.4988375869232397E-2"/>
  </r>
  <r>
    <s v="ORD2003"/>
    <d v="2022-09-30T00:00:00"/>
    <x v="1"/>
    <s v="PROD154"/>
    <n v="413.73"/>
    <n v="819.15"/>
    <n v="6"/>
    <s v="Consumer"/>
    <s v="Utilize Virtual Partnerships"/>
    <x v="2"/>
    <s v="Smith, Diaz and Heath"/>
    <n v="193.02"/>
    <n v="1.979914436951635"/>
  </r>
  <r>
    <s v="ORD2004"/>
    <d v="2024-07-09T00:00:00"/>
    <x v="0"/>
    <s v="PROD109"/>
    <n v="3304.82"/>
    <n v="19.28"/>
    <n v="13"/>
    <s v="Small Business"/>
    <s v="Orchestrate E-Business Niches"/>
    <x v="2"/>
    <s v="Johnson LLC"/>
    <n v="198.99"/>
    <n v="5.833903208041588E-3"/>
  </r>
  <r>
    <s v="ORD2005"/>
    <d v="2024-07-13T00:00:00"/>
    <x v="0"/>
    <s v="PROD133"/>
    <n v="288.11"/>
    <n v="915.71"/>
    <n v="12"/>
    <s v="Consumer"/>
    <s v="Re-Intermediate Seamless Applications"/>
    <x v="0"/>
    <s v="Welch-Reed"/>
    <n v="45.82"/>
    <n v="3.1783346638436707"/>
  </r>
  <r>
    <s v="ORD2006"/>
    <d v="2023-07-23T00:00:00"/>
    <x v="0"/>
    <s v="PROD179"/>
    <n v="4781.9399999999996"/>
    <n v="622.63"/>
    <n v="8"/>
    <s v="Corporate"/>
    <s v="Target Viral Methodologies"/>
    <x v="1"/>
    <s v="Alvarez, Myers and Walter"/>
    <n v="149.26"/>
    <n v="0.13020447768060664"/>
  </r>
  <r>
    <s v="ORD2007"/>
    <d v="2021-09-30T00:00:00"/>
    <x v="2"/>
    <s v="PROD183"/>
    <n v="3101.86"/>
    <n v="958.81"/>
    <n v="8"/>
    <s v="Corporate"/>
    <s v="Incentivize Front-End Mindshare"/>
    <x v="1"/>
    <s v="Phillips-Tran"/>
    <n v="196.86"/>
    <n v="0.30910808353697455"/>
  </r>
  <r>
    <s v="ORD2008"/>
    <d v="2024-06-24T00:00:00"/>
    <x v="0"/>
    <s v="PROD197"/>
    <n v="3099.97"/>
    <n v="791.55"/>
    <n v="11"/>
    <s v="Small Business"/>
    <s v="Leverage Rich Portals"/>
    <x v="0"/>
    <s v="Wilson PLC"/>
    <n v="46.35"/>
    <n v="0.25534118072110373"/>
  </r>
  <r>
    <s v="ORD2009"/>
    <d v="2024-08-13T00:00:00"/>
    <x v="0"/>
    <s v="PROD149"/>
    <n v="169.95"/>
    <n v="718.1"/>
    <n v="4"/>
    <s v="Small Business"/>
    <s v="Envisioneer B2C Web-Readiness"/>
    <x v="1"/>
    <s v="Kemp Group"/>
    <n v="97.23"/>
    <n v="4.2253604001176823"/>
  </r>
  <r>
    <s v="ORD2010"/>
    <d v="2020-09-20T00:00:00"/>
    <x v="2"/>
    <s v="PROD141"/>
    <n v="2569.11"/>
    <n v="89.15"/>
    <n v="4"/>
    <s v="Corporate"/>
    <s v="Re-Contextualize Integrated Info-Mediaries"/>
    <x v="1"/>
    <s v="Jones-Schroeder"/>
    <n v="26.02"/>
    <n v="3.4700732938644126E-2"/>
  </r>
  <r>
    <s v="ORD2011"/>
    <d v="2022-12-21T00:00:00"/>
    <x v="3"/>
    <s v="PROD170"/>
    <n v="1165.6600000000001"/>
    <n v="735.14"/>
    <n v="2"/>
    <s v="Small Business"/>
    <s v="Deliver Sticky Networks"/>
    <x v="2"/>
    <s v="Massey LLC"/>
    <n v="272.33"/>
    <n v="0.6306641730864917"/>
  </r>
  <r>
    <s v="ORD2012"/>
    <d v="2022-09-13T00:00:00"/>
    <x v="0"/>
    <s v="PROD150"/>
    <n v="424.59"/>
    <n v="114.97"/>
    <n v="7"/>
    <s v="Small Business"/>
    <s v="Evolve Intuitive Bandwidth"/>
    <x v="0"/>
    <s v="Rogers Group"/>
    <n v="131.63"/>
    <n v="0.27077886902659037"/>
  </r>
  <r>
    <s v="ORD2013"/>
    <d v="2024-04-19T00:00:00"/>
    <x v="0"/>
    <s v="PROD134"/>
    <n v="3626.6"/>
    <n v="359.7"/>
    <n v="16"/>
    <s v="Corporate"/>
    <s v="Utilize Ubiquitous Synergies"/>
    <x v="1"/>
    <s v="Kramer, Huang and Shaw"/>
    <n v="295.89999999999998"/>
    <n v="9.9183808525892023E-2"/>
  </r>
  <r>
    <s v="ORD2014"/>
    <d v="2021-12-09T00:00:00"/>
    <x v="3"/>
    <s v="PROD152"/>
    <n v="3704"/>
    <n v="916.19"/>
    <n v="12"/>
    <s v="Corporate"/>
    <s v="Reinvent Frictionless Roi"/>
    <x v="2"/>
    <s v="Bridges, Castillo and Rodriguez"/>
    <n v="253.89"/>
    <n v="0.24735151187904969"/>
  </r>
  <r>
    <s v="ORD2015"/>
    <d v="2020-03-14T00:00:00"/>
    <x v="2"/>
    <s v="PROD118"/>
    <n v="4125.41"/>
    <n v="677.21"/>
    <n v="14"/>
    <s v="Corporate"/>
    <s v="Engineer Real-Time Architectures"/>
    <x v="2"/>
    <s v="James and Sons"/>
    <n v="127.23"/>
    <n v="0.16415580511997596"/>
  </r>
  <r>
    <s v="ORD2016"/>
    <d v="2022-05-23T00:00:00"/>
    <x v="2"/>
    <s v="PROD109"/>
    <n v="3949.47"/>
    <n v="184.96"/>
    <n v="15"/>
    <s v="Corporate"/>
    <s v="Orchestrate E-Business Niches"/>
    <x v="2"/>
    <s v="Johnson LLC"/>
    <n v="198.99"/>
    <n v="4.6831600189392503E-2"/>
  </r>
  <r>
    <s v="ORD2017"/>
    <d v="2022-11-24T00:00:00"/>
    <x v="2"/>
    <s v="PROD120"/>
    <n v="1199.1600000000001"/>
    <n v="604.57000000000005"/>
    <n v="12"/>
    <s v="Corporate"/>
    <s v="Mesh B2B Platforms"/>
    <x v="2"/>
    <s v="Stevens, Walton and Riddle"/>
    <n v="236.57"/>
    <n v="0.50416124620567726"/>
  </r>
  <r>
    <s v="ORD2018"/>
    <d v="2024-08-13T00:00:00"/>
    <x v="1"/>
    <s v="PROD197"/>
    <n v="1765.99"/>
    <n v="493.75"/>
    <n v="5"/>
    <s v="Corporate"/>
    <s v="Leverage Rich Portals"/>
    <x v="0"/>
    <s v="Wilson PLC"/>
    <n v="46.35"/>
    <n v="0.27958821963884278"/>
  </r>
  <r>
    <s v="ORD2019"/>
    <d v="2022-04-10T00:00:00"/>
    <x v="2"/>
    <s v="PROD114"/>
    <n v="3905.95"/>
    <n v="771.15"/>
    <n v="6"/>
    <s v="Consumer"/>
    <s v="Orchestrate User-Centric Platforms"/>
    <x v="2"/>
    <s v="Wells Ltd"/>
    <n v="201.87"/>
    <n v="0.19742956259040695"/>
  </r>
  <r>
    <s v="ORD2020"/>
    <d v="2024-09-25T00:00:00"/>
    <x v="3"/>
    <s v="PROD154"/>
    <n v="3413.6"/>
    <n v="964.91"/>
    <n v="13"/>
    <s v="Consumer"/>
    <s v="Utilize Virtual Partnerships"/>
    <x v="2"/>
    <s v="Smith, Diaz and Heath"/>
    <n v="193.02"/>
    <n v="0.28266639325052728"/>
  </r>
  <r>
    <s v="ORD2021"/>
    <d v="2024-11-09T00:00:00"/>
    <x v="2"/>
    <s v="PROD163"/>
    <n v="4930.71"/>
    <n v="408.55"/>
    <n v="4"/>
    <s v="Corporate"/>
    <s v="Grow Back-End Supply-Chains"/>
    <x v="1"/>
    <s v="Green LLC"/>
    <n v="140.08000000000001"/>
    <n v="8.2858249623279409E-2"/>
  </r>
  <r>
    <s v="ORD2022"/>
    <d v="2020-11-02T00:00:00"/>
    <x v="0"/>
    <s v="PROD142"/>
    <n v="3120.29"/>
    <n v="74.849999999999994"/>
    <n v="16"/>
    <s v="Corporate"/>
    <s v="Target Bricks-And-Clicks Channels"/>
    <x v="1"/>
    <s v="Dunn, Christensen and Meyer"/>
    <n v="126.86"/>
    <n v="2.3988154947136322E-2"/>
  </r>
  <r>
    <s v="ORD2023"/>
    <d v="2021-08-10T00:00:00"/>
    <x v="3"/>
    <s v="PROD159"/>
    <n v="847.74"/>
    <n v="385.76"/>
    <n v="20"/>
    <s v="Consumer"/>
    <s v="Mesh Intuitive Supply-Chains"/>
    <x v="1"/>
    <s v="Soto, Barnett and Heath"/>
    <n v="281"/>
    <n v="0.45504517894637503"/>
  </r>
  <r>
    <s v="ORD2024"/>
    <d v="2022-01-22T00:00:00"/>
    <x v="0"/>
    <s v="PROD151"/>
    <n v="2324.75"/>
    <n v="518.75"/>
    <n v="6"/>
    <s v="Small Business"/>
    <s v="Re-Contextualize Viral Markets"/>
    <x v="1"/>
    <s v="Meadows-Barber"/>
    <n v="177.52"/>
    <n v="0.22314227336272718"/>
  </r>
  <r>
    <s v="ORD2025"/>
    <d v="2023-08-01T00:00:00"/>
    <x v="1"/>
    <s v="PROD121"/>
    <n v="4935.58"/>
    <n v="679.43"/>
    <n v="14"/>
    <s v="Small Business"/>
    <s v="Whiteboard B2B Content"/>
    <x v="0"/>
    <s v="Romero PLC"/>
    <n v="93.81"/>
    <n v="0.13765960636845112"/>
  </r>
  <r>
    <s v="ORD2026"/>
    <d v="2022-12-16T00:00:00"/>
    <x v="1"/>
    <s v="PROD115"/>
    <n v="2091.9699999999998"/>
    <n v="412.09"/>
    <n v="4"/>
    <s v="Small Business"/>
    <s v="Morph World-Class Synergies"/>
    <x v="1"/>
    <s v="Bryant Ltd"/>
    <n v="20.69"/>
    <n v="0.19698657246518833"/>
  </r>
  <r>
    <s v="ORD2027"/>
    <d v="2021-07-20T00:00:00"/>
    <x v="0"/>
    <s v="PROD179"/>
    <n v="2698.88"/>
    <n v="502.7"/>
    <n v="19"/>
    <s v="Consumer"/>
    <s v="Target Viral Methodologies"/>
    <x v="1"/>
    <s v="Alvarez, Myers and Walter"/>
    <n v="149.26"/>
    <n v="0.18626244960872657"/>
  </r>
  <r>
    <s v="ORD2028"/>
    <d v="2023-10-07T00:00:00"/>
    <x v="2"/>
    <s v="PROD191"/>
    <n v="1972.7"/>
    <n v="498.29"/>
    <n v="15"/>
    <s v="Consumer"/>
    <s v="Synergize Frictionless Synergies"/>
    <x v="2"/>
    <s v="Hester and Sons"/>
    <n v="289.06"/>
    <n v="0.25259289298930399"/>
  </r>
  <r>
    <s v="ORD2029"/>
    <d v="2021-10-06T00:00:00"/>
    <x v="2"/>
    <s v="PROD189"/>
    <n v="3882.27"/>
    <n v="637.54"/>
    <n v="16"/>
    <s v="Consumer"/>
    <s v="E-Enable Next-Generation Experiences"/>
    <x v="2"/>
    <s v="Sanchez-Quinn"/>
    <n v="266.93"/>
    <n v="0.16421835678610708"/>
  </r>
  <r>
    <s v="ORD2030"/>
    <d v="2024-06-29T00:00:00"/>
    <x v="2"/>
    <s v="PROD134"/>
    <n v="4703.51"/>
    <n v="450.33"/>
    <n v="12"/>
    <s v="Corporate"/>
    <s v="Utilize Ubiquitous Synergies"/>
    <x v="1"/>
    <s v="Kramer, Huang and Shaw"/>
    <n v="295.89999999999998"/>
    <n v="9.5743391637309147E-2"/>
  </r>
  <r>
    <s v="ORD2031"/>
    <d v="2023-10-10T00:00:00"/>
    <x v="1"/>
    <s v="PROD115"/>
    <n v="1066.3900000000001"/>
    <n v="468.46"/>
    <n v="18"/>
    <s v="Corporate"/>
    <s v="Morph World-Class Synergies"/>
    <x v="1"/>
    <s v="Bryant Ltd"/>
    <n v="20.69"/>
    <n v="0.43929519219047436"/>
  </r>
  <r>
    <s v="ORD2032"/>
    <d v="2024-09-07T00:00:00"/>
    <x v="0"/>
    <s v="PROD102"/>
    <n v="2637.67"/>
    <n v="451.71"/>
    <n v="6"/>
    <s v="Corporate"/>
    <s v="Optimize Transparent E-Markets"/>
    <x v="0"/>
    <s v="Lee, Tyler and Blevins"/>
    <n v="111.22"/>
    <n v="0.17125341684137893"/>
  </r>
  <r>
    <s v="ORD2033"/>
    <d v="2020-10-15T00:00:00"/>
    <x v="2"/>
    <s v="PROD116"/>
    <n v="78.39"/>
    <n v="697.78"/>
    <n v="6"/>
    <s v="Small Business"/>
    <s v="Synergize Cross-Platform Vortals"/>
    <x v="2"/>
    <s v="Edwards Group"/>
    <n v="87.18"/>
    <n v="8.9013904834800357"/>
  </r>
  <r>
    <s v="ORD2034"/>
    <d v="2021-03-25T00:00:00"/>
    <x v="1"/>
    <s v="PROD140"/>
    <n v="492.38"/>
    <n v="396.37"/>
    <n v="6"/>
    <s v="Corporate"/>
    <s v="Extend Bricks-And-Clicks Architectures"/>
    <x v="2"/>
    <s v="Fuller PLC"/>
    <n v="202.99"/>
    <n v="0.80500832690198632"/>
  </r>
  <r>
    <s v="ORD2035"/>
    <d v="2021-01-26T00:00:00"/>
    <x v="0"/>
    <s v="PROD121"/>
    <n v="3083.84"/>
    <n v="918.69"/>
    <n v="19"/>
    <s v="Consumer"/>
    <s v="Whiteboard B2B Content"/>
    <x v="0"/>
    <s v="Romero PLC"/>
    <n v="93.81"/>
    <n v="0.29790456054788833"/>
  </r>
  <r>
    <s v="ORD2036"/>
    <d v="2024-01-08T00:00:00"/>
    <x v="0"/>
    <s v="PROD117"/>
    <n v="1418.03"/>
    <n v="908.23"/>
    <n v="14"/>
    <s v="Corporate"/>
    <s v="Revolutionize Efficient Niches"/>
    <x v="1"/>
    <s v="Lopez-Torres"/>
    <n v="23.02"/>
    <n v="0.64048715471463935"/>
  </r>
  <r>
    <s v="ORD2037"/>
    <d v="2024-09-04T00:00:00"/>
    <x v="2"/>
    <s v="PROD135"/>
    <n v="1330.05"/>
    <n v="939.5"/>
    <n v="15"/>
    <s v="Small Business"/>
    <s v="Optimize 24/365 E-Services"/>
    <x v="0"/>
    <s v="Chase Ltd"/>
    <n v="100.35"/>
    <n v="0.70636442239013575"/>
  </r>
  <r>
    <s v="ORD2038"/>
    <d v="2024-01-04T00:00:00"/>
    <x v="3"/>
    <s v="PROD144"/>
    <n v="4818.84"/>
    <n v="760.23"/>
    <n v="14"/>
    <s v="Consumer"/>
    <s v="Expedite Synergistic Web-Readiness"/>
    <x v="1"/>
    <s v="Dunlap, Carpenter and Monroe"/>
    <n v="289.66000000000003"/>
    <n v="0.15776203401648528"/>
  </r>
  <r>
    <s v="ORD2039"/>
    <d v="2022-08-17T00:00:00"/>
    <x v="1"/>
    <s v="PROD150"/>
    <n v="3377.11"/>
    <n v="796.73"/>
    <n v="12"/>
    <s v="Consumer"/>
    <s v="Evolve Intuitive Bandwidth"/>
    <x v="0"/>
    <s v="Rogers Group"/>
    <n v="131.63"/>
    <n v="0.23592065405035667"/>
  </r>
  <r>
    <s v="ORD2040"/>
    <d v="2021-08-10T00:00:00"/>
    <x v="1"/>
    <s v="PROD155"/>
    <n v="736.71"/>
    <n v="480.11"/>
    <n v="1"/>
    <s v="Consumer"/>
    <s v="Incentivize User-Centric Mindshare"/>
    <x v="1"/>
    <s v="Becker, Wright and Wong"/>
    <n v="38.51"/>
    <n v="0.65169469669204982"/>
  </r>
  <r>
    <s v="ORD2041"/>
    <d v="2020-12-14T00:00:00"/>
    <x v="0"/>
    <s v="PROD143"/>
    <n v="3690.52"/>
    <n v="295.85000000000002"/>
    <n v="9"/>
    <s v="Small Business"/>
    <s v="E-Enable Synergistic Vortals"/>
    <x v="1"/>
    <s v="Guzman Group"/>
    <n v="278.43"/>
    <n v="8.0164854817207337E-2"/>
  </r>
  <r>
    <s v="ORD2042"/>
    <d v="2023-10-18T00:00:00"/>
    <x v="0"/>
    <s v="PROD144"/>
    <n v="2846.69"/>
    <n v="413.53"/>
    <n v="4"/>
    <s v="Consumer"/>
    <s v="Expedite Synergistic Web-Readiness"/>
    <x v="1"/>
    <s v="Dunlap, Carpenter and Monroe"/>
    <n v="289.66000000000003"/>
    <n v="0.14526695917012389"/>
  </r>
  <r>
    <s v="ORD2043"/>
    <d v="2021-09-22T00:00:00"/>
    <x v="0"/>
    <s v="PROD191"/>
    <n v="1656.3"/>
    <n v="130.74"/>
    <n v="13"/>
    <s v="Corporate"/>
    <s v="Synergize Frictionless Synergies"/>
    <x v="2"/>
    <s v="Hester and Sons"/>
    <n v="289.06"/>
    <n v="7.8934975547908001E-2"/>
  </r>
  <r>
    <s v="ORD2044"/>
    <d v="2023-07-15T00:00:00"/>
    <x v="2"/>
    <s v="PROD156"/>
    <n v="1919.15"/>
    <n v="589.96"/>
    <n v="12"/>
    <s v="Corporate"/>
    <s v="Empower Killer Info-Mediaries"/>
    <x v="2"/>
    <s v="Jones Ltd"/>
    <n v="213.24"/>
    <n v="0.30740692494072897"/>
  </r>
  <r>
    <s v="ORD2045"/>
    <d v="2024-01-24T00:00:00"/>
    <x v="1"/>
    <s v="PROD150"/>
    <n v="2821.64"/>
    <n v="457.16"/>
    <n v="16"/>
    <s v="Consumer"/>
    <s v="Evolve Intuitive Bandwidth"/>
    <x v="0"/>
    <s v="Rogers Group"/>
    <n v="131.63"/>
    <n v="0.16201925121560512"/>
  </r>
  <r>
    <s v="ORD2046"/>
    <d v="2022-08-25T00:00:00"/>
    <x v="1"/>
    <s v="PROD191"/>
    <n v="472.96"/>
    <n v="930.77"/>
    <n v="9"/>
    <s v="Small Business"/>
    <s v="Synergize Frictionless Synergies"/>
    <x v="2"/>
    <s v="Hester and Sons"/>
    <n v="289.06"/>
    <n v="1.9679676928281462"/>
  </r>
  <r>
    <s v="ORD2047"/>
    <d v="2020-01-10T00:00:00"/>
    <x v="2"/>
    <s v="PROD163"/>
    <n v="4603.0200000000004"/>
    <n v="19.5"/>
    <n v="19"/>
    <s v="Consumer"/>
    <s v="Grow Back-End Supply-Chains"/>
    <x v="1"/>
    <s v="Green LLC"/>
    <n v="140.08000000000001"/>
    <n v="4.2363491794517507E-3"/>
  </r>
  <r>
    <s v="ORD2048"/>
    <d v="2020-01-15T00:00:00"/>
    <x v="3"/>
    <s v="PROD120"/>
    <n v="3544.31"/>
    <n v="986.58"/>
    <n v="14"/>
    <s v="Corporate"/>
    <s v="Mesh B2B Platforms"/>
    <x v="2"/>
    <s v="Stevens, Walton and Riddle"/>
    <n v="236.57"/>
    <n v="0.27835601287697748"/>
  </r>
  <r>
    <s v="ORD2049"/>
    <d v="2022-04-18T00:00:00"/>
    <x v="0"/>
    <s v="PROD172"/>
    <n v="1206.08"/>
    <n v="589.77"/>
    <n v="6"/>
    <s v="Corporate"/>
    <s v="E-Enable Virtual Methodologies"/>
    <x v="0"/>
    <s v="Floyd-Love"/>
    <n v="283.64999999999998"/>
    <n v="0.48899741310692491"/>
  </r>
  <r>
    <s v="ORD2050"/>
    <d v="2020-05-30T00:00:00"/>
    <x v="2"/>
    <s v="PROD114"/>
    <n v="2407.64"/>
    <n v="793.39"/>
    <n v="18"/>
    <s v="Consumer"/>
    <s v="Orchestrate User-Centric Platforms"/>
    <x v="2"/>
    <s v="Wells Ltd"/>
    <n v="201.87"/>
    <n v="0.32953016231662541"/>
  </r>
  <r>
    <s v="ORD2051"/>
    <d v="2020-10-02T00:00:00"/>
    <x v="1"/>
    <s v="PROD137"/>
    <n v="3828.59"/>
    <n v="42.56"/>
    <n v="13"/>
    <s v="Consumer"/>
    <s v="Optimize Collaborative Initiatives"/>
    <x v="1"/>
    <s v="Adkins Ltd"/>
    <n v="34.46"/>
    <n v="1.1116363987786627E-2"/>
  </r>
  <r>
    <s v="ORD2052"/>
    <d v="2020-07-29T00:00:00"/>
    <x v="0"/>
    <s v="PROD150"/>
    <n v="1436.98"/>
    <n v="898.33"/>
    <n v="19"/>
    <s v="Corporate"/>
    <s v="Evolve Intuitive Bandwidth"/>
    <x v="0"/>
    <s v="Rogers Group"/>
    <n v="131.63"/>
    <n v="0.62515135910033548"/>
  </r>
  <r>
    <s v="ORD2053"/>
    <d v="2021-06-18T00:00:00"/>
    <x v="2"/>
    <s v="PROD141"/>
    <n v="769.44"/>
    <n v="150.04"/>
    <n v="16"/>
    <s v="Corporate"/>
    <s v="Re-Contextualize Integrated Info-Mediaries"/>
    <x v="1"/>
    <s v="Jones-Schroeder"/>
    <n v="26.02"/>
    <n v="0.19499896028280306"/>
  </r>
  <r>
    <s v="ORD2054"/>
    <d v="2023-11-02T00:00:00"/>
    <x v="1"/>
    <s v="PROD126"/>
    <n v="3720.49"/>
    <n v="685.11"/>
    <n v="4"/>
    <s v="Corporate"/>
    <s v="Streamline Innovative Architectures"/>
    <x v="2"/>
    <s v="Price, Valentine and Lutz"/>
    <n v="291.14999999999998"/>
    <n v="0.18414509916704522"/>
  </r>
  <r>
    <s v="ORD2055"/>
    <d v="2020-04-15T00:00:00"/>
    <x v="3"/>
    <s v="PROD180"/>
    <n v="3790.57"/>
    <n v="929.24"/>
    <n v="3"/>
    <s v="Corporate"/>
    <s v="Iterate Extensible Roi"/>
    <x v="0"/>
    <s v="Hill-Kelly"/>
    <n v="180"/>
    <n v="0.24514518924594453"/>
  </r>
  <r>
    <s v="ORD2056"/>
    <d v="2022-11-24T00:00:00"/>
    <x v="0"/>
    <s v="PROD193"/>
    <n v="849"/>
    <n v="633.39"/>
    <n v="17"/>
    <s v="Corporate"/>
    <s v="Innovate Sticky Web Services"/>
    <x v="1"/>
    <s v="Friedman, Sanders and Adams"/>
    <n v="125.85"/>
    <n v="0.74604240282685508"/>
  </r>
  <r>
    <s v="ORD2057"/>
    <d v="2023-12-03T00:00:00"/>
    <x v="3"/>
    <s v="PROD184"/>
    <n v="3088.48"/>
    <n v="890.83"/>
    <n v="16"/>
    <s v="Corporate"/>
    <s v="Embrace 24/365 Functionalities"/>
    <x v="0"/>
    <s v="Smith LLC"/>
    <n v="204.04"/>
    <n v="0.2884363829456561"/>
  </r>
  <r>
    <s v="ORD2058"/>
    <d v="2022-07-26T00:00:00"/>
    <x v="2"/>
    <s v="PROD109"/>
    <n v="2072.5500000000002"/>
    <n v="786.38"/>
    <n v="5"/>
    <s v="Small Business"/>
    <s v="Orchestrate E-Business Niches"/>
    <x v="2"/>
    <s v="Johnson LLC"/>
    <n v="198.99"/>
    <n v="0.37942631058358056"/>
  </r>
  <r>
    <s v="ORD2059"/>
    <d v="2024-03-17T00:00:00"/>
    <x v="1"/>
    <s v="PROD111"/>
    <n v="1130.58"/>
    <n v="878.01"/>
    <n v="13"/>
    <s v="Consumer"/>
    <s v="Harness Revolutionary Interfaces"/>
    <x v="2"/>
    <s v="Davis, Short and Nguyen"/>
    <n v="26.49"/>
    <n v="0.77660139043676701"/>
  </r>
  <r>
    <s v="ORD2060"/>
    <d v="2020-10-13T00:00:00"/>
    <x v="0"/>
    <s v="PROD189"/>
    <n v="397.89"/>
    <n v="57.43"/>
    <n v="5"/>
    <s v="Small Business"/>
    <s v="E-Enable Next-Generation Experiences"/>
    <x v="2"/>
    <s v="Sanchez-Quinn"/>
    <n v="266.93"/>
    <n v="0.14433637437482721"/>
  </r>
  <r>
    <s v="ORD2061"/>
    <d v="2023-08-25T00:00:00"/>
    <x v="0"/>
    <s v="PROD158"/>
    <n v="1843.94"/>
    <n v="445.82"/>
    <n v="2"/>
    <s v="Small Business"/>
    <s v="Brand Web-Enabled Solutions"/>
    <x v="1"/>
    <s v="Russell Group"/>
    <n v="51.67"/>
    <n v="0.24177576276885365"/>
  </r>
  <r>
    <s v="ORD2062"/>
    <d v="2020-11-01T00:00:00"/>
    <x v="2"/>
    <s v="PROD168"/>
    <n v="2067.9899999999998"/>
    <n v="529.12"/>
    <n v="9"/>
    <s v="Corporate"/>
    <s v="Facilitate End-To-End Experiences"/>
    <x v="0"/>
    <s v="Pierce-Goodwin"/>
    <n v="260.52999999999997"/>
    <n v="0.25586197225325075"/>
  </r>
  <r>
    <s v="ORD2063"/>
    <d v="2020-07-06T00:00:00"/>
    <x v="0"/>
    <s v="PROD180"/>
    <n v="4411.4799999999996"/>
    <n v="638.79"/>
    <n v="9"/>
    <s v="Consumer"/>
    <s v="Iterate Extensible Roi"/>
    <x v="0"/>
    <s v="Hill-Kelly"/>
    <n v="180"/>
    <n v="0.1448017445392476"/>
  </r>
  <r>
    <s v="ORD2064"/>
    <d v="2022-07-28T00:00:00"/>
    <x v="2"/>
    <s v="PROD118"/>
    <n v="1690.93"/>
    <n v="206.99"/>
    <n v="12"/>
    <s v="Small Business"/>
    <s v="Engineer Real-Time Architectures"/>
    <x v="2"/>
    <s v="James and Sons"/>
    <n v="127.23"/>
    <n v="0.12241192716434152"/>
  </r>
  <r>
    <s v="ORD2065"/>
    <d v="2021-09-02T00:00:00"/>
    <x v="0"/>
    <s v="PROD109"/>
    <n v="880.23"/>
    <n v="330.09"/>
    <n v="12"/>
    <s v="Consumer"/>
    <s v="Orchestrate E-Business Niches"/>
    <x v="2"/>
    <s v="Johnson LLC"/>
    <n v="198.99"/>
    <n v="0.37500426025016187"/>
  </r>
  <r>
    <s v="ORD2066"/>
    <d v="2020-05-22T00:00:00"/>
    <x v="3"/>
    <s v="PROD138"/>
    <n v="4510.0200000000004"/>
    <n v="456.79"/>
    <n v="17"/>
    <s v="Consumer"/>
    <s v="Deliver Viral Eyeballs"/>
    <x v="0"/>
    <s v="Estes, Chan and Thomas"/>
    <n v="16.89"/>
    <n v="0.10128336459705278"/>
  </r>
  <r>
    <s v="ORD2067"/>
    <d v="2022-04-17T00:00:00"/>
    <x v="0"/>
    <s v="PROD137"/>
    <n v="3359.13"/>
    <n v="204.46"/>
    <n v="3"/>
    <s v="Small Business"/>
    <s v="Optimize Collaborative Initiatives"/>
    <x v="1"/>
    <s v="Adkins Ltd"/>
    <n v="34.46"/>
    <n v="6.0866950668774358E-2"/>
  </r>
  <r>
    <s v="ORD2068"/>
    <d v="2020-05-12T00:00:00"/>
    <x v="0"/>
    <s v="PROD169"/>
    <n v="1551"/>
    <n v="925.33"/>
    <n v="13"/>
    <s v="Small Business"/>
    <s v="Unleash End-To-End Web Services"/>
    <x v="0"/>
    <s v="Jones Ltd"/>
    <n v="188.02"/>
    <n v="0.59660219213410703"/>
  </r>
  <r>
    <s v="ORD2069"/>
    <d v="2020-06-22T00:00:00"/>
    <x v="0"/>
    <s v="PROD143"/>
    <n v="826.83"/>
    <n v="293.72000000000003"/>
    <n v="6"/>
    <s v="Corporate"/>
    <s v="E-Enable Synergistic Vortals"/>
    <x v="1"/>
    <s v="Guzman Group"/>
    <n v="278.43"/>
    <n v="0.35523626380271639"/>
  </r>
  <r>
    <s v="ORD2070"/>
    <d v="2021-03-25T00:00:00"/>
    <x v="3"/>
    <s v="PROD177"/>
    <n v="586.23"/>
    <n v="149.03"/>
    <n v="19"/>
    <s v="Small Business"/>
    <s v="Deploy Granular Channels"/>
    <x v="2"/>
    <s v="Barnes Ltd"/>
    <n v="288.99"/>
    <n v="0.2542176278934889"/>
  </r>
  <r>
    <s v="ORD2071"/>
    <d v="2024-01-03T00:00:00"/>
    <x v="0"/>
    <s v="PROD196"/>
    <n v="1478.66"/>
    <n v="549.12"/>
    <n v="10"/>
    <s v="Corporate"/>
    <s v="Strategize E-Business Content"/>
    <x v="1"/>
    <s v="Patterson LLC"/>
    <n v="294.02"/>
    <n v="0.37136326133120529"/>
  </r>
  <r>
    <s v="ORD2072"/>
    <d v="2024-08-02T00:00:00"/>
    <x v="1"/>
    <s v="PROD125"/>
    <n v="202.2"/>
    <n v="797.24"/>
    <n v="20"/>
    <s v="Consumer"/>
    <s v="Leverage Cutting-Edge Vortals"/>
    <x v="1"/>
    <s v="Robinson, Garrett and Chavez"/>
    <n v="117.3"/>
    <n v="3.9428288822947581"/>
  </r>
  <r>
    <s v="ORD2073"/>
    <d v="2023-08-25T00:00:00"/>
    <x v="0"/>
    <s v="PROD153"/>
    <n v="2500.41"/>
    <n v="83.43"/>
    <n v="16"/>
    <s v="Corporate"/>
    <s v="Seize Plug-And-Play Web-Readiness"/>
    <x v="1"/>
    <s v="Joseph, Mayer and Carr"/>
    <n v="102.73"/>
    <n v="3.3366527889426137E-2"/>
  </r>
  <r>
    <s v="ORD2074"/>
    <d v="2023-01-02T00:00:00"/>
    <x v="1"/>
    <s v="PROD160"/>
    <n v="4390.75"/>
    <n v="836.72"/>
    <n v="4"/>
    <s v="Small Business"/>
    <s v="Deliver Extensible Partnerships"/>
    <x v="2"/>
    <s v="Martin, Paul and Salazar"/>
    <n v="43.76"/>
    <n v="0.19056425439845129"/>
  </r>
  <r>
    <s v="ORD2075"/>
    <d v="2024-08-24T00:00:00"/>
    <x v="0"/>
    <s v="PROD130"/>
    <n v="879.62"/>
    <n v="864.19"/>
    <n v="14"/>
    <s v="Consumer"/>
    <s v="Synthesize Wireless Initiatives"/>
    <x v="1"/>
    <s v="Mosley Ltd"/>
    <n v="162.69999999999999"/>
    <n v="0.98245833428071216"/>
  </r>
  <r>
    <s v="ORD2076"/>
    <d v="2024-08-09T00:00:00"/>
    <x v="1"/>
    <s v="PROD163"/>
    <n v="390.57"/>
    <n v="435.64"/>
    <n v="15"/>
    <s v="Consumer"/>
    <s v="Grow Back-End Supply-Chains"/>
    <x v="1"/>
    <s v="Green LLC"/>
    <n v="140.08000000000001"/>
    <n v="1.1153954476790331"/>
  </r>
  <r>
    <s v="ORD2077"/>
    <d v="2020-07-03T00:00:00"/>
    <x v="1"/>
    <s v="PROD188"/>
    <n v="4847.67"/>
    <n v="668.17"/>
    <n v="20"/>
    <s v="Small Business"/>
    <s v="Transition Mission-Critical Interfaces"/>
    <x v="0"/>
    <s v="Weaver Ltd"/>
    <n v="34.64"/>
    <n v="0.13783322709672893"/>
  </r>
  <r>
    <s v="ORD2078"/>
    <d v="2024-10-02T00:00:00"/>
    <x v="3"/>
    <s v="PROD138"/>
    <n v="4718.6899999999996"/>
    <n v="344.42"/>
    <n v="13"/>
    <s v="Small Business"/>
    <s v="Deliver Viral Eyeballs"/>
    <x v="0"/>
    <s v="Estes, Chan and Thomas"/>
    <n v="16.89"/>
    <n v="7.2990596966530971E-2"/>
  </r>
  <r>
    <s v="ORD2079"/>
    <d v="2020-03-15T00:00:00"/>
    <x v="3"/>
    <s v="PROD197"/>
    <n v="1385.86"/>
    <n v="432.93"/>
    <n v="5"/>
    <s v="Consumer"/>
    <s v="Leverage Rich Portals"/>
    <x v="0"/>
    <s v="Wilson PLC"/>
    <n v="46.35"/>
    <n v="0.3123908619918318"/>
  </r>
  <r>
    <s v="ORD2080"/>
    <d v="2020-08-23T00:00:00"/>
    <x v="3"/>
    <s v="PROD140"/>
    <n v="540.04999999999995"/>
    <n v="375.6"/>
    <n v="20"/>
    <s v="Small Business"/>
    <s v="Extend Bricks-And-Clicks Architectures"/>
    <x v="2"/>
    <s v="Fuller PLC"/>
    <n v="202.99"/>
    <n v="0.69549115822609031"/>
  </r>
  <r>
    <s v="ORD2081"/>
    <d v="2020-05-26T00:00:00"/>
    <x v="2"/>
    <s v="PROD128"/>
    <n v="4050.32"/>
    <n v="646.91"/>
    <n v="10"/>
    <s v="Corporate"/>
    <s v="Brand Distributed Info-Mediaries"/>
    <x v="2"/>
    <s v="Garcia Ltd"/>
    <n v="114.48"/>
    <n v="0.1597182444843864"/>
  </r>
  <r>
    <s v="ORD2082"/>
    <d v="2020-01-09T00:00:00"/>
    <x v="0"/>
    <s v="PROD118"/>
    <n v="808.98"/>
    <n v="353.44"/>
    <n v="16"/>
    <s v="Corporate"/>
    <s v="Engineer Real-Time Architectures"/>
    <x v="2"/>
    <s v="James and Sons"/>
    <n v="127.23"/>
    <n v="0.43689584414942273"/>
  </r>
  <r>
    <s v="ORD2083"/>
    <d v="2021-04-06T00:00:00"/>
    <x v="3"/>
    <s v="PROD182"/>
    <n v="406.94"/>
    <n v="547.91"/>
    <n v="20"/>
    <s v="Corporate"/>
    <s v="Strategize Best-Of-Breed Web-Readiness"/>
    <x v="0"/>
    <s v="Morris, King and Ayers"/>
    <n v="220.16"/>
    <n v="1.3464147048704969"/>
  </r>
  <r>
    <s v="ORD2084"/>
    <d v="2022-05-28T00:00:00"/>
    <x v="1"/>
    <s v="PROD104"/>
    <n v="2062.75"/>
    <n v="946"/>
    <n v="18"/>
    <s v="Consumer"/>
    <s v="Implement Clicks-And-Mortar Partnerships"/>
    <x v="1"/>
    <s v="Smith Inc"/>
    <n v="195.53"/>
    <n v="0.45861107744515817"/>
  </r>
  <r>
    <s v="ORD2085"/>
    <d v="2023-06-22T00:00:00"/>
    <x v="3"/>
    <s v="PROD161"/>
    <n v="3367.68"/>
    <n v="838.69"/>
    <n v="6"/>
    <s v="Consumer"/>
    <s v="Synergize E-Business Deliverables"/>
    <x v="1"/>
    <s v="Crawford, Warren and Williams"/>
    <n v="125.93"/>
    <n v="0.24904088274420375"/>
  </r>
  <r>
    <s v="ORD2086"/>
    <d v="2021-10-24T00:00:00"/>
    <x v="2"/>
    <s v="PROD133"/>
    <n v="751.31"/>
    <n v="71.34"/>
    <n v="8"/>
    <s v="Corporate"/>
    <s v="Re-Intermediate Seamless Applications"/>
    <x v="0"/>
    <s v="Welch-Reed"/>
    <n v="45.82"/>
    <n v="9.4954146756997787E-2"/>
  </r>
  <r>
    <s v="ORD2087"/>
    <d v="2021-09-18T00:00:00"/>
    <x v="3"/>
    <s v="PROD116"/>
    <n v="4072.35"/>
    <n v="350.03"/>
    <n v="3"/>
    <s v="Consumer"/>
    <s v="Synergize Cross-Platform Vortals"/>
    <x v="2"/>
    <s v="Edwards Group"/>
    <n v="87.18"/>
    <n v="8.5952828219578378E-2"/>
  </r>
  <r>
    <s v="ORD2088"/>
    <d v="2024-08-27T00:00:00"/>
    <x v="0"/>
    <s v="PROD195"/>
    <n v="3278.11"/>
    <n v="440.23"/>
    <n v="13"/>
    <s v="Small Business"/>
    <s v="Reinvent Out-Of-The-Box Models"/>
    <x v="0"/>
    <s v="Wagner-Curtis"/>
    <n v="172.34"/>
    <n v="0.13429384614915302"/>
  </r>
  <r>
    <s v="ORD2089"/>
    <d v="2024-10-22T00:00:00"/>
    <x v="3"/>
    <s v="PROD142"/>
    <n v="943.4"/>
    <n v="807.02"/>
    <n v="15"/>
    <s v="Consumer"/>
    <s v="Target Bricks-And-Clicks Channels"/>
    <x v="1"/>
    <s v="Dunn, Christensen and Meyer"/>
    <n v="126.86"/>
    <n v="0.855437778248887"/>
  </r>
  <r>
    <s v="ORD2090"/>
    <d v="2024-02-05T00:00:00"/>
    <x v="2"/>
    <s v="PROD176"/>
    <n v="1101.32"/>
    <n v="158.22999999999999"/>
    <n v="15"/>
    <s v="Corporate"/>
    <s v="Facilitate Integrated E-Business"/>
    <x v="0"/>
    <s v="Chang-Vargas"/>
    <n v="130.33000000000001"/>
    <n v="0.14367304688918753"/>
  </r>
  <r>
    <s v="ORD2091"/>
    <d v="2023-12-29T00:00:00"/>
    <x v="3"/>
    <s v="PROD151"/>
    <n v="771.5"/>
    <n v="18.38"/>
    <n v="5"/>
    <s v="Corporate"/>
    <s v="Re-Contextualize Viral Markets"/>
    <x v="1"/>
    <s v="Meadows-Barber"/>
    <n v="177.52"/>
    <n v="2.3823720025923523E-2"/>
  </r>
  <r>
    <s v="ORD2092"/>
    <d v="2022-04-17T00:00:00"/>
    <x v="0"/>
    <s v="PROD159"/>
    <n v="3971.95"/>
    <n v="74.14"/>
    <n v="10"/>
    <s v="Small Business"/>
    <s v="Mesh Intuitive Supply-Chains"/>
    <x v="1"/>
    <s v="Soto, Barnett and Heath"/>
    <n v="281"/>
    <n v="1.8665894585782803E-2"/>
  </r>
  <r>
    <s v="ORD2093"/>
    <d v="2023-04-29T00:00:00"/>
    <x v="2"/>
    <s v="PROD118"/>
    <n v="1938.66"/>
    <n v="750.01"/>
    <n v="20"/>
    <s v="Small Business"/>
    <s v="Engineer Real-Time Architectures"/>
    <x v="2"/>
    <s v="James and Sons"/>
    <n v="127.23"/>
    <n v="0.3868703124838806"/>
  </r>
  <r>
    <s v="ORD2094"/>
    <d v="2023-03-05T00:00:00"/>
    <x v="3"/>
    <s v="PROD131"/>
    <n v="797.21"/>
    <n v="282.01"/>
    <n v="11"/>
    <s v="Consumer"/>
    <s v="Scale Bleeding-Edge Schemas"/>
    <x v="1"/>
    <s v="Frazier-Schneider"/>
    <n v="54.8"/>
    <n v="0.35374618983705669"/>
  </r>
  <r>
    <s v="ORD2095"/>
    <d v="2024-02-18T00:00:00"/>
    <x v="0"/>
    <s v="PROD143"/>
    <n v="691.2"/>
    <n v="220.96"/>
    <n v="7"/>
    <s v="Corporate"/>
    <s v="E-Enable Synergistic Vortals"/>
    <x v="1"/>
    <s v="Guzman Group"/>
    <n v="278.43"/>
    <n v="0.31967592592592592"/>
  </r>
  <r>
    <s v="ORD2096"/>
    <d v="2022-01-15T00:00:00"/>
    <x v="3"/>
    <s v="PROD107"/>
    <n v="3772.5"/>
    <n v="124.14"/>
    <n v="13"/>
    <s v="Corporate"/>
    <s v="Utilize Back-End Models"/>
    <x v="2"/>
    <s v="Lewis-Holden"/>
    <n v="241.53"/>
    <n v="3.2906560636182899E-2"/>
  </r>
  <r>
    <s v="ORD2097"/>
    <d v="2020-05-28T00:00:00"/>
    <x v="1"/>
    <s v="PROD187"/>
    <n v="2608.63"/>
    <n v="854.96"/>
    <n v="20"/>
    <s v="Small Business"/>
    <s v="Whiteboard Compelling Experiences"/>
    <x v="2"/>
    <s v="Carrillo, Carr and Ball"/>
    <n v="206.54"/>
    <n v="0.32774291486335738"/>
  </r>
  <r>
    <s v="ORD2098"/>
    <d v="2020-12-12T00:00:00"/>
    <x v="0"/>
    <s v="PROD100"/>
    <n v="542.1"/>
    <n v="574.08000000000004"/>
    <n v="10"/>
    <s v="Consumer"/>
    <s v="Synthesize Scalable Portals"/>
    <x v="2"/>
    <s v="Singh, Villa and Flynn"/>
    <n v="298.57"/>
    <n v="1.0589928057553957"/>
  </r>
  <r>
    <s v="ORD2099"/>
    <d v="2022-08-31T00:00:00"/>
    <x v="3"/>
    <s v="PROD111"/>
    <n v="3337.57"/>
    <n v="824.67"/>
    <n v="10"/>
    <s v="Consumer"/>
    <s v="Harness Revolutionary Interfaces"/>
    <x v="2"/>
    <s v="Davis, Short and Nguyen"/>
    <n v="26.49"/>
    <n v="0.24708695248339357"/>
  </r>
  <r>
    <s v="ORD2100"/>
    <d v="2023-01-20T00:00:00"/>
    <x v="3"/>
    <s v="PROD125"/>
    <n v="3390.46"/>
    <n v="891.31"/>
    <n v="7"/>
    <s v="Consumer"/>
    <s v="Leverage Cutting-Edge Vortals"/>
    <x v="1"/>
    <s v="Robinson, Garrett and Chavez"/>
    <n v="117.3"/>
    <n v="0.26288763176678087"/>
  </r>
  <r>
    <s v="ORD2101"/>
    <d v="2023-06-18T00:00:00"/>
    <x v="2"/>
    <s v="PROD115"/>
    <n v="416.63"/>
    <n v="213.99"/>
    <n v="11"/>
    <s v="Corporate"/>
    <s v="Morph World-Class Synergies"/>
    <x v="1"/>
    <s v="Bryant Ltd"/>
    <n v="20.69"/>
    <n v="0.51362119866548261"/>
  </r>
  <r>
    <s v="ORD2102"/>
    <d v="2022-01-05T00:00:00"/>
    <x v="0"/>
    <s v="PROD102"/>
    <n v="921.58"/>
    <n v="334.36"/>
    <n v="5"/>
    <s v="Small Business"/>
    <s v="Optimize Transparent E-Markets"/>
    <x v="0"/>
    <s v="Lee, Tyler and Blevins"/>
    <n v="111.22"/>
    <n v="0.36281169296208687"/>
  </r>
  <r>
    <s v="ORD2103"/>
    <d v="2022-11-07T00:00:00"/>
    <x v="0"/>
    <s v="PROD182"/>
    <n v="793.26"/>
    <n v="904.21"/>
    <n v="5"/>
    <s v="Small Business"/>
    <s v="Strategize Best-Of-Breed Web-Readiness"/>
    <x v="0"/>
    <s v="Morris, King and Ayers"/>
    <n v="220.16"/>
    <n v="1.1398658699543656"/>
  </r>
  <r>
    <s v="ORD2104"/>
    <d v="2023-09-29T00:00:00"/>
    <x v="3"/>
    <s v="PROD110"/>
    <n v="3069.26"/>
    <n v="361.58"/>
    <n v="5"/>
    <s v="Small Business"/>
    <s v="E-Enable Holistic Supply-Chains"/>
    <x v="2"/>
    <s v="Lin-Mcdaniel"/>
    <n v="160.33000000000001"/>
    <n v="0.1178068980796674"/>
  </r>
  <r>
    <s v="ORD2105"/>
    <d v="2022-05-28T00:00:00"/>
    <x v="2"/>
    <s v="PROD118"/>
    <n v="2063.2600000000002"/>
    <n v="200.08"/>
    <n v="3"/>
    <s v="Corporate"/>
    <s v="Engineer Real-Time Architectures"/>
    <x v="2"/>
    <s v="James and Sons"/>
    <n v="127.23"/>
    <n v="9.697275185870903E-2"/>
  </r>
  <r>
    <s v="ORD2106"/>
    <d v="2022-04-18T00:00:00"/>
    <x v="2"/>
    <s v="PROD110"/>
    <n v="4173.47"/>
    <n v="914.42"/>
    <n v="5"/>
    <s v="Small Business"/>
    <s v="E-Enable Holistic Supply-Chains"/>
    <x v="2"/>
    <s v="Lin-Mcdaniel"/>
    <n v="160.33000000000001"/>
    <n v="0.21910304854234006"/>
  </r>
  <r>
    <s v="ORD2107"/>
    <d v="2023-08-18T00:00:00"/>
    <x v="3"/>
    <s v="PROD151"/>
    <n v="2906.61"/>
    <n v="514.79"/>
    <n v="4"/>
    <s v="Small Business"/>
    <s v="Re-Contextualize Viral Markets"/>
    <x v="1"/>
    <s v="Meadows-Barber"/>
    <n v="177.52"/>
    <n v="0.17711010421074722"/>
  </r>
  <r>
    <s v="ORD2108"/>
    <d v="2022-10-30T00:00:00"/>
    <x v="3"/>
    <s v="PROD145"/>
    <n v="4935.59"/>
    <n v="443.39"/>
    <n v="12"/>
    <s v="Corporate"/>
    <s v="Innovate Strategic Systems"/>
    <x v="0"/>
    <s v="Mcfarland, Parker and Armstrong"/>
    <n v="70.239999999999995"/>
    <n v="8.9835257790861878E-2"/>
  </r>
  <r>
    <s v="ORD2109"/>
    <d v="2021-07-26T00:00:00"/>
    <x v="0"/>
    <s v="PROD194"/>
    <n v="3114.13"/>
    <n v="777.79"/>
    <n v="8"/>
    <s v="Small Business"/>
    <s v="Leverage Scalable Interfaces"/>
    <x v="0"/>
    <s v="Kaufman-Jones"/>
    <n v="73.33"/>
    <n v="0.2497615706473397"/>
  </r>
  <r>
    <s v="ORD2110"/>
    <d v="2021-09-16T00:00:00"/>
    <x v="0"/>
    <s v="PROD189"/>
    <n v="1711.28"/>
    <n v="784.31"/>
    <n v="17"/>
    <s v="Small Business"/>
    <s v="E-Enable Next-Generation Experiences"/>
    <x v="2"/>
    <s v="Sanchez-Quinn"/>
    <n v="266.93"/>
    <n v="0.45831775045579914"/>
  </r>
  <r>
    <s v="ORD2111"/>
    <d v="2020-09-10T00:00:00"/>
    <x v="3"/>
    <s v="PROD183"/>
    <n v="2911.95"/>
    <n v="130.47"/>
    <n v="3"/>
    <s v="Small Business"/>
    <s v="Incentivize Front-End Mindshare"/>
    <x v="1"/>
    <s v="Phillips-Tran"/>
    <n v="196.86"/>
    <n v="4.4805027558852316E-2"/>
  </r>
  <r>
    <s v="ORD2112"/>
    <d v="2022-09-10T00:00:00"/>
    <x v="1"/>
    <s v="PROD191"/>
    <n v="623.08000000000004"/>
    <n v="591.36"/>
    <n v="10"/>
    <s v="Small Business"/>
    <s v="Synergize Frictionless Synergies"/>
    <x v="2"/>
    <s v="Hester and Sons"/>
    <n v="289.06"/>
    <n v="0.94909160942415094"/>
  </r>
  <r>
    <s v="ORD2113"/>
    <d v="2020-10-31T00:00:00"/>
    <x v="1"/>
    <s v="PROD134"/>
    <n v="1753.68"/>
    <n v="691.52"/>
    <n v="4"/>
    <s v="Corporate"/>
    <s v="Utilize Ubiquitous Synergies"/>
    <x v="1"/>
    <s v="Kramer, Huang and Shaw"/>
    <n v="295.89999999999998"/>
    <n v="0.39432507641074765"/>
  </r>
  <r>
    <s v="ORD2114"/>
    <d v="2024-10-14T00:00:00"/>
    <x v="3"/>
    <s v="PROD143"/>
    <n v="619.1"/>
    <n v="535.32000000000005"/>
    <n v="4"/>
    <s v="Corporate"/>
    <s v="E-Enable Synergistic Vortals"/>
    <x v="1"/>
    <s v="Guzman Group"/>
    <n v="278.43"/>
    <n v="0.86467452753997742"/>
  </r>
  <r>
    <s v="ORD2115"/>
    <d v="2020-09-13T00:00:00"/>
    <x v="3"/>
    <s v="PROD199"/>
    <n v="1301.3499999999999"/>
    <n v="69.64"/>
    <n v="16"/>
    <s v="Small Business"/>
    <s v="Scale Cross-Platform Web Services"/>
    <x v="2"/>
    <s v="Morrow, Brock and Lewis"/>
    <n v="115.21"/>
    <n v="5.3513658892688366E-2"/>
  </r>
  <r>
    <s v="ORD2116"/>
    <d v="2020-03-04T00:00:00"/>
    <x v="0"/>
    <s v="PROD129"/>
    <n v="4030.99"/>
    <n v="841.79"/>
    <n v="18"/>
    <s v="Corporate"/>
    <s v="Scale Vertical Networks"/>
    <x v="2"/>
    <s v="Lam, Wood and Jacobs"/>
    <n v="133.24"/>
    <n v="0.20882959273032184"/>
  </r>
  <r>
    <s v="ORD2117"/>
    <d v="2022-05-28T00:00:00"/>
    <x v="0"/>
    <s v="PROD140"/>
    <n v="1062.22"/>
    <n v="754.79"/>
    <n v="17"/>
    <s v="Corporate"/>
    <s v="Extend Bricks-And-Clicks Architectures"/>
    <x v="2"/>
    <s v="Fuller PLC"/>
    <n v="202.99"/>
    <n v="0.71057784639716814"/>
  </r>
  <r>
    <s v="ORD2118"/>
    <d v="2021-01-06T00:00:00"/>
    <x v="3"/>
    <s v="PROD177"/>
    <n v="3867.16"/>
    <n v="174.24"/>
    <n v="15"/>
    <s v="Small Business"/>
    <s v="Deploy Granular Channels"/>
    <x v="2"/>
    <s v="Barnes Ltd"/>
    <n v="288.99"/>
    <n v="4.505632040050063E-2"/>
  </r>
  <r>
    <s v="ORD2119"/>
    <d v="2020-01-27T00:00:00"/>
    <x v="2"/>
    <s v="PROD157"/>
    <n v="4201.4399999999996"/>
    <n v="14.43"/>
    <n v="17"/>
    <s v="Small Business"/>
    <s v="Implement Rich Platforms"/>
    <x v="1"/>
    <s v="Parker, Anderson and Salazar"/>
    <n v="53.59"/>
    <n v="3.4345367302639099E-3"/>
  </r>
  <r>
    <s v="ORD2120"/>
    <d v="2021-02-26T00:00:00"/>
    <x v="3"/>
    <s v="PROD134"/>
    <n v="2114.66"/>
    <n v="721.13"/>
    <n v="20"/>
    <s v="Corporate"/>
    <s v="Utilize Ubiquitous Synergies"/>
    <x v="1"/>
    <s v="Kramer, Huang and Shaw"/>
    <n v="295.89999999999998"/>
    <n v="0.34101463119366709"/>
  </r>
  <r>
    <s v="ORD2121"/>
    <d v="2021-12-21T00:00:00"/>
    <x v="1"/>
    <s v="PROD160"/>
    <n v="4621.3500000000004"/>
    <n v="300.66000000000003"/>
    <n v="15"/>
    <s v="Consumer"/>
    <s v="Deliver Extensible Partnerships"/>
    <x v="2"/>
    <s v="Martin, Paul and Salazar"/>
    <n v="43.76"/>
    <n v="6.5058911357070981E-2"/>
  </r>
  <r>
    <s v="ORD2122"/>
    <d v="2020-09-22T00:00:00"/>
    <x v="1"/>
    <s v="PROD123"/>
    <n v="4305.1899999999996"/>
    <n v="170.42"/>
    <n v="10"/>
    <s v="Corporate"/>
    <s v="Redefine Real-Time Convergence"/>
    <x v="1"/>
    <s v="Hayes, Peters and Douglas"/>
    <n v="78.260000000000005"/>
    <n v="3.9584780230373109E-2"/>
  </r>
  <r>
    <s v="ORD2123"/>
    <d v="2022-07-31T00:00:00"/>
    <x v="0"/>
    <s v="PROD108"/>
    <n v="2644.26"/>
    <n v="540.41"/>
    <n v="9"/>
    <s v="Small Business"/>
    <s v="Synergize World-Class Networks"/>
    <x v="1"/>
    <s v="Gomez-Lawrence"/>
    <n v="72.37"/>
    <n v="0.20437097713537999"/>
  </r>
  <r>
    <s v="ORD2124"/>
    <d v="2022-06-23T00:00:00"/>
    <x v="1"/>
    <s v="PROD115"/>
    <n v="852.21"/>
    <n v="349.76"/>
    <n v="14"/>
    <s v="Consumer"/>
    <s v="Morph World-Class Synergies"/>
    <x v="1"/>
    <s v="Bryant Ltd"/>
    <n v="20.69"/>
    <n v="0.41041527323077642"/>
  </r>
  <r>
    <s v="ORD2125"/>
    <d v="2024-02-27T00:00:00"/>
    <x v="1"/>
    <s v="PROD114"/>
    <n v="3211.92"/>
    <n v="26.93"/>
    <n v="4"/>
    <s v="Small Business"/>
    <s v="Orchestrate User-Centric Platforms"/>
    <x v="2"/>
    <s v="Wells Ltd"/>
    <n v="201.87"/>
    <n v="8.3843931355700018E-3"/>
  </r>
  <r>
    <s v="ORD2126"/>
    <d v="2024-02-04T00:00:00"/>
    <x v="2"/>
    <s v="PROD148"/>
    <n v="4882.49"/>
    <n v="664.49"/>
    <n v="9"/>
    <s v="Small Business"/>
    <s v="Empower Seamless Roi"/>
    <x v="0"/>
    <s v="Proctor Group"/>
    <n v="266.64999999999998"/>
    <n v="0.13609654090433365"/>
  </r>
  <r>
    <s v="ORD2127"/>
    <d v="2020-02-04T00:00:00"/>
    <x v="0"/>
    <s v="PROD179"/>
    <n v="3679.47"/>
    <n v="251.86"/>
    <n v="5"/>
    <s v="Corporate"/>
    <s v="Target Viral Methodologies"/>
    <x v="1"/>
    <s v="Alvarez, Myers and Walter"/>
    <n v="149.26"/>
    <n v="6.8450075690248871E-2"/>
  </r>
  <r>
    <s v="ORD2128"/>
    <d v="2024-08-13T00:00:00"/>
    <x v="1"/>
    <s v="PROD136"/>
    <n v="4146.09"/>
    <n v="293.93"/>
    <n v="13"/>
    <s v="Small Business"/>
    <s v="Evolve Innovative Web Services"/>
    <x v="2"/>
    <s v="Bush Inc"/>
    <n v="87.75"/>
    <n v="7.0893299470103158E-2"/>
  </r>
  <r>
    <s v="ORD2129"/>
    <d v="2024-01-17T00:00:00"/>
    <x v="1"/>
    <s v="PROD136"/>
    <n v="3459.92"/>
    <n v="866.04"/>
    <n v="11"/>
    <s v="Small Business"/>
    <s v="Evolve Innovative Web Services"/>
    <x v="2"/>
    <s v="Bush Inc"/>
    <n v="87.75"/>
    <n v="0.25030636546509744"/>
  </r>
  <r>
    <s v="ORD2130"/>
    <d v="2023-10-24T00:00:00"/>
    <x v="0"/>
    <s v="PROD174"/>
    <n v="4522.8599999999997"/>
    <n v="336.33"/>
    <n v="17"/>
    <s v="Corporate"/>
    <s v="Disintermediate Scalable Bandwidth"/>
    <x v="1"/>
    <s v="Levy PLC"/>
    <n v="19.86"/>
    <n v="7.4362239821705742E-2"/>
  </r>
  <r>
    <s v="ORD2131"/>
    <d v="2024-04-23T00:00:00"/>
    <x v="0"/>
    <s v="PROD105"/>
    <n v="2581.6"/>
    <n v="368.91"/>
    <n v="4"/>
    <s v="Corporate"/>
    <s v="Transform Holistic Functionalities"/>
    <x v="0"/>
    <s v="Ruiz Ltd"/>
    <n v="179.27"/>
    <n v="0.14289975209172609"/>
  </r>
  <r>
    <s v="ORD2132"/>
    <d v="2024-07-31T00:00:00"/>
    <x v="3"/>
    <s v="PROD188"/>
    <n v="332.8"/>
    <n v="840.24"/>
    <n v="19"/>
    <s v="Consumer"/>
    <s v="Transition Mission-Critical Interfaces"/>
    <x v="0"/>
    <s v="Weaver Ltd"/>
    <n v="34.64"/>
    <n v="2.5247596153846152"/>
  </r>
  <r>
    <s v="ORD2133"/>
    <d v="2022-06-07T00:00:00"/>
    <x v="1"/>
    <s v="PROD191"/>
    <n v="786.03"/>
    <n v="394.59"/>
    <n v="11"/>
    <s v="Corporate"/>
    <s v="Synergize Frictionless Synergies"/>
    <x v="2"/>
    <s v="Hester and Sons"/>
    <n v="289.06"/>
    <n v="0.50200374031525508"/>
  </r>
  <r>
    <s v="ORD2134"/>
    <d v="2022-05-20T00:00:00"/>
    <x v="0"/>
    <s v="PROD101"/>
    <n v="4062.45"/>
    <n v="332.92"/>
    <n v="17"/>
    <s v="Corporate"/>
    <s v="Harness Proactive Eyeballs"/>
    <x v="1"/>
    <s v="Moran and Sons"/>
    <n v="58.01"/>
    <n v="8.1950547083656428E-2"/>
  </r>
  <r>
    <s v="ORD2135"/>
    <d v="2023-06-16T00:00:00"/>
    <x v="1"/>
    <s v="PROD170"/>
    <n v="3211.32"/>
    <n v="666.57"/>
    <n v="5"/>
    <s v="Small Business"/>
    <s v="Deliver Sticky Networks"/>
    <x v="2"/>
    <s v="Massey LLC"/>
    <n v="272.33"/>
    <n v="0.20756885019244423"/>
  </r>
  <r>
    <s v="ORD2136"/>
    <d v="2023-05-09T00:00:00"/>
    <x v="1"/>
    <s v="PROD110"/>
    <n v="4620.1499999999996"/>
    <n v="431.71"/>
    <n v="11"/>
    <s v="Consumer"/>
    <s v="E-Enable Holistic Supply-Chains"/>
    <x v="2"/>
    <s v="Lin-Mcdaniel"/>
    <n v="160.33000000000001"/>
    <n v="9.3440689155114012E-2"/>
  </r>
  <r>
    <s v="ORD2137"/>
    <d v="2023-12-26T00:00:00"/>
    <x v="1"/>
    <s v="PROD120"/>
    <n v="4793.32"/>
    <n v="860.94"/>
    <n v="20"/>
    <s v="Consumer"/>
    <s v="Mesh B2B Platforms"/>
    <x v="2"/>
    <s v="Stevens, Walton and Riddle"/>
    <n v="236.57"/>
    <n v="0.17961246067443862"/>
  </r>
  <r>
    <s v="ORD2138"/>
    <d v="2020-01-02T00:00:00"/>
    <x v="3"/>
    <s v="PROD142"/>
    <n v="2518.69"/>
    <n v="686.54"/>
    <n v="13"/>
    <s v="Consumer"/>
    <s v="Target Bricks-And-Clicks Channels"/>
    <x v="1"/>
    <s v="Dunn, Christensen and Meyer"/>
    <n v="126.86"/>
    <n v="0.2725782053369013"/>
  </r>
  <r>
    <s v="ORD2139"/>
    <d v="2022-06-16T00:00:00"/>
    <x v="0"/>
    <s v="PROD110"/>
    <n v="2928.73"/>
    <n v="341.02"/>
    <n v="5"/>
    <s v="Consumer"/>
    <s v="E-Enable Holistic Supply-Chains"/>
    <x v="2"/>
    <s v="Lin-Mcdaniel"/>
    <n v="160.33000000000001"/>
    <n v="0.11643954888296291"/>
  </r>
  <r>
    <s v="ORD2140"/>
    <d v="2024-06-11T00:00:00"/>
    <x v="0"/>
    <s v="PROD176"/>
    <n v="3986.64"/>
    <n v="97.25"/>
    <n v="14"/>
    <s v="Corporate"/>
    <s v="Facilitate Integrated E-Business"/>
    <x v="0"/>
    <s v="Chang-Vargas"/>
    <n v="130.33000000000001"/>
    <n v="2.439397587943732E-2"/>
  </r>
  <r>
    <s v="ORD2141"/>
    <d v="2023-06-12T00:00:00"/>
    <x v="2"/>
    <s v="PROD193"/>
    <n v="4614"/>
    <n v="794.14"/>
    <n v="7"/>
    <s v="Consumer"/>
    <s v="Innovate Sticky Web Services"/>
    <x v="1"/>
    <s v="Friedman, Sanders and Adams"/>
    <n v="125.85"/>
    <n v="0.17211530125704377"/>
  </r>
  <r>
    <s v="ORD2142"/>
    <d v="2024-10-11T00:00:00"/>
    <x v="0"/>
    <s v="PROD101"/>
    <n v="4621.9799999999996"/>
    <n v="143.13999999999999"/>
    <n v="12"/>
    <s v="Corporate"/>
    <s v="Harness Proactive Eyeballs"/>
    <x v="1"/>
    <s v="Moran and Sons"/>
    <n v="58.01"/>
    <n v="3.096941137780778E-2"/>
  </r>
  <r>
    <s v="ORD2143"/>
    <d v="2020-05-15T00:00:00"/>
    <x v="1"/>
    <s v="PROD100"/>
    <n v="108.68"/>
    <n v="89.14"/>
    <n v="9"/>
    <s v="Consumer"/>
    <s v="Synthesize Scalable Portals"/>
    <x v="2"/>
    <s v="Singh, Villa and Flynn"/>
    <n v="298.57"/>
    <n v="0.82020610967979379"/>
  </r>
  <r>
    <s v="ORD2144"/>
    <d v="2022-08-07T00:00:00"/>
    <x v="3"/>
    <s v="PROD111"/>
    <n v="3295.81"/>
    <n v="10.83"/>
    <n v="10"/>
    <s v="Corporate"/>
    <s v="Harness Revolutionary Interfaces"/>
    <x v="2"/>
    <s v="Davis, Short and Nguyen"/>
    <n v="26.49"/>
    <n v="3.2859903938637241E-3"/>
  </r>
  <r>
    <s v="ORD2145"/>
    <d v="2021-07-15T00:00:00"/>
    <x v="3"/>
    <s v="PROD153"/>
    <n v="1951.45"/>
    <n v="911.58"/>
    <n v="15"/>
    <s v="Corporate"/>
    <s v="Seize Plug-And-Play Web-Readiness"/>
    <x v="1"/>
    <s v="Joseph, Mayer and Carr"/>
    <n v="102.73"/>
    <n v="0.46712957031950603"/>
  </r>
  <r>
    <s v="ORD2146"/>
    <d v="2020-06-20T00:00:00"/>
    <x v="0"/>
    <s v="PROD115"/>
    <n v="3428.44"/>
    <n v="518.95000000000005"/>
    <n v="10"/>
    <s v="Consumer"/>
    <s v="Morph World-Class Synergies"/>
    <x v="1"/>
    <s v="Bryant Ltd"/>
    <n v="20.69"/>
    <n v="0.15136621903839648"/>
  </r>
  <r>
    <s v="ORD2147"/>
    <d v="2020-05-21T00:00:00"/>
    <x v="0"/>
    <s v="PROD102"/>
    <n v="3031.02"/>
    <n v="213.98"/>
    <n v="10"/>
    <s v="Corporate"/>
    <s v="Optimize Transparent E-Markets"/>
    <x v="0"/>
    <s v="Lee, Tyler and Blevins"/>
    <n v="111.22"/>
    <n v="7.0596696821532023E-2"/>
  </r>
  <r>
    <s v="ORD2148"/>
    <d v="2023-08-31T00:00:00"/>
    <x v="1"/>
    <s v="PROD139"/>
    <n v="4447.41"/>
    <n v="184.32"/>
    <n v="10"/>
    <s v="Consumer"/>
    <s v="Re-Contextualize Viral Mindshare"/>
    <x v="1"/>
    <s v="Carter-Lane"/>
    <n v="142.25"/>
    <n v="4.1444346259958041E-2"/>
  </r>
  <r>
    <s v="ORD2149"/>
    <d v="2022-07-09T00:00:00"/>
    <x v="0"/>
    <s v="PROD187"/>
    <n v="4574.1499999999996"/>
    <n v="228.77"/>
    <n v="8"/>
    <s v="Small Business"/>
    <s v="Whiteboard Compelling Experiences"/>
    <x v="2"/>
    <s v="Carrillo, Carr and Ball"/>
    <n v="206.54"/>
    <n v="5.0013663740804307E-2"/>
  </r>
  <r>
    <s v="ORD2150"/>
    <d v="2023-01-02T00:00:00"/>
    <x v="3"/>
    <s v="PROD121"/>
    <n v="2380.11"/>
    <n v="41.74"/>
    <n v="12"/>
    <s v="Small Business"/>
    <s v="Whiteboard B2B Content"/>
    <x v="0"/>
    <s v="Romero PLC"/>
    <n v="93.81"/>
    <n v="1.7537004592224729E-2"/>
  </r>
  <r>
    <s v="ORD2151"/>
    <d v="2022-06-25T00:00:00"/>
    <x v="3"/>
    <s v="PROD117"/>
    <n v="1935.17"/>
    <n v="253.26"/>
    <n v="3"/>
    <s v="Corporate"/>
    <s v="Revolutionize Efficient Niches"/>
    <x v="1"/>
    <s v="Lopez-Torres"/>
    <n v="23.02"/>
    <n v="0.13087222311218136"/>
  </r>
  <r>
    <s v="ORD2152"/>
    <d v="2021-05-20T00:00:00"/>
    <x v="2"/>
    <s v="PROD102"/>
    <n v="3041.25"/>
    <n v="289.45999999999998"/>
    <n v="3"/>
    <s v="Small Business"/>
    <s v="Optimize Transparent E-Markets"/>
    <x v="0"/>
    <s v="Lee, Tyler and Blevins"/>
    <n v="111.22"/>
    <n v="9.5177969584874636E-2"/>
  </r>
  <r>
    <s v="ORD2153"/>
    <d v="2024-01-19T00:00:00"/>
    <x v="2"/>
    <s v="PROD177"/>
    <n v="4469.99"/>
    <n v="740.86"/>
    <n v="8"/>
    <s v="Small Business"/>
    <s v="Deploy Granular Channels"/>
    <x v="2"/>
    <s v="Barnes Ltd"/>
    <n v="288.99"/>
    <n v="0.16574086295495069"/>
  </r>
  <r>
    <s v="ORD2154"/>
    <d v="2022-08-24T00:00:00"/>
    <x v="3"/>
    <s v="PROD105"/>
    <n v="4139.75"/>
    <n v="890.63"/>
    <n v="6"/>
    <s v="Corporate"/>
    <s v="Transform Holistic Functionalities"/>
    <x v="0"/>
    <s v="Ruiz Ltd"/>
    <n v="179.27"/>
    <n v="0.21514101093061175"/>
  </r>
  <r>
    <s v="ORD2155"/>
    <d v="2022-04-29T00:00:00"/>
    <x v="1"/>
    <s v="PROD120"/>
    <n v="2309.19"/>
    <n v="89.55"/>
    <n v="10"/>
    <s v="Small Business"/>
    <s v="Mesh B2B Platforms"/>
    <x v="2"/>
    <s v="Stevens, Walton and Riddle"/>
    <n v="236.57"/>
    <n v="3.8779831889103972E-2"/>
  </r>
  <r>
    <s v="ORD2156"/>
    <d v="2021-02-19T00:00:00"/>
    <x v="3"/>
    <s v="PROD178"/>
    <n v="1899.34"/>
    <n v="533.96"/>
    <n v="1"/>
    <s v="Corporate"/>
    <s v="Monetize Value-Added Niches"/>
    <x v="0"/>
    <s v="Foster, Velazquez and Lee"/>
    <n v="171.51"/>
    <n v="0.28112923436562176"/>
  </r>
  <r>
    <s v="ORD2157"/>
    <d v="2021-09-04T00:00:00"/>
    <x v="0"/>
    <s v="PROD147"/>
    <n v="4929.1499999999996"/>
    <n v="127.76"/>
    <n v="20"/>
    <s v="Small Business"/>
    <s v="Brand B2C Info-Mediaries"/>
    <x v="0"/>
    <s v="Preston Ltd"/>
    <n v="13.46"/>
    <n v="2.5919276142945542E-2"/>
  </r>
  <r>
    <s v="ORD2158"/>
    <d v="2022-07-30T00:00:00"/>
    <x v="1"/>
    <s v="PROD122"/>
    <n v="2750.97"/>
    <n v="938.72"/>
    <n v="20"/>
    <s v="Small Business"/>
    <s v="Empower Dot-Com Deliverables"/>
    <x v="1"/>
    <s v="Davis LLC"/>
    <n v="250.66"/>
    <n v="0.34123236531114481"/>
  </r>
  <r>
    <s v="ORD2159"/>
    <d v="2021-08-14T00:00:00"/>
    <x v="2"/>
    <s v="PROD130"/>
    <n v="158.53"/>
    <n v="402.51"/>
    <n v="14"/>
    <s v="Corporate"/>
    <s v="Synthesize Wireless Initiatives"/>
    <x v="1"/>
    <s v="Mosley Ltd"/>
    <n v="162.69999999999999"/>
    <n v="2.5390146975335899"/>
  </r>
  <r>
    <s v="ORD2160"/>
    <d v="2024-08-25T00:00:00"/>
    <x v="3"/>
    <s v="PROD113"/>
    <n v="4466.58"/>
    <n v="170.64"/>
    <n v="3"/>
    <s v="Corporate"/>
    <s v="Envisioneer B2B Users"/>
    <x v="0"/>
    <s v="Rogers Group"/>
    <n v="239.16"/>
    <n v="3.8203726340958852E-2"/>
  </r>
  <r>
    <s v="ORD2161"/>
    <d v="2023-03-30T00:00:00"/>
    <x v="2"/>
    <s v="PROD148"/>
    <n v="3828.6"/>
    <n v="599.86"/>
    <n v="17"/>
    <s v="Consumer"/>
    <s v="Empower Seamless Roi"/>
    <x v="0"/>
    <s v="Proctor Group"/>
    <n v="266.64999999999998"/>
    <n v="0.15667868150237685"/>
  </r>
  <r>
    <s v="ORD2162"/>
    <d v="2024-09-18T00:00:00"/>
    <x v="2"/>
    <s v="PROD125"/>
    <n v="2671.97"/>
    <n v="10.36"/>
    <n v="2"/>
    <s v="Small Business"/>
    <s v="Leverage Cutting-Edge Vortals"/>
    <x v="1"/>
    <s v="Robinson, Garrett and Chavez"/>
    <n v="117.3"/>
    <n v="3.8772890414188782E-3"/>
  </r>
  <r>
    <s v="ORD2163"/>
    <d v="2020-11-17T00:00:00"/>
    <x v="2"/>
    <s v="PROD172"/>
    <n v="2891"/>
    <n v="125.64"/>
    <n v="4"/>
    <s v="Corporate"/>
    <s v="E-Enable Virtual Methodologies"/>
    <x v="0"/>
    <s v="Floyd-Love"/>
    <n v="283.64999999999998"/>
    <n v="4.345901072293324E-2"/>
  </r>
  <r>
    <s v="ORD2164"/>
    <d v="2021-01-05T00:00:00"/>
    <x v="0"/>
    <s v="PROD162"/>
    <n v="2815.77"/>
    <n v="745.59"/>
    <n v="5"/>
    <s v="Corporate"/>
    <s v="Reinvent Visionary Niches"/>
    <x v="2"/>
    <s v="Huber-Richmond"/>
    <n v="219.81"/>
    <n v="0.26479080322611576"/>
  </r>
  <r>
    <s v="ORD2165"/>
    <d v="2023-07-31T00:00:00"/>
    <x v="3"/>
    <s v="PROD181"/>
    <n v="3984.11"/>
    <n v="199.75"/>
    <n v="7"/>
    <s v="Small Business"/>
    <s v="Extend Bricks-And-Clicks Niches"/>
    <x v="0"/>
    <s v="Hernandez-Rios"/>
    <n v="65.989999999999995"/>
    <n v="5.0136667913285526E-2"/>
  </r>
  <r>
    <s v="ORD2166"/>
    <d v="2024-06-27T00:00:00"/>
    <x v="0"/>
    <s v="PROD135"/>
    <n v="2701.29"/>
    <n v="161.25"/>
    <n v="10"/>
    <s v="Corporate"/>
    <s v="Optimize 24/365 E-Services"/>
    <x v="0"/>
    <s v="Chase Ltd"/>
    <n v="100.35"/>
    <n v="5.9693701897982079E-2"/>
  </r>
  <r>
    <s v="ORD2167"/>
    <d v="2024-11-06T00:00:00"/>
    <x v="2"/>
    <s v="PROD139"/>
    <n v="4065.86"/>
    <n v="597.71"/>
    <n v="13"/>
    <s v="Corporate"/>
    <s v="Re-Contextualize Viral Mindshare"/>
    <x v="1"/>
    <s v="Carter-Lane"/>
    <n v="142.25"/>
    <n v="0.14700702926318171"/>
  </r>
  <r>
    <s v="ORD2168"/>
    <d v="2022-02-04T00:00:00"/>
    <x v="0"/>
    <s v="PROD119"/>
    <n v="1390.65"/>
    <n v="702.36"/>
    <n v="3"/>
    <s v="Consumer"/>
    <s v="Generate Front-End Functionalities"/>
    <x v="0"/>
    <s v="Morales-Brown"/>
    <n v="299.77"/>
    <n v="0.50505878546003669"/>
  </r>
  <r>
    <s v="ORD2169"/>
    <d v="2023-01-30T00:00:00"/>
    <x v="2"/>
    <s v="PROD128"/>
    <n v="1617.19"/>
    <n v="95.84"/>
    <n v="1"/>
    <s v="Corporate"/>
    <s v="Brand Distributed Info-Mediaries"/>
    <x v="2"/>
    <s v="Garcia Ltd"/>
    <n v="114.48"/>
    <n v="5.9263290027764211E-2"/>
  </r>
  <r>
    <s v="ORD2170"/>
    <d v="2020-03-04T00:00:00"/>
    <x v="2"/>
    <s v="PROD186"/>
    <n v="3712.63"/>
    <n v="331.77"/>
    <n v="5"/>
    <s v="Corporate"/>
    <s v="Reinvent Mission-Critical Markets"/>
    <x v="2"/>
    <s v="Gilbert-Sanders"/>
    <n v="154.21"/>
    <n v="8.936252737277886E-2"/>
  </r>
  <r>
    <s v="ORD2171"/>
    <d v="2024-03-19T00:00:00"/>
    <x v="2"/>
    <s v="PROD150"/>
    <n v="2552.1"/>
    <n v="26.73"/>
    <n v="10"/>
    <s v="Consumer"/>
    <s v="Evolve Intuitive Bandwidth"/>
    <x v="0"/>
    <s v="Rogers Group"/>
    <n v="131.63"/>
    <n v="1.0473727518514166E-2"/>
  </r>
  <r>
    <s v="ORD2172"/>
    <d v="2020-01-04T00:00:00"/>
    <x v="0"/>
    <s v="PROD199"/>
    <n v="1723.79"/>
    <n v="718.16"/>
    <n v="1"/>
    <s v="Consumer"/>
    <s v="Scale Cross-Platform Web Services"/>
    <x v="2"/>
    <s v="Morrow, Brock and Lewis"/>
    <n v="115.21"/>
    <n v="0.41661687328502889"/>
  </r>
  <r>
    <s v="ORD2173"/>
    <d v="2020-01-01T00:00:00"/>
    <x v="3"/>
    <s v="PROD162"/>
    <n v="2060.34"/>
    <n v="321.02999999999997"/>
    <n v="12"/>
    <s v="Small Business"/>
    <s v="Reinvent Visionary Niches"/>
    <x v="2"/>
    <s v="Huber-Richmond"/>
    <n v="219.81"/>
    <n v="0.1558140889367774"/>
  </r>
  <r>
    <s v="ORD2174"/>
    <d v="2021-10-25T00:00:00"/>
    <x v="1"/>
    <s v="PROD174"/>
    <n v="3861.66"/>
    <n v="664.45"/>
    <n v="2"/>
    <s v="Small Business"/>
    <s v="Disintermediate Scalable Bandwidth"/>
    <x v="1"/>
    <s v="Levy PLC"/>
    <n v="19.86"/>
    <n v="0.17206330956117319"/>
  </r>
  <r>
    <s v="ORD2175"/>
    <d v="2020-06-18T00:00:00"/>
    <x v="2"/>
    <s v="PROD116"/>
    <n v="2298.0300000000002"/>
    <n v="529.25"/>
    <n v="8"/>
    <s v="Corporate"/>
    <s v="Synergize Cross-Platform Vortals"/>
    <x v="2"/>
    <s v="Edwards Group"/>
    <n v="87.18"/>
    <n v="0.23030595771160514"/>
  </r>
  <r>
    <s v="ORD2176"/>
    <d v="2023-05-10T00:00:00"/>
    <x v="2"/>
    <s v="PROD112"/>
    <n v="3499.85"/>
    <n v="455.16"/>
    <n v="9"/>
    <s v="Small Business"/>
    <s v="Seize Clicks-And-Mortar Platforms"/>
    <x v="0"/>
    <s v="Owens, Campos and Wood"/>
    <n v="271.16000000000003"/>
    <n v="0.13005128791233911"/>
  </r>
  <r>
    <s v="ORD2177"/>
    <d v="2024-02-09T00:00:00"/>
    <x v="3"/>
    <s v="PROD167"/>
    <n v="3549.65"/>
    <n v="479.72"/>
    <n v="8"/>
    <s v="Small Business"/>
    <s v="Grow Synergistic Infrastructures"/>
    <x v="2"/>
    <s v="Adams-Carter"/>
    <n v="113.17"/>
    <n v="0.13514571859197386"/>
  </r>
  <r>
    <s v="ORD2178"/>
    <d v="2023-02-03T00:00:00"/>
    <x v="1"/>
    <s v="PROD108"/>
    <n v="2364.25"/>
    <n v="801.17"/>
    <n v="10"/>
    <s v="Small Business"/>
    <s v="Synergize World-Class Networks"/>
    <x v="1"/>
    <s v="Gomez-Lawrence"/>
    <n v="72.37"/>
    <n v="0.33886856296922913"/>
  </r>
  <r>
    <s v="ORD2179"/>
    <d v="2022-10-10T00:00:00"/>
    <x v="3"/>
    <s v="PROD163"/>
    <n v="3868.14"/>
    <n v="879.04"/>
    <n v="18"/>
    <s v="Consumer"/>
    <s v="Grow Back-End Supply-Chains"/>
    <x v="1"/>
    <s v="Green LLC"/>
    <n v="140.08000000000001"/>
    <n v="0.22725134043752293"/>
  </r>
  <r>
    <s v="ORD2180"/>
    <d v="2024-03-31T00:00:00"/>
    <x v="2"/>
    <s v="PROD142"/>
    <n v="2812.17"/>
    <n v="382.78"/>
    <n v="15"/>
    <s v="Consumer"/>
    <s v="Target Bricks-And-Clicks Channels"/>
    <x v="1"/>
    <s v="Dunn, Christensen and Meyer"/>
    <n v="126.86"/>
    <n v="0.13611552644399164"/>
  </r>
  <r>
    <s v="ORD2181"/>
    <d v="2020-02-17T00:00:00"/>
    <x v="2"/>
    <s v="PROD196"/>
    <n v="352.93"/>
    <n v="56.2"/>
    <n v="13"/>
    <s v="Consumer"/>
    <s v="Strategize E-Business Content"/>
    <x v="1"/>
    <s v="Patterson LLC"/>
    <n v="294.02"/>
    <n v="0.15923837588190293"/>
  </r>
  <r>
    <s v="ORD2182"/>
    <d v="2023-11-06T00:00:00"/>
    <x v="2"/>
    <s v="PROD184"/>
    <n v="1093.42"/>
    <n v="91.89"/>
    <n v="8"/>
    <s v="Consumer"/>
    <s v="Embrace 24/365 Functionalities"/>
    <x v="0"/>
    <s v="Smith LLC"/>
    <n v="204.04"/>
    <n v="8.4039070073713668E-2"/>
  </r>
  <r>
    <s v="ORD2183"/>
    <d v="2023-06-15T00:00:00"/>
    <x v="0"/>
    <s v="PROD135"/>
    <n v="3833.64"/>
    <n v="684.97"/>
    <n v="13"/>
    <s v="Consumer"/>
    <s v="Optimize 24/365 E-Services"/>
    <x v="0"/>
    <s v="Chase Ltd"/>
    <n v="100.35"/>
    <n v="0.17867353220438018"/>
  </r>
  <r>
    <s v="ORD2184"/>
    <d v="2020-06-27T00:00:00"/>
    <x v="1"/>
    <s v="PROD166"/>
    <n v="1976.31"/>
    <n v="850.22"/>
    <n v="4"/>
    <s v="Consumer"/>
    <s v="Monetize Wireless Functionalities"/>
    <x v="2"/>
    <s v="Robinson, Rodriguez and Hernandez"/>
    <n v="162.22"/>
    <n v="0.43020578755357208"/>
  </r>
  <r>
    <s v="ORD2185"/>
    <d v="2024-10-07T00:00:00"/>
    <x v="2"/>
    <s v="PROD115"/>
    <n v="4092.57"/>
    <n v="86.77"/>
    <n v="5"/>
    <s v="Consumer"/>
    <s v="Morph World-Class Synergies"/>
    <x v="1"/>
    <s v="Bryant Ltd"/>
    <n v="20.69"/>
    <n v="2.120183649882592E-2"/>
  </r>
  <r>
    <s v="ORD2186"/>
    <d v="2023-10-11T00:00:00"/>
    <x v="0"/>
    <s v="PROD127"/>
    <n v="1327"/>
    <n v="460.82"/>
    <n v="11"/>
    <s v="Small Business"/>
    <s v="Deliver Viral Channels"/>
    <x v="2"/>
    <s v="Parker LLC"/>
    <n v="45.41"/>
    <n v="0.34726450640542578"/>
  </r>
  <r>
    <s v="ORD2187"/>
    <d v="2024-08-14T00:00:00"/>
    <x v="3"/>
    <s v="PROD126"/>
    <n v="1550.93"/>
    <n v="121.14"/>
    <n v="14"/>
    <s v="Small Business"/>
    <s v="Streamline Innovative Architectures"/>
    <x v="2"/>
    <s v="Price, Valentine and Lutz"/>
    <n v="291.14999999999998"/>
    <n v="7.8107973925322219E-2"/>
  </r>
  <r>
    <s v="ORD2188"/>
    <d v="2020-05-25T00:00:00"/>
    <x v="1"/>
    <s v="PROD168"/>
    <n v="2103.86"/>
    <n v="263.66000000000003"/>
    <n v="5"/>
    <s v="Corporate"/>
    <s v="Facilitate End-To-End Experiences"/>
    <x v="0"/>
    <s v="Pierce-Goodwin"/>
    <n v="260.52999999999997"/>
    <n v="0.12532202713108287"/>
  </r>
  <r>
    <s v="ORD2189"/>
    <d v="2021-09-22T00:00:00"/>
    <x v="1"/>
    <s v="PROD147"/>
    <n v="2053.37"/>
    <n v="856.14"/>
    <n v="5"/>
    <s v="Corporate"/>
    <s v="Brand B2C Info-Mediaries"/>
    <x v="0"/>
    <s v="Preston Ltd"/>
    <n v="13.46"/>
    <n v="0.41694385327534739"/>
  </r>
  <r>
    <s v="ORD2190"/>
    <d v="2024-08-10T00:00:00"/>
    <x v="0"/>
    <s v="PROD128"/>
    <n v="3519.63"/>
    <n v="77.91"/>
    <n v="2"/>
    <s v="Small Business"/>
    <s v="Brand Distributed Info-Mediaries"/>
    <x v="2"/>
    <s v="Garcia Ltd"/>
    <n v="114.48"/>
    <n v="2.2135849506908396E-2"/>
  </r>
  <r>
    <s v="ORD2191"/>
    <d v="2021-09-24T00:00:00"/>
    <x v="2"/>
    <s v="PROD169"/>
    <n v="1075.3399999999999"/>
    <n v="522.70000000000005"/>
    <n v="1"/>
    <s v="Consumer"/>
    <s v="Unleash End-To-End Web Services"/>
    <x v="0"/>
    <s v="Jones Ltd"/>
    <n v="188.02"/>
    <n v="0.48607882158201138"/>
  </r>
  <r>
    <s v="ORD2192"/>
    <d v="2021-10-12T00:00:00"/>
    <x v="3"/>
    <s v="PROD114"/>
    <n v="4119.91"/>
    <n v="37.74"/>
    <n v="16"/>
    <s v="Consumer"/>
    <s v="Orchestrate User-Centric Platforms"/>
    <x v="2"/>
    <s v="Wells Ltd"/>
    <n v="201.87"/>
    <n v="9.160394280457583E-3"/>
  </r>
  <r>
    <s v="ORD2193"/>
    <d v="2024-11-03T00:00:00"/>
    <x v="1"/>
    <s v="PROD176"/>
    <n v="1617.8"/>
    <n v="995.02"/>
    <n v="8"/>
    <s v="Corporate"/>
    <s v="Facilitate Integrated E-Business"/>
    <x v="0"/>
    <s v="Chang-Vargas"/>
    <n v="130.33000000000001"/>
    <n v="0.61504512300655212"/>
  </r>
  <r>
    <s v="ORD2194"/>
    <d v="2023-01-16T00:00:00"/>
    <x v="1"/>
    <s v="PROD148"/>
    <n v="2575.2199999999998"/>
    <n v="264.14999999999998"/>
    <n v="18"/>
    <s v="Consumer"/>
    <s v="Empower Seamless Roi"/>
    <x v="0"/>
    <s v="Proctor Group"/>
    <n v="266.64999999999998"/>
    <n v="0.10257376068840721"/>
  </r>
  <r>
    <s v="ORD2195"/>
    <d v="2024-11-06T00:00:00"/>
    <x v="0"/>
    <s v="PROD123"/>
    <n v="4179.28"/>
    <n v="511.62"/>
    <n v="19"/>
    <s v="Consumer"/>
    <s v="Redefine Real-Time Convergence"/>
    <x v="1"/>
    <s v="Hayes, Peters and Douglas"/>
    <n v="78.260000000000005"/>
    <n v="0.12241821557780289"/>
  </r>
  <r>
    <s v="ORD2196"/>
    <d v="2023-03-06T00:00:00"/>
    <x v="1"/>
    <s v="PROD182"/>
    <n v="2532.29"/>
    <n v="442.7"/>
    <n v="15"/>
    <s v="Corporate"/>
    <s v="Strategize Best-Of-Breed Web-Readiness"/>
    <x v="0"/>
    <s v="Morris, King and Ayers"/>
    <n v="220.16"/>
    <n v="0.17482199906013923"/>
  </r>
  <r>
    <s v="ORD2197"/>
    <d v="2024-10-24T00:00:00"/>
    <x v="2"/>
    <s v="PROD173"/>
    <n v="2481.4299999999998"/>
    <n v="146.38"/>
    <n v="14"/>
    <s v="Small Business"/>
    <s v="Whiteboard Sticky Content"/>
    <x v="2"/>
    <s v="Wolfe Group"/>
    <n v="82.16"/>
    <n v="5.8990179049983278E-2"/>
  </r>
  <r>
    <s v="ORD2198"/>
    <d v="2022-08-12T00:00:00"/>
    <x v="2"/>
    <s v="PROD188"/>
    <n v="422.35"/>
    <n v="736.08"/>
    <n v="6"/>
    <s v="Corporate"/>
    <s v="Transition Mission-Critical Interfaces"/>
    <x v="0"/>
    <s v="Weaver Ltd"/>
    <n v="34.64"/>
    <n v="1.7428199360719783"/>
  </r>
  <r>
    <s v="ORD2199"/>
    <d v="2024-05-07T00:00:00"/>
    <x v="3"/>
    <s v="PROD176"/>
    <n v="1065.77"/>
    <n v="186.42"/>
    <n v="2"/>
    <s v="Corporate"/>
    <s v="Facilitate Integrated E-Business"/>
    <x v="0"/>
    <s v="Chang-Vargas"/>
    <n v="130.33000000000001"/>
    <n v="0.17491578858477907"/>
  </r>
  <r>
    <s v="ORD2200"/>
    <d v="2022-08-17T00:00:00"/>
    <x v="1"/>
    <s v="PROD176"/>
    <n v="1739.12"/>
    <n v="254.69"/>
    <n v="19"/>
    <s v="Small Business"/>
    <s v="Facilitate Integrated E-Business"/>
    <x v="0"/>
    <s v="Chang-Vargas"/>
    <n v="130.33000000000001"/>
    <n v="0.14644762868577213"/>
  </r>
  <r>
    <s v="ORD2201"/>
    <d v="2024-04-25T00:00:00"/>
    <x v="3"/>
    <s v="PROD193"/>
    <n v="2697.58"/>
    <n v="685.21"/>
    <n v="6"/>
    <s v="Consumer"/>
    <s v="Innovate Sticky Web Services"/>
    <x v="1"/>
    <s v="Friedman, Sanders and Adams"/>
    <n v="125.85"/>
    <n v="0.2540091489409026"/>
  </r>
  <r>
    <s v="ORD2202"/>
    <d v="2020-02-20T00:00:00"/>
    <x v="3"/>
    <s v="PROD157"/>
    <n v="237.23"/>
    <n v="841.71"/>
    <n v="16"/>
    <s v="Corporate"/>
    <s v="Implement Rich Platforms"/>
    <x v="1"/>
    <s v="Parker, Anderson and Salazar"/>
    <n v="53.59"/>
    <n v="3.5480757071196733"/>
  </r>
  <r>
    <s v="ORD2203"/>
    <d v="2021-09-04T00:00:00"/>
    <x v="0"/>
    <s v="PROD151"/>
    <n v="121.33"/>
    <n v="328.75"/>
    <n v="1"/>
    <s v="Small Business"/>
    <s v="Re-Contextualize Viral Markets"/>
    <x v="1"/>
    <s v="Meadows-Barber"/>
    <n v="177.52"/>
    <n v="2.7095524602324241"/>
  </r>
  <r>
    <s v="ORD2204"/>
    <d v="2021-05-02T00:00:00"/>
    <x v="0"/>
    <s v="PROD165"/>
    <n v="3464.76"/>
    <n v="991.2"/>
    <n v="9"/>
    <s v="Corporate"/>
    <s v="Benchmark Cross-Platform Markets"/>
    <x v="2"/>
    <s v="Murphy, Mathews and Wilson"/>
    <n v="78.88"/>
    <n v="0.28608042115471199"/>
  </r>
  <r>
    <s v="ORD2205"/>
    <d v="2020-09-05T00:00:00"/>
    <x v="2"/>
    <s v="PROD168"/>
    <n v="3503.99"/>
    <n v="283.23"/>
    <n v="6"/>
    <s v="Corporate"/>
    <s v="Facilitate End-To-End Experiences"/>
    <x v="0"/>
    <s v="Pierce-Goodwin"/>
    <n v="260.52999999999997"/>
    <n v="8.0830710133305186E-2"/>
  </r>
  <r>
    <s v="ORD2206"/>
    <d v="2024-04-14T00:00:00"/>
    <x v="1"/>
    <s v="PROD125"/>
    <n v="2415.2399999999998"/>
    <n v="537.32000000000005"/>
    <n v="12"/>
    <s v="Consumer"/>
    <s v="Leverage Cutting-Edge Vortals"/>
    <x v="1"/>
    <s v="Robinson, Garrett and Chavez"/>
    <n v="117.3"/>
    <n v="0.22247064473923919"/>
  </r>
  <r>
    <s v="ORD2207"/>
    <d v="2021-02-26T00:00:00"/>
    <x v="3"/>
    <s v="PROD113"/>
    <n v="4648.09"/>
    <n v="755.42"/>
    <n v="14"/>
    <s v="Small Business"/>
    <s v="Envisioneer B2B Users"/>
    <x v="0"/>
    <s v="Rogers Group"/>
    <n v="239.16"/>
    <n v="0.16252267060233341"/>
  </r>
  <r>
    <s v="ORD2208"/>
    <d v="2024-03-29T00:00:00"/>
    <x v="0"/>
    <s v="PROD162"/>
    <n v="436.98"/>
    <n v="664.74"/>
    <n v="14"/>
    <s v="Corporate"/>
    <s v="Reinvent Visionary Niches"/>
    <x v="2"/>
    <s v="Huber-Richmond"/>
    <n v="219.81"/>
    <n v="1.5212137855279417"/>
  </r>
  <r>
    <s v="ORD2209"/>
    <d v="2020-12-12T00:00:00"/>
    <x v="3"/>
    <s v="PROD119"/>
    <n v="2280.23"/>
    <n v="326.13"/>
    <n v="7"/>
    <s v="Small Business"/>
    <s v="Generate Front-End Functionalities"/>
    <x v="0"/>
    <s v="Morales-Brown"/>
    <n v="299.77"/>
    <n v="0.14302504571907221"/>
  </r>
  <r>
    <s v="ORD2210"/>
    <d v="2022-06-24T00:00:00"/>
    <x v="2"/>
    <s v="PROD146"/>
    <n v="3669.16"/>
    <n v="531.16999999999996"/>
    <n v="8"/>
    <s v="Small Business"/>
    <s v="Engage Rich Web-Readiness"/>
    <x v="0"/>
    <s v="Turner Inc"/>
    <n v="81.069999999999993"/>
    <n v="0.14476610450348307"/>
  </r>
  <r>
    <s v="ORD2211"/>
    <d v="2023-07-01T00:00:00"/>
    <x v="1"/>
    <s v="PROD197"/>
    <n v="3253"/>
    <n v="699.16"/>
    <n v="4"/>
    <s v="Small Business"/>
    <s v="Leverage Rich Portals"/>
    <x v="0"/>
    <s v="Wilson PLC"/>
    <n v="46.35"/>
    <n v="0.21492775899169997"/>
  </r>
  <r>
    <s v="ORD2212"/>
    <d v="2020-12-11T00:00:00"/>
    <x v="0"/>
    <s v="PROD119"/>
    <n v="4412.42"/>
    <n v="557.05999999999995"/>
    <n v="6"/>
    <s v="Small Business"/>
    <s v="Generate Front-End Functionalities"/>
    <x v="0"/>
    <s v="Morales-Brown"/>
    <n v="299.77"/>
    <n v="0.12624818127014201"/>
  </r>
  <r>
    <s v="ORD2213"/>
    <d v="2023-07-29T00:00:00"/>
    <x v="0"/>
    <s v="PROD173"/>
    <n v="1583.31"/>
    <n v="280.19"/>
    <n v="18"/>
    <s v="Small Business"/>
    <s v="Whiteboard Sticky Content"/>
    <x v="2"/>
    <s v="Wolfe Group"/>
    <n v="82.16"/>
    <n v="0.17696471316419402"/>
  </r>
  <r>
    <s v="ORD2214"/>
    <d v="2020-01-16T00:00:00"/>
    <x v="2"/>
    <s v="PROD136"/>
    <n v="905.36"/>
    <n v="664.48"/>
    <n v="15"/>
    <s v="Corporate"/>
    <s v="Evolve Innovative Web Services"/>
    <x v="2"/>
    <s v="Bush Inc"/>
    <n v="87.75"/>
    <n v="0.73394009012989314"/>
  </r>
  <r>
    <s v="ORD2215"/>
    <d v="2020-03-09T00:00:00"/>
    <x v="3"/>
    <s v="PROD142"/>
    <n v="1580.23"/>
    <n v="385.05"/>
    <n v="13"/>
    <s v="Small Business"/>
    <s v="Target Bricks-And-Clicks Channels"/>
    <x v="1"/>
    <s v="Dunn, Christensen and Meyer"/>
    <n v="126.86"/>
    <n v="0.2436670611240136"/>
  </r>
  <r>
    <s v="ORD2216"/>
    <d v="2020-05-02T00:00:00"/>
    <x v="0"/>
    <s v="PROD112"/>
    <n v="3483.78"/>
    <n v="87.31"/>
    <n v="14"/>
    <s v="Corporate"/>
    <s v="Seize Clicks-And-Mortar Platforms"/>
    <x v="0"/>
    <s v="Owens, Campos and Wood"/>
    <n v="271.16000000000003"/>
    <n v="2.5061858096665116E-2"/>
  </r>
  <r>
    <s v="ORD2217"/>
    <d v="2023-06-04T00:00:00"/>
    <x v="3"/>
    <s v="PROD108"/>
    <n v="461.45"/>
    <n v="612.34"/>
    <n v="12"/>
    <s v="Corporate"/>
    <s v="Synergize World-Class Networks"/>
    <x v="1"/>
    <s v="Gomez-Lawrence"/>
    <n v="72.37"/>
    <n v="1.3269910066096002"/>
  </r>
  <r>
    <s v="ORD2218"/>
    <d v="2020-04-18T00:00:00"/>
    <x v="2"/>
    <s v="PROD127"/>
    <n v="3220.35"/>
    <n v="559.67999999999995"/>
    <n v="11"/>
    <s v="Small Business"/>
    <s v="Deliver Viral Channels"/>
    <x v="2"/>
    <s v="Parker LLC"/>
    <n v="45.41"/>
    <n v="0.17379477385998415"/>
  </r>
  <r>
    <s v="ORD2219"/>
    <d v="2020-12-04T00:00:00"/>
    <x v="1"/>
    <s v="PROD166"/>
    <n v="1495.29"/>
    <n v="351.11"/>
    <n v="15"/>
    <s v="Small Business"/>
    <s v="Monetize Wireless Functionalities"/>
    <x v="2"/>
    <s v="Robinson, Rodriguez and Hernandez"/>
    <n v="162.22"/>
    <n v="0.23481063873897373"/>
  </r>
  <r>
    <s v="ORD2220"/>
    <d v="2024-09-30T00:00:00"/>
    <x v="1"/>
    <s v="PROD170"/>
    <n v="1946"/>
    <n v="458.49"/>
    <n v="1"/>
    <s v="Small Business"/>
    <s v="Deliver Sticky Networks"/>
    <x v="2"/>
    <s v="Massey LLC"/>
    <n v="272.33"/>
    <n v="0.23560637204522097"/>
  </r>
  <r>
    <s v="ORD2221"/>
    <d v="2024-01-27T00:00:00"/>
    <x v="3"/>
    <s v="PROD105"/>
    <n v="2156.21"/>
    <n v="320.95999999999998"/>
    <n v="16"/>
    <s v="Corporate"/>
    <s v="Transform Holistic Functionalities"/>
    <x v="0"/>
    <s v="Ruiz Ltd"/>
    <n v="179.27"/>
    <n v="0.14885377583816045"/>
  </r>
  <r>
    <s v="ORD2222"/>
    <d v="2022-08-06T00:00:00"/>
    <x v="0"/>
    <s v="PROD113"/>
    <n v="975.01"/>
    <n v="210.7"/>
    <n v="15"/>
    <s v="Corporate"/>
    <s v="Envisioneer B2B Users"/>
    <x v="0"/>
    <s v="Rogers Group"/>
    <n v="239.16"/>
    <n v="0.21610034768874165"/>
  </r>
  <r>
    <s v="ORD2223"/>
    <d v="2024-01-30T00:00:00"/>
    <x v="0"/>
    <s v="PROD107"/>
    <n v="4878.63"/>
    <n v="437.4"/>
    <n v="11"/>
    <s v="Small Business"/>
    <s v="Utilize Back-End Models"/>
    <x v="2"/>
    <s v="Lewis-Holden"/>
    <n v="241.53"/>
    <n v="8.9656317449775855E-2"/>
  </r>
  <r>
    <s v="ORD2224"/>
    <d v="2023-03-29T00:00:00"/>
    <x v="0"/>
    <s v="PROD194"/>
    <n v="4720.91"/>
    <n v="340.03"/>
    <n v="18"/>
    <s v="Corporate"/>
    <s v="Leverage Scalable Interfaces"/>
    <x v="0"/>
    <s v="Kaufman-Jones"/>
    <n v="73.33"/>
    <n v="7.2026367797733915E-2"/>
  </r>
  <r>
    <s v="ORD2225"/>
    <d v="2020-07-21T00:00:00"/>
    <x v="1"/>
    <s v="PROD136"/>
    <n v="1903"/>
    <n v="299.98"/>
    <n v="9"/>
    <s v="Corporate"/>
    <s v="Evolve Innovative Web Services"/>
    <x v="2"/>
    <s v="Bush Inc"/>
    <n v="87.75"/>
    <n v="0.15763531266421441"/>
  </r>
  <r>
    <s v="ORD2226"/>
    <d v="2021-06-07T00:00:00"/>
    <x v="0"/>
    <s v="PROD181"/>
    <n v="2982.74"/>
    <n v="939.43"/>
    <n v="17"/>
    <s v="Consumer"/>
    <s v="Extend Bricks-And-Clicks Niches"/>
    <x v="0"/>
    <s v="Hernandez-Rios"/>
    <n v="65.989999999999995"/>
    <n v="0.31495537660003892"/>
  </r>
  <r>
    <s v="ORD2227"/>
    <d v="2022-03-29T00:00:00"/>
    <x v="0"/>
    <s v="PROD103"/>
    <n v="2804.32"/>
    <n v="869.48"/>
    <n v="13"/>
    <s v="Small Business"/>
    <s v="Monetize Collaborative Metrics"/>
    <x v="1"/>
    <s v="Ramirez-Brown"/>
    <n v="286.04000000000002"/>
    <n v="0.31005020825012836"/>
  </r>
  <r>
    <s v="ORD2228"/>
    <d v="2020-09-11T00:00:00"/>
    <x v="2"/>
    <s v="PROD134"/>
    <n v="4870.88"/>
    <n v="584.35"/>
    <n v="18"/>
    <s v="Consumer"/>
    <s v="Utilize Ubiquitous Synergies"/>
    <x v="1"/>
    <s v="Kramer, Huang and Shaw"/>
    <n v="295.89999999999998"/>
    <n v="0.11996805505370693"/>
  </r>
  <r>
    <s v="ORD2229"/>
    <d v="2022-09-10T00:00:00"/>
    <x v="2"/>
    <s v="PROD104"/>
    <n v="989.2"/>
    <n v="549.99"/>
    <n v="5"/>
    <s v="Small Business"/>
    <s v="Implement Clicks-And-Mortar Partnerships"/>
    <x v="1"/>
    <s v="Smith Inc"/>
    <n v="195.53"/>
    <n v="0.55599474322684994"/>
  </r>
  <r>
    <s v="ORD2230"/>
    <d v="2021-08-23T00:00:00"/>
    <x v="2"/>
    <s v="PROD191"/>
    <n v="2329.9499999999998"/>
    <n v="347.15"/>
    <n v="10"/>
    <s v="Corporate"/>
    <s v="Synergize Frictionless Synergies"/>
    <x v="2"/>
    <s v="Hester and Sons"/>
    <n v="289.06"/>
    <n v="0.14899461361831798"/>
  </r>
  <r>
    <s v="ORD2231"/>
    <d v="2020-06-26T00:00:00"/>
    <x v="2"/>
    <s v="PROD120"/>
    <n v="117.19"/>
    <n v="780.01"/>
    <n v="3"/>
    <s v="Corporate"/>
    <s v="Mesh B2B Platforms"/>
    <x v="2"/>
    <s v="Stevens, Walton and Riddle"/>
    <n v="236.57"/>
    <n v="6.6559433398754164"/>
  </r>
  <r>
    <s v="ORD2232"/>
    <d v="2023-09-30T00:00:00"/>
    <x v="3"/>
    <s v="PROD148"/>
    <n v="1465.54"/>
    <n v="791.89"/>
    <n v="9"/>
    <s v="Corporate"/>
    <s v="Empower Seamless Roi"/>
    <x v="0"/>
    <s v="Proctor Group"/>
    <n v="266.64999999999998"/>
    <n v="0.5403400794246489"/>
  </r>
  <r>
    <s v="ORD2233"/>
    <d v="2024-07-13T00:00:00"/>
    <x v="0"/>
    <s v="PROD189"/>
    <n v="1727.86"/>
    <n v="804.52"/>
    <n v="8"/>
    <s v="Consumer"/>
    <s v="E-Enable Next-Generation Experiences"/>
    <x v="2"/>
    <s v="Sanchez-Quinn"/>
    <n v="266.93"/>
    <n v="0.46561642725683794"/>
  </r>
  <r>
    <s v="ORD2234"/>
    <d v="2021-08-02T00:00:00"/>
    <x v="2"/>
    <s v="PROD184"/>
    <n v="4983.3500000000004"/>
    <n v="231.45"/>
    <n v="13"/>
    <s v="Small Business"/>
    <s v="Embrace 24/365 Functionalities"/>
    <x v="0"/>
    <s v="Smith LLC"/>
    <n v="204.04"/>
    <n v="4.6444660720198254E-2"/>
  </r>
  <r>
    <s v="ORD2235"/>
    <d v="2020-01-14T00:00:00"/>
    <x v="1"/>
    <s v="PROD187"/>
    <n v="1637.1"/>
    <n v="965.32"/>
    <n v="8"/>
    <s v="Small Business"/>
    <s v="Whiteboard Compelling Experiences"/>
    <x v="2"/>
    <s v="Carrillo, Carr and Ball"/>
    <n v="206.54"/>
    <n v="0.58965243418239577"/>
  </r>
  <r>
    <s v="ORD2236"/>
    <d v="2022-12-30T00:00:00"/>
    <x v="0"/>
    <s v="PROD140"/>
    <n v="1786.66"/>
    <n v="842.11"/>
    <n v="16"/>
    <s v="Small Business"/>
    <s v="Extend Bricks-And-Clicks Architectures"/>
    <x v="2"/>
    <s v="Fuller PLC"/>
    <n v="202.99"/>
    <n v="0.47133198258202452"/>
  </r>
  <r>
    <s v="ORD2237"/>
    <d v="2024-08-21T00:00:00"/>
    <x v="2"/>
    <s v="PROD133"/>
    <n v="3084.8"/>
    <n v="345.32"/>
    <n v="17"/>
    <s v="Corporate"/>
    <s v="Re-Intermediate Seamless Applications"/>
    <x v="0"/>
    <s v="Welch-Reed"/>
    <n v="45.82"/>
    <n v="0.11194242738589211"/>
  </r>
  <r>
    <s v="ORD2238"/>
    <d v="2023-08-07T00:00:00"/>
    <x v="1"/>
    <s v="PROD160"/>
    <n v="4149.51"/>
    <n v="905.59"/>
    <n v="4"/>
    <s v="Consumer"/>
    <s v="Deliver Extensible Partnerships"/>
    <x v="2"/>
    <s v="Martin, Paul and Salazar"/>
    <n v="43.76"/>
    <n v="0.2182402259543898"/>
  </r>
  <r>
    <s v="ORD2239"/>
    <d v="2021-11-12T00:00:00"/>
    <x v="2"/>
    <s v="PROD180"/>
    <n v="2899.43"/>
    <n v="680.23"/>
    <n v="20"/>
    <s v="Corporate"/>
    <s v="Iterate Extensible Roi"/>
    <x v="0"/>
    <s v="Hill-Kelly"/>
    <n v="180"/>
    <n v="0.2346081816081092"/>
  </r>
  <r>
    <s v="ORD2240"/>
    <d v="2023-12-19T00:00:00"/>
    <x v="0"/>
    <s v="PROD189"/>
    <n v="1000.81"/>
    <n v="66.510000000000005"/>
    <n v="20"/>
    <s v="Consumer"/>
    <s v="E-Enable Next-Generation Experiences"/>
    <x v="2"/>
    <s v="Sanchez-Quinn"/>
    <n v="266.93"/>
    <n v="6.645617050189348E-2"/>
  </r>
  <r>
    <s v="ORD2241"/>
    <d v="2021-07-13T00:00:00"/>
    <x v="2"/>
    <s v="PROD182"/>
    <n v="1850.78"/>
    <n v="155.53"/>
    <n v="17"/>
    <s v="Small Business"/>
    <s v="Strategize Best-Of-Breed Web-Readiness"/>
    <x v="0"/>
    <s v="Morris, King and Ayers"/>
    <n v="220.16"/>
    <n v="8.4034839365024483E-2"/>
  </r>
  <r>
    <s v="ORD2242"/>
    <d v="2020-09-16T00:00:00"/>
    <x v="1"/>
    <s v="PROD140"/>
    <n v="1908.58"/>
    <n v="47.34"/>
    <n v="16"/>
    <s v="Small Business"/>
    <s v="Extend Bricks-And-Clicks Architectures"/>
    <x v="2"/>
    <s v="Fuller PLC"/>
    <n v="202.99"/>
    <n v="2.4803780821343619E-2"/>
  </r>
  <r>
    <s v="ORD2243"/>
    <d v="2021-03-04T00:00:00"/>
    <x v="1"/>
    <s v="PROD151"/>
    <n v="3316.4"/>
    <n v="969.09"/>
    <n v="4"/>
    <s v="Small Business"/>
    <s v="Re-Contextualize Viral Markets"/>
    <x v="1"/>
    <s v="Meadows-Barber"/>
    <n v="177.52"/>
    <n v="0.2922114340851526"/>
  </r>
  <r>
    <s v="ORD2244"/>
    <d v="2020-03-10T00:00:00"/>
    <x v="2"/>
    <s v="PROD184"/>
    <n v="1306.4100000000001"/>
    <n v="842.94"/>
    <n v="4"/>
    <s v="Corporate"/>
    <s v="Embrace 24/365 Functionalities"/>
    <x v="0"/>
    <s v="Smith LLC"/>
    <n v="204.04"/>
    <n v="0.64523388522745539"/>
  </r>
  <r>
    <s v="ORD2245"/>
    <d v="2024-08-08T00:00:00"/>
    <x v="0"/>
    <s v="PROD125"/>
    <n v="963.15"/>
    <n v="929.92"/>
    <n v="19"/>
    <s v="Corporate"/>
    <s v="Leverage Cutting-Edge Vortals"/>
    <x v="1"/>
    <s v="Robinson, Garrett and Chavez"/>
    <n v="117.3"/>
    <n v="0.96549862430566369"/>
  </r>
  <r>
    <s v="ORD2246"/>
    <d v="2022-11-14T00:00:00"/>
    <x v="2"/>
    <s v="PROD115"/>
    <n v="2910.76"/>
    <n v="393.58"/>
    <n v="17"/>
    <s v="Consumer"/>
    <s v="Morph World-Class Synergies"/>
    <x v="1"/>
    <s v="Bryant Ltd"/>
    <n v="20.69"/>
    <n v="0.13521554508100975"/>
  </r>
  <r>
    <s v="ORD2247"/>
    <d v="2022-02-18T00:00:00"/>
    <x v="1"/>
    <s v="PROD136"/>
    <n v="3757.57"/>
    <n v="290.97000000000003"/>
    <n v="13"/>
    <s v="Corporate"/>
    <s v="Evolve Innovative Web Services"/>
    <x v="2"/>
    <s v="Bush Inc"/>
    <n v="87.75"/>
    <n v="7.7435683167579053E-2"/>
  </r>
  <r>
    <s v="ORD2248"/>
    <d v="2023-07-26T00:00:00"/>
    <x v="0"/>
    <s v="PROD194"/>
    <n v="4086.36"/>
    <n v="631.30999999999995"/>
    <n v="19"/>
    <s v="Consumer"/>
    <s v="Leverage Scalable Interfaces"/>
    <x v="0"/>
    <s v="Kaufman-Jones"/>
    <n v="73.33"/>
    <n v="0.15449201734551041"/>
  </r>
  <r>
    <s v="ORD2249"/>
    <d v="2021-03-20T00:00:00"/>
    <x v="0"/>
    <s v="PROD189"/>
    <n v="3879.98"/>
    <n v="667.57"/>
    <n v="8"/>
    <s v="Consumer"/>
    <s v="E-Enable Next-Generation Experiences"/>
    <x v="2"/>
    <s v="Sanchez-Quinn"/>
    <n v="266.93"/>
    <n v="0.17205501059283812"/>
  </r>
  <r>
    <s v="ORD2250"/>
    <d v="2024-10-08T00:00:00"/>
    <x v="0"/>
    <s v="PROD146"/>
    <n v="3055.99"/>
    <n v="543.79999999999995"/>
    <n v="10"/>
    <s v="Small Business"/>
    <s v="Engage Rich Web-Readiness"/>
    <x v="0"/>
    <s v="Turner Inc"/>
    <n v="81.069999999999993"/>
    <n v="0.17794560846076066"/>
  </r>
  <r>
    <s v="ORD2251"/>
    <d v="2022-01-14T00:00:00"/>
    <x v="0"/>
    <s v="PROD169"/>
    <n v="795.45"/>
    <n v="927.69"/>
    <n v="1"/>
    <s v="Corporate"/>
    <s v="Unleash End-To-End Web Services"/>
    <x v="0"/>
    <s v="Jones Ltd"/>
    <n v="188.02"/>
    <n v="1.1662455214029794"/>
  </r>
  <r>
    <s v="ORD2252"/>
    <d v="2022-03-12T00:00:00"/>
    <x v="2"/>
    <s v="PROD192"/>
    <n v="274.33999999999997"/>
    <n v="182.11"/>
    <n v="16"/>
    <s v="Small Business"/>
    <s v="Drive Compelling E-Services"/>
    <x v="0"/>
    <s v="Morris-Villanueva"/>
    <n v="27.22"/>
    <n v="0.6638113290078006"/>
  </r>
  <r>
    <s v="ORD2253"/>
    <d v="2024-09-21T00:00:00"/>
    <x v="1"/>
    <s v="PROD156"/>
    <n v="3663.78"/>
    <n v="89.28"/>
    <n v="11"/>
    <s v="Consumer"/>
    <s v="Empower Killer Info-Mediaries"/>
    <x v="2"/>
    <s v="Jones Ltd"/>
    <n v="213.24"/>
    <n v="2.4368275387714328E-2"/>
  </r>
  <r>
    <s v="ORD2254"/>
    <d v="2024-06-11T00:00:00"/>
    <x v="1"/>
    <s v="PROD193"/>
    <n v="2642.3"/>
    <n v="50.54"/>
    <n v="10"/>
    <s v="Corporate"/>
    <s v="Innovate Sticky Web Services"/>
    <x v="1"/>
    <s v="Friedman, Sanders and Adams"/>
    <n v="125.85"/>
    <n v="1.9127275479695716E-2"/>
  </r>
  <r>
    <s v="ORD2255"/>
    <d v="2024-06-21T00:00:00"/>
    <x v="1"/>
    <s v="PROD114"/>
    <n v="4945.2299999999996"/>
    <n v="907.76"/>
    <n v="6"/>
    <s v="Consumer"/>
    <s v="Orchestrate User-Centric Platforms"/>
    <x v="2"/>
    <s v="Wells Ltd"/>
    <n v="201.87"/>
    <n v="0.18356274632322461"/>
  </r>
  <r>
    <s v="ORD2256"/>
    <d v="2021-01-12T00:00:00"/>
    <x v="3"/>
    <s v="PROD191"/>
    <n v="4237.2"/>
    <n v="564.54"/>
    <n v="20"/>
    <s v="Corporate"/>
    <s v="Synergize Frictionless Synergies"/>
    <x v="2"/>
    <s v="Hester and Sons"/>
    <n v="289.06"/>
    <n v="0.13323421127159443"/>
  </r>
  <r>
    <s v="ORD2257"/>
    <d v="2023-12-19T00:00:00"/>
    <x v="3"/>
    <s v="PROD127"/>
    <n v="3090.26"/>
    <n v="939.23"/>
    <n v="6"/>
    <s v="Consumer"/>
    <s v="Deliver Viral Channels"/>
    <x v="2"/>
    <s v="Parker LLC"/>
    <n v="45.41"/>
    <n v="0.30393235520635803"/>
  </r>
  <r>
    <s v="ORD2258"/>
    <d v="2023-11-23T00:00:00"/>
    <x v="3"/>
    <s v="PROD182"/>
    <n v="1986.78"/>
    <n v="626.26"/>
    <n v="16"/>
    <s v="Consumer"/>
    <s v="Strategize Best-Of-Breed Web-Readiness"/>
    <x v="0"/>
    <s v="Morris, King and Ayers"/>
    <n v="220.16"/>
    <n v="0.31521356164245662"/>
  </r>
  <r>
    <s v="ORD2259"/>
    <d v="2024-03-09T00:00:00"/>
    <x v="3"/>
    <s v="PROD157"/>
    <n v="650.85"/>
    <n v="255.79"/>
    <n v="17"/>
    <s v="Corporate"/>
    <s v="Implement Rich Platforms"/>
    <x v="1"/>
    <s v="Parker, Anderson and Salazar"/>
    <n v="53.59"/>
    <n v="0.39300914189137282"/>
  </r>
  <r>
    <s v="ORD2260"/>
    <d v="2020-02-07T00:00:00"/>
    <x v="1"/>
    <s v="PROD196"/>
    <n v="3528.12"/>
    <n v="124.66"/>
    <n v="15"/>
    <s v="Small Business"/>
    <s v="Strategize E-Business Content"/>
    <x v="1"/>
    <s v="Patterson LLC"/>
    <n v="294.02"/>
    <n v="3.5333265308436224E-2"/>
  </r>
  <r>
    <s v="ORD2261"/>
    <d v="2021-03-17T00:00:00"/>
    <x v="0"/>
    <s v="PROD190"/>
    <n v="599.54"/>
    <n v="930.28"/>
    <n v="15"/>
    <s v="Small Business"/>
    <s v="Repurpose End-To-End Networks"/>
    <x v="0"/>
    <s v="Torres-Rush"/>
    <n v="97.02"/>
    <n v="1.5516562698068519"/>
  </r>
  <r>
    <s v="ORD2262"/>
    <d v="2020-01-27T00:00:00"/>
    <x v="0"/>
    <s v="PROD178"/>
    <n v="2731.89"/>
    <n v="773.49"/>
    <n v="16"/>
    <s v="Small Business"/>
    <s v="Monetize Value-Added Niches"/>
    <x v="0"/>
    <s v="Foster, Velazquez and Lee"/>
    <n v="171.51"/>
    <n v="0.28313365472255475"/>
  </r>
  <r>
    <s v="ORD2263"/>
    <d v="2023-10-20T00:00:00"/>
    <x v="1"/>
    <s v="PROD107"/>
    <n v="1196.81"/>
    <n v="693.3"/>
    <n v="4"/>
    <s v="Corporate"/>
    <s v="Utilize Back-End Models"/>
    <x v="2"/>
    <s v="Lewis-Holden"/>
    <n v="241.53"/>
    <n v="0.57928994577251192"/>
  </r>
  <r>
    <s v="ORD2264"/>
    <d v="2022-08-01T00:00:00"/>
    <x v="0"/>
    <s v="PROD124"/>
    <n v="3656.81"/>
    <n v="665.04"/>
    <n v="16"/>
    <s v="Consumer"/>
    <s v="Incubate Real-Time E-Tailers"/>
    <x v="1"/>
    <s v="Johnson-Riley"/>
    <n v="86.67"/>
    <n v="0.18186342741351066"/>
  </r>
  <r>
    <s v="ORD2265"/>
    <d v="2021-08-04T00:00:00"/>
    <x v="2"/>
    <s v="PROD187"/>
    <n v="3479.83"/>
    <n v="574.5"/>
    <n v="11"/>
    <s v="Consumer"/>
    <s v="Whiteboard Compelling Experiences"/>
    <x v="2"/>
    <s v="Carrillo, Carr and Ball"/>
    <n v="206.54"/>
    <n v="0.16509427184661321"/>
  </r>
  <r>
    <s v="ORD2266"/>
    <d v="2022-04-30T00:00:00"/>
    <x v="1"/>
    <s v="PROD120"/>
    <n v="3062.28"/>
    <n v="187.22"/>
    <n v="11"/>
    <s v="Corporate"/>
    <s v="Mesh B2B Platforms"/>
    <x v="2"/>
    <s v="Stevens, Walton and Riddle"/>
    <n v="236.57"/>
    <n v="6.113745313949083E-2"/>
  </r>
  <r>
    <s v="ORD2267"/>
    <d v="2024-05-08T00:00:00"/>
    <x v="3"/>
    <s v="PROD130"/>
    <n v="4970.13"/>
    <n v="659.89"/>
    <n v="19"/>
    <s v="Corporate"/>
    <s v="Synthesize Wireless Initiatives"/>
    <x v="1"/>
    <s v="Mosley Ltd"/>
    <n v="162.69999999999999"/>
    <n v="0.13277117499944668"/>
  </r>
  <r>
    <s v="ORD2268"/>
    <d v="2021-12-06T00:00:00"/>
    <x v="3"/>
    <s v="PROD101"/>
    <n v="2705.12"/>
    <n v="151.18"/>
    <n v="9"/>
    <s v="Corporate"/>
    <s v="Harness Proactive Eyeballs"/>
    <x v="1"/>
    <s v="Moran and Sons"/>
    <n v="58.01"/>
    <n v="5.5886615011533691E-2"/>
  </r>
  <r>
    <s v="ORD2269"/>
    <d v="2020-08-04T00:00:00"/>
    <x v="2"/>
    <s v="PROD156"/>
    <n v="3803.11"/>
    <n v="727.79"/>
    <n v="17"/>
    <s v="Corporate"/>
    <s v="Empower Killer Info-Mediaries"/>
    <x v="2"/>
    <s v="Jones Ltd"/>
    <n v="213.24"/>
    <n v="0.19136706537544271"/>
  </r>
  <r>
    <s v="ORD2270"/>
    <d v="2022-03-25T00:00:00"/>
    <x v="2"/>
    <s v="PROD178"/>
    <n v="3476.26"/>
    <n v="856.89"/>
    <n v="19"/>
    <s v="Corporate"/>
    <s v="Monetize Value-Added Niches"/>
    <x v="0"/>
    <s v="Foster, Velazquez and Lee"/>
    <n v="171.51"/>
    <n v="0.24649767278627027"/>
  </r>
  <r>
    <s v="ORD2271"/>
    <d v="2024-01-06T00:00:00"/>
    <x v="0"/>
    <s v="PROD110"/>
    <n v="2891.3"/>
    <n v="709.48"/>
    <n v="9"/>
    <s v="Small Business"/>
    <s v="E-Enable Holistic Supply-Chains"/>
    <x v="2"/>
    <s v="Lin-Mcdaniel"/>
    <n v="160.33000000000001"/>
    <n v="0.2453844291495175"/>
  </r>
  <r>
    <s v="ORD2272"/>
    <d v="2023-12-27T00:00:00"/>
    <x v="1"/>
    <s v="PROD176"/>
    <n v="2801.11"/>
    <n v="379.06"/>
    <n v="15"/>
    <s v="Corporate"/>
    <s v="Facilitate Integrated E-Business"/>
    <x v="0"/>
    <s v="Chang-Vargas"/>
    <n v="130.33000000000001"/>
    <n v="0.13532492476196936"/>
  </r>
  <r>
    <s v="ORD2273"/>
    <d v="2022-09-24T00:00:00"/>
    <x v="3"/>
    <s v="PROD171"/>
    <n v="4947.2"/>
    <n v="372.13"/>
    <n v="6"/>
    <s v="Small Business"/>
    <s v="Scale 24/365 Networks"/>
    <x v="2"/>
    <s v="Kim-Hamilton"/>
    <n v="157.55000000000001"/>
    <n v="7.5220326649417857E-2"/>
  </r>
  <r>
    <s v="ORD2274"/>
    <d v="2022-06-27T00:00:00"/>
    <x v="0"/>
    <s v="PROD158"/>
    <n v="611.11"/>
    <n v="874.38"/>
    <n v="16"/>
    <s v="Small Business"/>
    <s v="Brand Web-Enabled Solutions"/>
    <x v="1"/>
    <s v="Russell Group"/>
    <n v="51.67"/>
    <n v="1.4308062378295232"/>
  </r>
  <r>
    <s v="ORD2275"/>
    <d v="2023-07-19T00:00:00"/>
    <x v="2"/>
    <s v="PROD174"/>
    <n v="73.989999999999995"/>
    <n v="197.39"/>
    <n v="20"/>
    <s v="Corporate"/>
    <s v="Disintermediate Scalable Bandwidth"/>
    <x v="1"/>
    <s v="Levy PLC"/>
    <n v="19.86"/>
    <n v="2.6677929449925664"/>
  </r>
  <r>
    <s v="ORD2276"/>
    <d v="2024-04-30T00:00:00"/>
    <x v="1"/>
    <s v="PROD189"/>
    <n v="1677.08"/>
    <n v="639.79999999999995"/>
    <n v="8"/>
    <s v="Consumer"/>
    <s v="E-Enable Next-Generation Experiences"/>
    <x v="2"/>
    <s v="Sanchez-Quinn"/>
    <n v="266.93"/>
    <n v="0.38149641042764804"/>
  </r>
  <r>
    <s v="ORD2277"/>
    <d v="2022-04-23T00:00:00"/>
    <x v="0"/>
    <s v="PROD107"/>
    <n v="2948.38"/>
    <n v="108.02"/>
    <n v="8"/>
    <s v="Corporate"/>
    <s v="Utilize Back-End Models"/>
    <x v="2"/>
    <s v="Lewis-Holden"/>
    <n v="241.53"/>
    <n v="3.6637068491849757E-2"/>
  </r>
  <r>
    <s v="ORD2278"/>
    <d v="2021-08-14T00:00:00"/>
    <x v="2"/>
    <s v="PROD194"/>
    <n v="1883.36"/>
    <n v="529.99"/>
    <n v="3"/>
    <s v="Corporate"/>
    <s v="Leverage Scalable Interfaces"/>
    <x v="0"/>
    <s v="Kaufman-Jones"/>
    <n v="73.33"/>
    <n v="0.2814066349503016"/>
  </r>
  <r>
    <s v="ORD2279"/>
    <d v="2024-03-12T00:00:00"/>
    <x v="1"/>
    <s v="PROD135"/>
    <n v="635.32000000000005"/>
    <n v="91.47"/>
    <n v="11"/>
    <s v="Small Business"/>
    <s v="Optimize 24/365 E-Services"/>
    <x v="0"/>
    <s v="Chase Ltd"/>
    <n v="100.35"/>
    <n v="0.14397468992004028"/>
  </r>
  <r>
    <s v="ORD2280"/>
    <d v="2024-05-18T00:00:00"/>
    <x v="2"/>
    <s v="PROD165"/>
    <n v="137.6"/>
    <n v="17.11"/>
    <n v="18"/>
    <s v="Small Business"/>
    <s v="Benchmark Cross-Platform Markets"/>
    <x v="2"/>
    <s v="Murphy, Mathews and Wilson"/>
    <n v="78.88"/>
    <n v="0.12434593023255815"/>
  </r>
  <r>
    <s v="ORD2281"/>
    <d v="2021-08-02T00:00:00"/>
    <x v="0"/>
    <s v="PROD144"/>
    <n v="4045.55"/>
    <n v="261.7"/>
    <n v="12"/>
    <s v="Consumer"/>
    <s v="Expedite Synergistic Web-Readiness"/>
    <x v="1"/>
    <s v="Dunlap, Carpenter and Monroe"/>
    <n v="289.66000000000003"/>
    <n v="6.4688361285857296E-2"/>
  </r>
  <r>
    <s v="ORD2282"/>
    <d v="2023-08-31T00:00:00"/>
    <x v="3"/>
    <s v="PROD181"/>
    <n v="949.84"/>
    <n v="894.84"/>
    <n v="14"/>
    <s v="Corporate"/>
    <s v="Extend Bricks-And-Clicks Niches"/>
    <x v="0"/>
    <s v="Hernandez-Rios"/>
    <n v="65.989999999999995"/>
    <n v="0.94209551082287546"/>
  </r>
  <r>
    <s v="ORD2283"/>
    <d v="2023-11-26T00:00:00"/>
    <x v="2"/>
    <s v="PROD130"/>
    <n v="349.9"/>
    <n v="736.48"/>
    <n v="18"/>
    <s v="Corporate"/>
    <s v="Synthesize Wireless Initiatives"/>
    <x v="1"/>
    <s v="Mosley Ltd"/>
    <n v="162.69999999999999"/>
    <n v="2.1048299514146902"/>
  </r>
  <r>
    <s v="ORD2284"/>
    <d v="2022-11-23T00:00:00"/>
    <x v="3"/>
    <s v="PROD113"/>
    <n v="3533.16"/>
    <n v="343.68"/>
    <n v="19"/>
    <s v="Small Business"/>
    <s v="Envisioneer B2B Users"/>
    <x v="0"/>
    <s v="Rogers Group"/>
    <n v="239.16"/>
    <n v="9.7272696396426994E-2"/>
  </r>
  <r>
    <s v="ORD2285"/>
    <d v="2020-05-26T00:00:00"/>
    <x v="2"/>
    <s v="PROD156"/>
    <n v="999.12"/>
    <n v="44.32"/>
    <n v="13"/>
    <s v="Small Business"/>
    <s v="Empower Killer Info-Mediaries"/>
    <x v="2"/>
    <s v="Jones Ltd"/>
    <n v="213.24"/>
    <n v="4.4359035951637441E-2"/>
  </r>
  <r>
    <s v="ORD2286"/>
    <d v="2024-06-22T00:00:00"/>
    <x v="1"/>
    <s v="PROD107"/>
    <n v="1560.28"/>
    <n v="206.34"/>
    <n v="12"/>
    <s v="Corporate"/>
    <s v="Utilize Back-End Models"/>
    <x v="2"/>
    <s v="Lewis-Holden"/>
    <n v="241.53"/>
    <n v="0.1322454943984413"/>
  </r>
  <r>
    <s v="ORD2287"/>
    <d v="2021-07-22T00:00:00"/>
    <x v="1"/>
    <s v="PROD145"/>
    <n v="991.59"/>
    <n v="424.68"/>
    <n v="1"/>
    <s v="Corporate"/>
    <s v="Innovate Strategic Systems"/>
    <x v="0"/>
    <s v="Mcfarland, Parker and Armstrong"/>
    <n v="70.239999999999995"/>
    <n v="0.42828185036154054"/>
  </r>
  <r>
    <s v="ORD2288"/>
    <d v="2022-05-06T00:00:00"/>
    <x v="3"/>
    <s v="PROD186"/>
    <n v="4152.8900000000003"/>
    <n v="570.71"/>
    <n v="15"/>
    <s v="Corporate"/>
    <s v="Reinvent Mission-Critical Markets"/>
    <x v="2"/>
    <s v="Gilbert-Sanders"/>
    <n v="154.21"/>
    <n v="0.13742478129687999"/>
  </r>
  <r>
    <s v="ORD2289"/>
    <d v="2024-06-12T00:00:00"/>
    <x v="3"/>
    <s v="PROD175"/>
    <n v="3818.6"/>
    <n v="877.22"/>
    <n v="14"/>
    <s v="Small Business"/>
    <s v="Empower Bleeding-Edge Action-Items"/>
    <x v="2"/>
    <s v="Gray, Hayes and Banks"/>
    <n v="204.26"/>
    <n v="0.22972293510710734"/>
  </r>
  <r>
    <s v="ORD2290"/>
    <d v="2020-06-01T00:00:00"/>
    <x v="0"/>
    <s v="PROD179"/>
    <n v="3085.62"/>
    <n v="219.19"/>
    <n v="20"/>
    <s v="Small Business"/>
    <s v="Target Viral Methodologies"/>
    <x v="1"/>
    <s v="Alvarez, Myers and Walter"/>
    <n v="149.26"/>
    <n v="7.1035966839727516E-2"/>
  </r>
  <r>
    <s v="ORD2291"/>
    <d v="2020-12-26T00:00:00"/>
    <x v="2"/>
    <s v="PROD150"/>
    <n v="2819.54"/>
    <n v="43.46"/>
    <n v="11"/>
    <s v="Small Business"/>
    <s v="Evolve Intuitive Bandwidth"/>
    <x v="0"/>
    <s v="Rogers Group"/>
    <n v="131.63"/>
    <n v="1.5413861835618577E-2"/>
  </r>
  <r>
    <s v="ORD2292"/>
    <d v="2022-09-23T00:00:00"/>
    <x v="2"/>
    <s v="PROD183"/>
    <n v="4514.0600000000004"/>
    <n v="894.84"/>
    <n v="5"/>
    <s v="Consumer"/>
    <s v="Incentivize Front-End Mindshare"/>
    <x v="1"/>
    <s v="Phillips-Tran"/>
    <n v="196.86"/>
    <n v="0.19823396233102794"/>
  </r>
  <r>
    <s v="ORD2293"/>
    <d v="2023-01-24T00:00:00"/>
    <x v="1"/>
    <s v="PROD173"/>
    <n v="1718.04"/>
    <n v="221.54"/>
    <n v="9"/>
    <s v="Consumer"/>
    <s v="Whiteboard Sticky Content"/>
    <x v="2"/>
    <s v="Wolfe Group"/>
    <n v="82.16"/>
    <n v="0.12894926777024981"/>
  </r>
  <r>
    <s v="ORD2294"/>
    <d v="2023-02-05T00:00:00"/>
    <x v="0"/>
    <s v="PROD127"/>
    <n v="2774.56"/>
    <n v="412.94"/>
    <n v="14"/>
    <s v="Consumer"/>
    <s v="Deliver Viral Channels"/>
    <x v="2"/>
    <s v="Parker LLC"/>
    <n v="45.41"/>
    <n v="0.14883080560521308"/>
  </r>
  <r>
    <s v="ORD2295"/>
    <d v="2022-08-04T00:00:00"/>
    <x v="1"/>
    <s v="PROD159"/>
    <n v="4913.29"/>
    <n v="309.33"/>
    <n v="11"/>
    <s v="Small Business"/>
    <s v="Mesh Intuitive Supply-Chains"/>
    <x v="1"/>
    <s v="Soto, Barnett and Heath"/>
    <n v="281"/>
    <n v="6.2957814417630542E-2"/>
  </r>
  <r>
    <s v="ORD2296"/>
    <d v="2023-05-07T00:00:00"/>
    <x v="2"/>
    <s v="PROD136"/>
    <n v="1694.8"/>
    <n v="542.99"/>
    <n v="11"/>
    <s v="Consumer"/>
    <s v="Evolve Innovative Web Services"/>
    <x v="2"/>
    <s v="Bush Inc"/>
    <n v="87.75"/>
    <n v="0.32038588624026437"/>
  </r>
  <r>
    <s v="ORD2297"/>
    <d v="2022-06-30T00:00:00"/>
    <x v="3"/>
    <s v="PROD106"/>
    <n v="3612.43"/>
    <n v="773.82"/>
    <n v="14"/>
    <s v="Consumer"/>
    <s v="Synergize End-To-End Supply-Chains"/>
    <x v="0"/>
    <s v="Higgins-Espinoza"/>
    <n v="279.8"/>
    <n v="0.21421037916305646"/>
  </r>
  <r>
    <s v="ORD2298"/>
    <d v="2022-03-17T00:00:00"/>
    <x v="1"/>
    <s v="PROD162"/>
    <n v="3954.43"/>
    <n v="116.53"/>
    <n v="2"/>
    <s v="Corporate"/>
    <s v="Reinvent Visionary Niches"/>
    <x v="2"/>
    <s v="Huber-Richmond"/>
    <n v="219.81"/>
    <n v="2.946821665827945E-2"/>
  </r>
  <r>
    <s v="ORD2299"/>
    <d v="2021-09-23T00:00:00"/>
    <x v="3"/>
    <s v="PROD165"/>
    <n v="2839.64"/>
    <n v="944.14"/>
    <n v="15"/>
    <s v="Small Business"/>
    <s v="Benchmark Cross-Platform Markets"/>
    <x v="2"/>
    <s v="Murphy, Mathews and Wilson"/>
    <n v="78.88"/>
    <n v="0.33248580806017664"/>
  </r>
  <r>
    <s v="ORD2300"/>
    <d v="2024-11-03T00:00:00"/>
    <x v="0"/>
    <s v="PROD160"/>
    <n v="1676.44"/>
    <n v="142.09"/>
    <n v="3"/>
    <s v="Consumer"/>
    <s v="Deliver Extensible Partnerships"/>
    <x v="2"/>
    <s v="Martin, Paul and Salazar"/>
    <n v="43.76"/>
    <n v="8.4756985039727034E-2"/>
  </r>
  <r>
    <s v="ORD2301"/>
    <d v="2020-04-10T00:00:00"/>
    <x v="3"/>
    <s v="PROD150"/>
    <n v="2521.7199999999998"/>
    <n v="852.45"/>
    <n v="18"/>
    <s v="Consumer"/>
    <s v="Evolve Intuitive Bandwidth"/>
    <x v="0"/>
    <s v="Rogers Group"/>
    <n v="131.63"/>
    <n v="0.33804308170613712"/>
  </r>
  <r>
    <s v="ORD2302"/>
    <d v="2023-01-07T00:00:00"/>
    <x v="0"/>
    <s v="PROD188"/>
    <n v="988.15"/>
    <n v="653.83000000000004"/>
    <n v="19"/>
    <s v="Corporate"/>
    <s v="Transition Mission-Critical Interfaces"/>
    <x v="0"/>
    <s v="Weaver Ltd"/>
    <n v="34.64"/>
    <n v="0.66167079896776815"/>
  </r>
  <r>
    <s v="ORD2303"/>
    <d v="2024-08-05T00:00:00"/>
    <x v="1"/>
    <s v="PROD152"/>
    <n v="4876.68"/>
    <n v="787.63"/>
    <n v="2"/>
    <s v="Small Business"/>
    <s v="Reinvent Frictionless Roi"/>
    <x v="2"/>
    <s v="Bridges, Castillo and Rodriguez"/>
    <n v="253.89"/>
    <n v="0.16150946955715773"/>
  </r>
  <r>
    <s v="ORD2304"/>
    <d v="2022-05-14T00:00:00"/>
    <x v="3"/>
    <s v="PROD148"/>
    <n v="1952.36"/>
    <n v="408.24"/>
    <n v="12"/>
    <s v="Consumer"/>
    <s v="Empower Seamless Roi"/>
    <x v="0"/>
    <s v="Proctor Group"/>
    <n v="266.64999999999998"/>
    <n v="0.20910078059374299"/>
  </r>
  <r>
    <s v="ORD2305"/>
    <d v="2020-08-22T00:00:00"/>
    <x v="3"/>
    <s v="PROD112"/>
    <n v="146.65"/>
    <n v="996.47"/>
    <n v="10"/>
    <s v="Corporate"/>
    <s v="Seize Clicks-And-Mortar Platforms"/>
    <x v="0"/>
    <s v="Owens, Campos and Wood"/>
    <n v="271.16000000000003"/>
    <n v="6.7948857824752809"/>
  </r>
  <r>
    <s v="ORD2306"/>
    <d v="2022-01-22T00:00:00"/>
    <x v="2"/>
    <s v="PROD134"/>
    <n v="3347.93"/>
    <n v="184.94"/>
    <n v="4"/>
    <s v="Small Business"/>
    <s v="Utilize Ubiquitous Synergies"/>
    <x v="1"/>
    <s v="Kramer, Huang and Shaw"/>
    <n v="295.89999999999998"/>
    <n v="5.5240103586395174E-2"/>
  </r>
  <r>
    <s v="ORD2307"/>
    <d v="2023-01-05T00:00:00"/>
    <x v="3"/>
    <s v="PROD161"/>
    <n v="2464.44"/>
    <n v="94.68"/>
    <n v="6"/>
    <s v="Corporate"/>
    <s v="Synergize E-Business Deliverables"/>
    <x v="1"/>
    <s v="Crawford, Warren and Williams"/>
    <n v="125.93"/>
    <n v="3.8418464235282661E-2"/>
  </r>
  <r>
    <s v="ORD2308"/>
    <d v="2024-08-17T00:00:00"/>
    <x v="3"/>
    <s v="PROD182"/>
    <n v="2158.13"/>
    <n v="192.61"/>
    <n v="11"/>
    <s v="Consumer"/>
    <s v="Strategize Best-Of-Breed Web-Readiness"/>
    <x v="0"/>
    <s v="Morris, King and Ayers"/>
    <n v="220.16"/>
    <n v="8.9248562412829621E-2"/>
  </r>
  <r>
    <s v="ORD2309"/>
    <d v="2021-08-23T00:00:00"/>
    <x v="1"/>
    <s v="PROD164"/>
    <n v="2391.35"/>
    <n v="297.77999999999997"/>
    <n v="14"/>
    <s v="Consumer"/>
    <s v="Transition Compelling Web-Readiness"/>
    <x v="2"/>
    <s v="Wood-Beck"/>
    <n v="88.34"/>
    <n v="0.12452380454554958"/>
  </r>
  <r>
    <s v="ORD2310"/>
    <d v="2024-04-09T00:00:00"/>
    <x v="0"/>
    <s v="PROD180"/>
    <n v="2914.2"/>
    <n v="364.28"/>
    <n v="10"/>
    <s v="Small Business"/>
    <s v="Iterate Extensible Roi"/>
    <x v="0"/>
    <s v="Hill-Kelly"/>
    <n v="180"/>
    <n v="0.12500171573673735"/>
  </r>
  <r>
    <s v="ORD2311"/>
    <d v="2023-10-25T00:00:00"/>
    <x v="2"/>
    <s v="PROD183"/>
    <n v="1427.25"/>
    <n v="244.08"/>
    <n v="12"/>
    <s v="Consumer"/>
    <s v="Incentivize Front-End Mindshare"/>
    <x v="1"/>
    <s v="Phillips-Tran"/>
    <n v="196.86"/>
    <n v="0.17101418812401473"/>
  </r>
  <r>
    <s v="ORD2312"/>
    <d v="2023-12-09T00:00:00"/>
    <x v="3"/>
    <s v="PROD107"/>
    <n v="975.89"/>
    <n v="633.19000000000005"/>
    <n v="1"/>
    <s v="Consumer"/>
    <s v="Utilize Back-End Models"/>
    <x v="2"/>
    <s v="Lewis-Holden"/>
    <n v="241.53"/>
    <n v="0.64883337261371676"/>
  </r>
  <r>
    <s v="ORD2313"/>
    <d v="2020-01-27T00:00:00"/>
    <x v="3"/>
    <s v="PROD103"/>
    <n v="4406.5600000000004"/>
    <n v="577.14"/>
    <n v="12"/>
    <s v="Small Business"/>
    <s v="Monetize Collaborative Metrics"/>
    <x v="1"/>
    <s v="Ramirez-Brown"/>
    <n v="286.04000000000002"/>
    <n v="0.13097291311136122"/>
  </r>
  <r>
    <s v="ORD2314"/>
    <d v="2020-08-15T00:00:00"/>
    <x v="2"/>
    <s v="PROD158"/>
    <n v="1825.35"/>
    <n v="918.03"/>
    <n v="14"/>
    <s v="Small Business"/>
    <s v="Brand Web-Enabled Solutions"/>
    <x v="1"/>
    <s v="Russell Group"/>
    <n v="51.67"/>
    <n v="0.50293368395102311"/>
  </r>
  <r>
    <s v="ORD2315"/>
    <d v="2021-05-01T00:00:00"/>
    <x v="0"/>
    <s v="PROD119"/>
    <n v="4381.45"/>
    <n v="236.99"/>
    <n v="9"/>
    <s v="Corporate"/>
    <s v="Generate Front-End Functionalities"/>
    <x v="0"/>
    <s v="Morales-Brown"/>
    <n v="299.77"/>
    <n v="5.4089399627977042E-2"/>
  </r>
  <r>
    <s v="ORD2316"/>
    <d v="2024-07-05T00:00:00"/>
    <x v="0"/>
    <s v="PROD155"/>
    <n v="2751.87"/>
    <n v="440.78"/>
    <n v="8"/>
    <s v="Small Business"/>
    <s v="Incentivize User-Centric Mindshare"/>
    <x v="1"/>
    <s v="Becker, Wright and Wong"/>
    <n v="38.51"/>
    <n v="0.16017471755569848"/>
  </r>
  <r>
    <s v="ORD2317"/>
    <d v="2021-06-19T00:00:00"/>
    <x v="1"/>
    <s v="PROD103"/>
    <n v="4125.9799999999996"/>
    <n v="622.61"/>
    <n v="1"/>
    <s v="Small Business"/>
    <s v="Monetize Collaborative Metrics"/>
    <x v="1"/>
    <s v="Ramirez-Brown"/>
    <n v="286.04000000000002"/>
    <n v="0.15089990741593515"/>
  </r>
  <r>
    <s v="ORD2318"/>
    <d v="2024-02-05T00:00:00"/>
    <x v="2"/>
    <s v="PROD167"/>
    <n v="1030.58"/>
    <n v="504.45"/>
    <n v="1"/>
    <s v="Corporate"/>
    <s v="Grow Synergistic Infrastructures"/>
    <x v="2"/>
    <s v="Adams-Carter"/>
    <n v="113.17"/>
    <n v="0.4894816511090842"/>
  </r>
  <r>
    <s v="ORD2319"/>
    <d v="2020-09-22T00:00:00"/>
    <x v="1"/>
    <s v="PROD163"/>
    <n v="509.87"/>
    <n v="302.38"/>
    <n v="1"/>
    <s v="Corporate"/>
    <s v="Grow Back-End Supply-Chains"/>
    <x v="1"/>
    <s v="Green LLC"/>
    <n v="140.08000000000001"/>
    <n v="0.59305313119030345"/>
  </r>
  <r>
    <s v="ORD2320"/>
    <d v="2022-05-03T00:00:00"/>
    <x v="3"/>
    <s v="PROD151"/>
    <n v="3134.86"/>
    <n v="542.88"/>
    <n v="15"/>
    <s v="Corporate"/>
    <s v="Re-Contextualize Viral Markets"/>
    <x v="1"/>
    <s v="Meadows-Barber"/>
    <n v="177.52"/>
    <n v="0.17317519761648048"/>
  </r>
  <r>
    <s v="ORD2321"/>
    <d v="2020-07-25T00:00:00"/>
    <x v="2"/>
    <s v="PROD194"/>
    <n v="1075.05"/>
    <n v="227.64"/>
    <n v="11"/>
    <s v="Corporate"/>
    <s v="Leverage Scalable Interfaces"/>
    <x v="0"/>
    <s v="Kaufman-Jones"/>
    <n v="73.33"/>
    <n v="0.21174829077717316"/>
  </r>
  <r>
    <s v="ORD2322"/>
    <d v="2021-01-30T00:00:00"/>
    <x v="0"/>
    <s v="PROD111"/>
    <n v="4501.5200000000004"/>
    <n v="523.86"/>
    <n v="8"/>
    <s v="Corporate"/>
    <s v="Harness Revolutionary Interfaces"/>
    <x v="2"/>
    <s v="Davis, Short and Nguyen"/>
    <n v="26.49"/>
    <n v="0.11637402477385415"/>
  </r>
  <r>
    <s v="ORD2323"/>
    <d v="2021-06-27T00:00:00"/>
    <x v="2"/>
    <s v="PROD197"/>
    <n v="998.4"/>
    <n v="966.66"/>
    <n v="1"/>
    <s v="Corporate"/>
    <s v="Leverage Rich Portals"/>
    <x v="0"/>
    <s v="Wilson PLC"/>
    <n v="46.35"/>
    <n v="0.9682091346153846"/>
  </r>
  <r>
    <s v="ORD2324"/>
    <d v="2021-06-12T00:00:00"/>
    <x v="1"/>
    <s v="PROD124"/>
    <n v="3582.04"/>
    <n v="724.98"/>
    <n v="6"/>
    <s v="Small Business"/>
    <s v="Incubate Real-Time E-Tailers"/>
    <x v="1"/>
    <s v="Johnson-Riley"/>
    <n v="86.67"/>
    <n v="0.20239304977052183"/>
  </r>
  <r>
    <s v="ORD2325"/>
    <d v="2022-06-13T00:00:00"/>
    <x v="3"/>
    <s v="PROD120"/>
    <n v="1007.54"/>
    <n v="578.99"/>
    <n v="3"/>
    <s v="Consumer"/>
    <s v="Mesh B2B Platforms"/>
    <x v="2"/>
    <s v="Stevens, Walton and Riddle"/>
    <n v="236.57"/>
    <n v="0.57465708557476625"/>
  </r>
  <r>
    <s v="ORD2326"/>
    <d v="2023-07-20T00:00:00"/>
    <x v="2"/>
    <s v="PROD187"/>
    <n v="1906.57"/>
    <n v="803.21"/>
    <n v="11"/>
    <s v="Consumer"/>
    <s v="Whiteboard Compelling Experiences"/>
    <x v="2"/>
    <s v="Carrillo, Carr and Ball"/>
    <n v="206.54"/>
    <n v="0.42128534488636665"/>
  </r>
  <r>
    <s v="ORD2327"/>
    <d v="2022-07-28T00:00:00"/>
    <x v="3"/>
    <s v="PROD170"/>
    <n v="1671.63"/>
    <n v="794.06"/>
    <n v="1"/>
    <s v="Corporate"/>
    <s v="Deliver Sticky Networks"/>
    <x v="2"/>
    <s v="Massey LLC"/>
    <n v="272.33"/>
    <n v="0.4750213863115641"/>
  </r>
  <r>
    <s v="ORD2328"/>
    <d v="2021-09-30T00:00:00"/>
    <x v="2"/>
    <s v="PROD174"/>
    <n v="1768.41"/>
    <n v="777.41"/>
    <n v="13"/>
    <s v="Small Business"/>
    <s v="Disintermediate Scalable Bandwidth"/>
    <x v="1"/>
    <s v="Levy PLC"/>
    <n v="19.86"/>
    <n v="0.43960959279805017"/>
  </r>
  <r>
    <s v="ORD2329"/>
    <d v="2022-07-30T00:00:00"/>
    <x v="2"/>
    <s v="PROD174"/>
    <n v="2972.1"/>
    <n v="919.64"/>
    <n v="15"/>
    <s v="Corporate"/>
    <s v="Disintermediate Scalable Bandwidth"/>
    <x v="1"/>
    <s v="Levy PLC"/>
    <n v="19.86"/>
    <n v="0.3094243127754786"/>
  </r>
  <r>
    <s v="ORD2330"/>
    <d v="2023-08-19T00:00:00"/>
    <x v="3"/>
    <s v="PROD104"/>
    <n v="1121.1099999999999"/>
    <n v="181.2"/>
    <n v="13"/>
    <s v="Consumer"/>
    <s v="Implement Clicks-And-Mortar Partnerships"/>
    <x v="1"/>
    <s v="Smith Inc"/>
    <n v="195.53"/>
    <n v="0.16162553183898101"/>
  </r>
  <r>
    <s v="ORD2331"/>
    <d v="2020-05-06T00:00:00"/>
    <x v="0"/>
    <s v="PROD171"/>
    <n v="4338.03"/>
    <n v="899.2"/>
    <n v="12"/>
    <s v="Corporate"/>
    <s v="Scale 24/365 Networks"/>
    <x v="2"/>
    <s v="Kim-Hamilton"/>
    <n v="157.55000000000001"/>
    <n v="0.20728302939352658"/>
  </r>
  <r>
    <s v="ORD2332"/>
    <d v="2020-08-05T00:00:00"/>
    <x v="3"/>
    <s v="PROD154"/>
    <n v="1176.3699999999999"/>
    <n v="311.56"/>
    <n v="20"/>
    <s v="Corporate"/>
    <s v="Utilize Virtual Partnerships"/>
    <x v="2"/>
    <s v="Smith, Diaz and Heath"/>
    <n v="193.02"/>
    <n v="0.26484864455910984"/>
  </r>
  <r>
    <s v="ORD2333"/>
    <d v="2022-01-07T00:00:00"/>
    <x v="0"/>
    <s v="PROD153"/>
    <n v="2027.46"/>
    <n v="67.78"/>
    <n v="3"/>
    <s v="Consumer"/>
    <s v="Seize Plug-And-Play Web-Readiness"/>
    <x v="1"/>
    <s v="Joseph, Mayer and Carr"/>
    <n v="102.73"/>
    <n v="3.3430992473341026E-2"/>
  </r>
  <r>
    <s v="ORD2334"/>
    <d v="2020-11-13T00:00:00"/>
    <x v="3"/>
    <s v="PROD149"/>
    <n v="1938.15"/>
    <n v="245.1"/>
    <n v="14"/>
    <s v="Corporate"/>
    <s v="Envisioneer B2C Web-Readiness"/>
    <x v="1"/>
    <s v="Kemp Group"/>
    <n v="97.23"/>
    <n v="0.12646080024765885"/>
  </r>
  <r>
    <s v="ORD2335"/>
    <d v="2022-07-30T00:00:00"/>
    <x v="3"/>
    <s v="PROD156"/>
    <n v="2090.92"/>
    <n v="132.41999999999999"/>
    <n v="10"/>
    <s v="Corporate"/>
    <s v="Empower Killer Info-Mediaries"/>
    <x v="2"/>
    <s v="Jones Ltd"/>
    <n v="213.24"/>
    <n v="6.3330973925353432E-2"/>
  </r>
  <r>
    <s v="ORD2336"/>
    <d v="2020-10-08T00:00:00"/>
    <x v="1"/>
    <s v="PROD167"/>
    <n v="992.84"/>
    <n v="976.04"/>
    <n v="20"/>
    <s v="Consumer"/>
    <s v="Grow Synergistic Infrastructures"/>
    <x v="2"/>
    <s v="Adams-Carter"/>
    <n v="113.17"/>
    <n v="0.98307884452681193"/>
  </r>
  <r>
    <s v="ORD2337"/>
    <d v="2024-02-28T00:00:00"/>
    <x v="3"/>
    <s v="PROD171"/>
    <n v="2023.28"/>
    <n v="812.58"/>
    <n v="3"/>
    <s v="Small Business"/>
    <s v="Scale 24/365 Networks"/>
    <x v="2"/>
    <s v="Kim-Hamilton"/>
    <n v="157.55000000000001"/>
    <n v="0.40161519908267768"/>
  </r>
  <r>
    <s v="ORD2338"/>
    <d v="2021-05-24T00:00:00"/>
    <x v="3"/>
    <s v="PROD104"/>
    <n v="1926.92"/>
    <n v="364.64"/>
    <n v="11"/>
    <s v="Consumer"/>
    <s v="Implement Clicks-And-Mortar Partnerships"/>
    <x v="1"/>
    <s v="Smith Inc"/>
    <n v="195.53"/>
    <n v="0.18923463350839681"/>
  </r>
  <r>
    <s v="ORD2339"/>
    <d v="2021-07-11T00:00:00"/>
    <x v="0"/>
    <s v="PROD195"/>
    <n v="3944.65"/>
    <n v="37.17"/>
    <n v="11"/>
    <s v="Corporate"/>
    <s v="Reinvent Out-Of-The-Box Models"/>
    <x v="0"/>
    <s v="Wagner-Curtis"/>
    <n v="172.34"/>
    <n v="9.4228892297161977E-3"/>
  </r>
  <r>
    <s v="ORD2340"/>
    <d v="2022-06-06T00:00:00"/>
    <x v="2"/>
    <s v="PROD132"/>
    <n v="859.81"/>
    <n v="542.14"/>
    <n v="20"/>
    <s v="Corporate"/>
    <s v="Synergize End-To-End Roi"/>
    <x v="1"/>
    <s v="Evans-Smith"/>
    <n v="159.85"/>
    <n v="0.63053465300473366"/>
  </r>
  <r>
    <s v="ORD2341"/>
    <d v="2024-05-12T00:00:00"/>
    <x v="1"/>
    <s v="PROD124"/>
    <n v="183.06"/>
    <n v="641.77"/>
    <n v="2"/>
    <s v="Small Business"/>
    <s v="Incubate Real-Time E-Tailers"/>
    <x v="1"/>
    <s v="Johnson-Riley"/>
    <n v="86.67"/>
    <n v="3.5057904512181799"/>
  </r>
  <r>
    <s v="ORD2342"/>
    <d v="2023-04-29T00:00:00"/>
    <x v="0"/>
    <s v="PROD104"/>
    <n v="2100.08"/>
    <n v="150.97"/>
    <n v="7"/>
    <s v="Corporate"/>
    <s v="Implement Clicks-And-Mortar Partnerships"/>
    <x v="1"/>
    <s v="Smith Inc"/>
    <n v="195.53"/>
    <n v="7.1887737609995811E-2"/>
  </r>
  <r>
    <s v="ORD2343"/>
    <d v="2021-04-29T00:00:00"/>
    <x v="0"/>
    <s v="PROD190"/>
    <n v="1078.9100000000001"/>
    <n v="499.12"/>
    <n v="14"/>
    <s v="Consumer"/>
    <s v="Repurpose End-To-End Networks"/>
    <x v="0"/>
    <s v="Torres-Rush"/>
    <n v="97.02"/>
    <n v="0.46261504666746994"/>
  </r>
  <r>
    <s v="ORD2344"/>
    <d v="2021-08-25T00:00:00"/>
    <x v="3"/>
    <s v="PROD101"/>
    <n v="4119.79"/>
    <n v="639.14"/>
    <n v="5"/>
    <s v="Consumer"/>
    <s v="Harness Proactive Eyeballs"/>
    <x v="1"/>
    <s v="Moran and Sons"/>
    <n v="58.01"/>
    <n v="0.15513897553030614"/>
  </r>
  <r>
    <s v="ORD2345"/>
    <d v="2021-12-13T00:00:00"/>
    <x v="3"/>
    <s v="PROD175"/>
    <n v="2284.65"/>
    <n v="652.57000000000005"/>
    <n v="11"/>
    <s v="Consumer"/>
    <s v="Empower Bleeding-Edge Action-Items"/>
    <x v="2"/>
    <s v="Gray, Hayes and Banks"/>
    <n v="204.26"/>
    <n v="0.28563237257347951"/>
  </r>
  <r>
    <s v="ORD2346"/>
    <d v="2022-12-26T00:00:00"/>
    <x v="1"/>
    <s v="PROD177"/>
    <n v="1443.41"/>
    <n v="560.36"/>
    <n v="3"/>
    <s v="Corporate"/>
    <s v="Deploy Granular Channels"/>
    <x v="2"/>
    <s v="Barnes Ltd"/>
    <n v="288.99"/>
    <n v="0.38821956339501595"/>
  </r>
  <r>
    <s v="ORD2347"/>
    <d v="2022-07-23T00:00:00"/>
    <x v="1"/>
    <s v="PROD165"/>
    <n v="1971.97"/>
    <n v="480.8"/>
    <n v="19"/>
    <s v="Consumer"/>
    <s v="Benchmark Cross-Platform Markets"/>
    <x v="2"/>
    <s v="Murphy, Mathews and Wilson"/>
    <n v="78.88"/>
    <n v="0.24381709660897477"/>
  </r>
  <r>
    <s v="ORD2348"/>
    <d v="2021-11-19T00:00:00"/>
    <x v="2"/>
    <s v="PROD128"/>
    <n v="2881.36"/>
    <n v="232"/>
    <n v="13"/>
    <s v="Corporate"/>
    <s v="Brand Distributed Info-Mediaries"/>
    <x v="2"/>
    <s v="Garcia Ltd"/>
    <n v="114.48"/>
    <n v="8.0517533387011689E-2"/>
  </r>
  <r>
    <s v="ORD2349"/>
    <d v="2020-09-17T00:00:00"/>
    <x v="3"/>
    <s v="PROD108"/>
    <n v="966.65"/>
    <n v="406.27"/>
    <n v="13"/>
    <s v="Consumer"/>
    <s v="Synergize World-Class Networks"/>
    <x v="1"/>
    <s v="Gomez-Lawrence"/>
    <n v="72.37"/>
    <n v="0.42028655666477005"/>
  </r>
  <r>
    <s v="ORD2350"/>
    <d v="2021-06-09T00:00:00"/>
    <x v="3"/>
    <s v="PROD113"/>
    <n v="4592.4799999999996"/>
    <n v="212.78"/>
    <n v="13"/>
    <s v="Consumer"/>
    <s v="Envisioneer B2B Users"/>
    <x v="0"/>
    <s v="Rogers Group"/>
    <n v="239.16"/>
    <n v="4.6332264920043206E-2"/>
  </r>
  <r>
    <s v="ORD2351"/>
    <d v="2022-03-29T00:00:00"/>
    <x v="0"/>
    <s v="PROD178"/>
    <n v="3729.33"/>
    <n v="845.56"/>
    <n v="19"/>
    <s v="Corporate"/>
    <s v="Monetize Value-Added Niches"/>
    <x v="0"/>
    <s v="Foster, Velazquez and Lee"/>
    <n v="171.51"/>
    <n v="0.22673241574223787"/>
  </r>
  <r>
    <s v="ORD2352"/>
    <d v="2021-06-12T00:00:00"/>
    <x v="3"/>
    <s v="PROD179"/>
    <n v="3645.76"/>
    <n v="216.55"/>
    <n v="15"/>
    <s v="Corporate"/>
    <s v="Target Viral Methodologies"/>
    <x v="1"/>
    <s v="Alvarez, Myers and Walter"/>
    <n v="149.26"/>
    <n v="5.9397766172211007E-2"/>
  </r>
  <r>
    <s v="ORD2353"/>
    <d v="2020-03-11T00:00:00"/>
    <x v="1"/>
    <s v="PROD147"/>
    <n v="1407.9"/>
    <n v="172.68"/>
    <n v="10"/>
    <s v="Consumer"/>
    <s v="Brand B2C Info-Mediaries"/>
    <x v="0"/>
    <s v="Preston Ltd"/>
    <n v="13.46"/>
    <n v="0.1226507564457703"/>
  </r>
  <r>
    <s v="ORD2354"/>
    <d v="2023-03-22T00:00:00"/>
    <x v="3"/>
    <s v="PROD105"/>
    <n v="4039.12"/>
    <n v="724.84"/>
    <n v="8"/>
    <s v="Consumer"/>
    <s v="Transform Holistic Functionalities"/>
    <x v="0"/>
    <s v="Ruiz Ltd"/>
    <n v="179.27"/>
    <n v="0.17945493077700095"/>
  </r>
  <r>
    <s v="ORD2355"/>
    <d v="2022-02-21T00:00:00"/>
    <x v="2"/>
    <s v="PROD189"/>
    <n v="3406.72"/>
    <n v="952.99"/>
    <n v="17"/>
    <s v="Small Business"/>
    <s v="E-Enable Next-Generation Experiences"/>
    <x v="2"/>
    <s v="Sanchez-Quinn"/>
    <n v="266.93"/>
    <n v="0.27973828198384371"/>
  </r>
  <r>
    <s v="ORD2356"/>
    <d v="2021-05-25T00:00:00"/>
    <x v="2"/>
    <s v="PROD187"/>
    <n v="859.69"/>
    <n v="660.7"/>
    <n v="13"/>
    <s v="Consumer"/>
    <s v="Whiteboard Compelling Experiences"/>
    <x v="2"/>
    <s v="Carrillo, Carr and Ball"/>
    <n v="206.54"/>
    <n v="0.76853284323418902"/>
  </r>
  <r>
    <s v="ORD2357"/>
    <d v="2021-11-24T00:00:00"/>
    <x v="0"/>
    <s v="PROD174"/>
    <n v="3031.82"/>
    <n v="148.72999999999999"/>
    <n v="19"/>
    <s v="Small Business"/>
    <s v="Disintermediate Scalable Bandwidth"/>
    <x v="1"/>
    <s v="Levy PLC"/>
    <n v="19.86"/>
    <n v="4.9056342394997059E-2"/>
  </r>
  <r>
    <s v="ORD2358"/>
    <d v="2020-11-06T00:00:00"/>
    <x v="3"/>
    <s v="PROD190"/>
    <n v="3037.35"/>
    <n v="47.62"/>
    <n v="3"/>
    <s v="Consumer"/>
    <s v="Repurpose End-To-End Networks"/>
    <x v="0"/>
    <s v="Torres-Rush"/>
    <n v="97.02"/>
    <n v="1.567814048430375E-2"/>
  </r>
  <r>
    <s v="ORD2359"/>
    <d v="2020-09-04T00:00:00"/>
    <x v="1"/>
    <s v="PROD152"/>
    <n v="3131.87"/>
    <n v="676.26"/>
    <n v="9"/>
    <s v="Small Business"/>
    <s v="Reinvent Frictionless Roi"/>
    <x v="2"/>
    <s v="Bridges, Castillo and Rodriguez"/>
    <n v="253.89"/>
    <n v="0.21592850277948958"/>
  </r>
  <r>
    <s v="ORD2360"/>
    <d v="2021-07-07T00:00:00"/>
    <x v="1"/>
    <s v="PROD173"/>
    <n v="311.18"/>
    <n v="233.43"/>
    <n v="5"/>
    <s v="Small Business"/>
    <s v="Whiteboard Sticky Content"/>
    <x v="2"/>
    <s v="Wolfe Group"/>
    <n v="82.16"/>
    <n v="0.75014461083617201"/>
  </r>
  <r>
    <s v="ORD2361"/>
    <d v="2021-05-23T00:00:00"/>
    <x v="0"/>
    <s v="PROD152"/>
    <n v="2901.15"/>
    <n v="627.32000000000005"/>
    <n v="1"/>
    <s v="Consumer"/>
    <s v="Reinvent Frictionless Roi"/>
    <x v="2"/>
    <s v="Bridges, Castillo and Rodriguez"/>
    <n v="253.89"/>
    <n v="0.21623149440739017"/>
  </r>
  <r>
    <s v="ORD2362"/>
    <d v="2020-11-28T00:00:00"/>
    <x v="2"/>
    <s v="PROD197"/>
    <n v="1148.96"/>
    <n v="371.25"/>
    <n v="4"/>
    <s v="Consumer"/>
    <s v="Leverage Rich Portals"/>
    <x v="0"/>
    <s v="Wilson PLC"/>
    <n v="46.35"/>
    <n v="0.32311829828714661"/>
  </r>
  <r>
    <s v="ORD2363"/>
    <d v="2021-02-20T00:00:00"/>
    <x v="2"/>
    <s v="PROD109"/>
    <n v="2102.0500000000002"/>
    <n v="708.6"/>
    <n v="11"/>
    <s v="Small Business"/>
    <s v="Orchestrate E-Business Niches"/>
    <x v="2"/>
    <s v="Johnson LLC"/>
    <n v="198.99"/>
    <n v="0.33709949810898882"/>
  </r>
  <r>
    <s v="ORD2364"/>
    <d v="2021-05-03T00:00:00"/>
    <x v="3"/>
    <s v="PROD189"/>
    <n v="1817.07"/>
    <n v="64.790000000000006"/>
    <n v="9"/>
    <s v="Consumer"/>
    <s v="E-Enable Next-Generation Experiences"/>
    <x v="2"/>
    <s v="Sanchez-Quinn"/>
    <n v="266.93"/>
    <n v="3.5656303829791923E-2"/>
  </r>
  <r>
    <s v="ORD2365"/>
    <d v="2022-06-23T00:00:00"/>
    <x v="3"/>
    <s v="PROD119"/>
    <n v="564.37"/>
    <n v="994.45"/>
    <n v="8"/>
    <s v="Corporate"/>
    <s v="Generate Front-End Functionalities"/>
    <x v="0"/>
    <s v="Morales-Brown"/>
    <n v="299.77"/>
    <n v="1.7620532629303471"/>
  </r>
  <r>
    <s v="ORD2366"/>
    <d v="2024-07-29T00:00:00"/>
    <x v="3"/>
    <s v="PROD170"/>
    <n v="1129.1300000000001"/>
    <n v="549.04999999999995"/>
    <n v="7"/>
    <s v="Small Business"/>
    <s v="Deliver Sticky Networks"/>
    <x v="2"/>
    <s v="Massey LLC"/>
    <n v="272.33"/>
    <n v="0.48625933240636587"/>
  </r>
  <r>
    <s v="ORD2367"/>
    <d v="2023-07-06T00:00:00"/>
    <x v="1"/>
    <s v="PROD150"/>
    <n v="1130.76"/>
    <n v="865.49"/>
    <n v="16"/>
    <s v="Consumer"/>
    <s v="Evolve Intuitive Bandwidth"/>
    <x v="0"/>
    <s v="Rogers Group"/>
    <n v="131.63"/>
    <n v="0.76540556793660897"/>
  </r>
  <r>
    <s v="ORD2368"/>
    <d v="2021-11-26T00:00:00"/>
    <x v="0"/>
    <s v="PROD184"/>
    <n v="3069.11"/>
    <n v="509.53"/>
    <n v="3"/>
    <s v="Consumer"/>
    <s v="Embrace 24/365 Functionalities"/>
    <x v="0"/>
    <s v="Smith LLC"/>
    <n v="204.04"/>
    <n v="0.1660188132715999"/>
  </r>
  <r>
    <s v="ORD2369"/>
    <d v="2020-04-29T00:00:00"/>
    <x v="3"/>
    <s v="PROD186"/>
    <n v="4793.29"/>
    <n v="719.41"/>
    <n v="9"/>
    <s v="Corporate"/>
    <s v="Reinvent Mission-Critical Markets"/>
    <x v="2"/>
    <s v="Gilbert-Sanders"/>
    <n v="154.21"/>
    <n v="0.15008689230152983"/>
  </r>
  <r>
    <s v="ORD2370"/>
    <d v="2022-12-19T00:00:00"/>
    <x v="2"/>
    <s v="PROD179"/>
    <n v="3337.8"/>
    <n v="142.08000000000001"/>
    <n v="17"/>
    <s v="Small Business"/>
    <s v="Target Viral Methodologies"/>
    <x v="1"/>
    <s v="Alvarez, Myers and Walter"/>
    <n v="149.26"/>
    <n v="4.2566960273233867E-2"/>
  </r>
  <r>
    <s v="ORD2371"/>
    <d v="2023-07-21T00:00:00"/>
    <x v="3"/>
    <s v="PROD119"/>
    <n v="3708.92"/>
    <n v="879.24"/>
    <n v="16"/>
    <s v="Consumer"/>
    <s v="Generate Front-End Functionalities"/>
    <x v="0"/>
    <s v="Morales-Brown"/>
    <n v="299.77"/>
    <n v="0.23706092339548979"/>
  </r>
  <r>
    <s v="ORD2372"/>
    <d v="2020-01-30T00:00:00"/>
    <x v="2"/>
    <s v="PROD124"/>
    <n v="669.11"/>
    <n v="946.53"/>
    <n v="10"/>
    <s v="Small Business"/>
    <s v="Incubate Real-Time E-Tailers"/>
    <x v="1"/>
    <s v="Johnson-Riley"/>
    <n v="86.67"/>
    <n v="1.4146104526908878"/>
  </r>
  <r>
    <s v="ORD2373"/>
    <d v="2022-01-15T00:00:00"/>
    <x v="1"/>
    <s v="PROD153"/>
    <n v="920.12"/>
    <n v="656.34"/>
    <n v="11"/>
    <s v="Small Business"/>
    <s v="Seize Plug-And-Play Web-Readiness"/>
    <x v="1"/>
    <s v="Joseph, Mayer and Carr"/>
    <n v="102.73"/>
    <n v="0.71332000173890364"/>
  </r>
  <r>
    <s v="ORD2374"/>
    <d v="2021-11-23T00:00:00"/>
    <x v="0"/>
    <s v="PROD182"/>
    <n v="2937.25"/>
    <n v="214.67"/>
    <n v="1"/>
    <s v="Small Business"/>
    <s v="Strategize Best-Of-Breed Web-Readiness"/>
    <x v="0"/>
    <s v="Morris, King and Ayers"/>
    <n v="220.16"/>
    <n v="7.3085368967571701E-2"/>
  </r>
  <r>
    <s v="ORD2375"/>
    <d v="2024-08-20T00:00:00"/>
    <x v="1"/>
    <s v="PROD174"/>
    <n v="476.61"/>
    <n v="809.42"/>
    <n v="17"/>
    <s v="Small Business"/>
    <s v="Disintermediate Scalable Bandwidth"/>
    <x v="1"/>
    <s v="Levy PLC"/>
    <n v="19.86"/>
    <n v="1.6982858102012126"/>
  </r>
  <r>
    <s v="ORD2376"/>
    <d v="2020-07-18T00:00:00"/>
    <x v="2"/>
    <s v="PROD164"/>
    <n v="2349.23"/>
    <n v="30.3"/>
    <n v="19"/>
    <s v="Corporate"/>
    <s v="Transition Compelling Web-Readiness"/>
    <x v="2"/>
    <s v="Wood-Beck"/>
    <n v="88.34"/>
    <n v="1.2897843123065855E-2"/>
  </r>
  <r>
    <s v="ORD2377"/>
    <d v="2023-12-30T00:00:00"/>
    <x v="3"/>
    <s v="PROD103"/>
    <n v="3750.88"/>
    <n v="501.57"/>
    <n v="6"/>
    <s v="Consumer"/>
    <s v="Monetize Collaborative Metrics"/>
    <x v="1"/>
    <s v="Ramirez-Brown"/>
    <n v="286.04000000000002"/>
    <n v="0.13372062022778655"/>
  </r>
  <r>
    <s v="ORD2378"/>
    <d v="2021-09-24T00:00:00"/>
    <x v="1"/>
    <s v="PROD189"/>
    <n v="212.18"/>
    <n v="549.30999999999995"/>
    <n v="2"/>
    <s v="Corporate"/>
    <s v="E-Enable Next-Generation Experiences"/>
    <x v="2"/>
    <s v="Sanchez-Quinn"/>
    <n v="266.93"/>
    <n v="2.5888867942313127"/>
  </r>
  <r>
    <s v="ORD2379"/>
    <d v="2023-04-15T00:00:00"/>
    <x v="3"/>
    <s v="PROD103"/>
    <n v="4307.2299999999996"/>
    <n v="36.020000000000003"/>
    <n v="18"/>
    <s v="Small Business"/>
    <s v="Monetize Collaborative Metrics"/>
    <x v="1"/>
    <s v="Ramirez-Brown"/>
    <n v="286.04000000000002"/>
    <n v="8.3626832093944385E-3"/>
  </r>
  <r>
    <s v="ORD2380"/>
    <d v="2022-05-13T00:00:00"/>
    <x v="0"/>
    <s v="PROD184"/>
    <n v="2023.5"/>
    <n v="205.38"/>
    <n v="3"/>
    <s v="Consumer"/>
    <s v="Embrace 24/365 Functionalities"/>
    <x v="0"/>
    <s v="Smith LLC"/>
    <n v="204.04"/>
    <n v="0.10149740548554484"/>
  </r>
  <r>
    <s v="ORD2381"/>
    <d v="2022-02-22T00:00:00"/>
    <x v="0"/>
    <s v="PROD153"/>
    <n v="766.37"/>
    <n v="889.45"/>
    <n v="5"/>
    <s v="Small Business"/>
    <s v="Seize Plug-And-Play Web-Readiness"/>
    <x v="1"/>
    <s v="Joseph, Mayer and Carr"/>
    <n v="102.73"/>
    <n v="1.160601276145987"/>
  </r>
  <r>
    <s v="ORD2382"/>
    <d v="2024-09-27T00:00:00"/>
    <x v="0"/>
    <s v="PROD123"/>
    <n v="1080.8900000000001"/>
    <n v="330.59"/>
    <n v="4"/>
    <s v="Small Business"/>
    <s v="Redefine Real-Time Convergence"/>
    <x v="1"/>
    <s v="Hayes, Peters and Douglas"/>
    <n v="78.260000000000005"/>
    <n v="0.30584980895373254"/>
  </r>
  <r>
    <s v="ORD2383"/>
    <d v="2022-11-06T00:00:00"/>
    <x v="0"/>
    <s v="PROD183"/>
    <n v="2057.41"/>
    <n v="100.66"/>
    <n v="18"/>
    <s v="Corporate"/>
    <s v="Incentivize Front-End Mindshare"/>
    <x v="1"/>
    <s v="Phillips-Tran"/>
    <n v="196.86"/>
    <n v="4.8925590912846734E-2"/>
  </r>
  <r>
    <s v="ORD2384"/>
    <d v="2021-03-18T00:00:00"/>
    <x v="3"/>
    <s v="PROD103"/>
    <n v="3494.79"/>
    <n v="512.88"/>
    <n v="20"/>
    <s v="Corporate"/>
    <s v="Monetize Collaborative Metrics"/>
    <x v="1"/>
    <s v="Ramirez-Brown"/>
    <n v="286.04000000000002"/>
    <n v="0.14675559904886989"/>
  </r>
  <r>
    <s v="ORD2385"/>
    <d v="2024-05-08T00:00:00"/>
    <x v="2"/>
    <s v="PROD120"/>
    <n v="2304.9"/>
    <n v="495.22"/>
    <n v="18"/>
    <s v="Consumer"/>
    <s v="Mesh B2B Platforms"/>
    <x v="2"/>
    <s v="Stevens, Walton and Riddle"/>
    <n v="236.57"/>
    <n v="0.21485530825632349"/>
  </r>
  <r>
    <s v="ORD2386"/>
    <d v="2021-10-07T00:00:00"/>
    <x v="3"/>
    <s v="PROD101"/>
    <n v="623.28"/>
    <n v="165.95"/>
    <n v="18"/>
    <s v="Corporate"/>
    <s v="Harness Proactive Eyeballs"/>
    <x v="1"/>
    <s v="Moran and Sons"/>
    <n v="58.01"/>
    <n v="0.2662527275060968"/>
  </r>
  <r>
    <s v="ORD2387"/>
    <d v="2022-08-27T00:00:00"/>
    <x v="1"/>
    <s v="PROD114"/>
    <n v="4912.3599999999997"/>
    <n v="450.12"/>
    <n v="5"/>
    <s v="Consumer"/>
    <s v="Orchestrate User-Centric Platforms"/>
    <x v="2"/>
    <s v="Wells Ltd"/>
    <n v="201.87"/>
    <n v="9.1630092257082144E-2"/>
  </r>
  <r>
    <s v="ORD2388"/>
    <d v="2022-04-04T00:00:00"/>
    <x v="2"/>
    <s v="PROD151"/>
    <n v="2361.15"/>
    <n v="642.51"/>
    <n v="20"/>
    <s v="Consumer"/>
    <s v="Re-Contextualize Viral Markets"/>
    <x v="1"/>
    <s v="Meadows-Barber"/>
    <n v="177.52"/>
    <n v="0.27211740041928717"/>
  </r>
  <r>
    <s v="ORD2389"/>
    <d v="2024-05-07T00:00:00"/>
    <x v="3"/>
    <s v="PROD117"/>
    <n v="1841.69"/>
    <n v="675.7"/>
    <n v="20"/>
    <s v="Consumer"/>
    <s v="Revolutionize Efficient Niches"/>
    <x v="1"/>
    <s v="Lopez-Torres"/>
    <n v="23.02"/>
    <n v="0.36689127920551234"/>
  </r>
  <r>
    <s v="ORD2390"/>
    <d v="2022-09-08T00:00:00"/>
    <x v="0"/>
    <s v="PROD134"/>
    <n v="1624.44"/>
    <n v="737.44"/>
    <n v="1"/>
    <s v="Corporate"/>
    <s v="Utilize Ubiquitous Synergies"/>
    <x v="1"/>
    <s v="Kramer, Huang and Shaw"/>
    <n v="295.89999999999998"/>
    <n v="0.45396567432469037"/>
  </r>
  <r>
    <s v="ORD2391"/>
    <d v="2023-03-16T00:00:00"/>
    <x v="3"/>
    <s v="PROD120"/>
    <n v="2348.63"/>
    <n v="197.51"/>
    <n v="20"/>
    <s v="Small Business"/>
    <s v="Mesh B2B Platforms"/>
    <x v="2"/>
    <s v="Stevens, Walton and Riddle"/>
    <n v="236.57"/>
    <n v="8.4095834592932892E-2"/>
  </r>
  <r>
    <s v="ORD2392"/>
    <d v="2023-11-18T00:00:00"/>
    <x v="0"/>
    <s v="PROD176"/>
    <n v="2230.69"/>
    <n v="512.6"/>
    <n v="5"/>
    <s v="Consumer"/>
    <s v="Facilitate Integrated E-Business"/>
    <x v="0"/>
    <s v="Chang-Vargas"/>
    <n v="130.33000000000001"/>
    <n v="0.22979436855860744"/>
  </r>
  <r>
    <s v="ORD2393"/>
    <d v="2020-12-13T00:00:00"/>
    <x v="3"/>
    <s v="PROD137"/>
    <n v="1664.15"/>
    <n v="845.95"/>
    <n v="8"/>
    <s v="Small Business"/>
    <s v="Optimize Collaborative Initiatives"/>
    <x v="1"/>
    <s v="Adkins Ltd"/>
    <n v="34.46"/>
    <n v="0.50833758976053844"/>
  </r>
  <r>
    <s v="ORD2394"/>
    <d v="2021-11-27T00:00:00"/>
    <x v="2"/>
    <s v="PROD189"/>
    <n v="3475.78"/>
    <n v="116.84"/>
    <n v="12"/>
    <s v="Consumer"/>
    <s v="E-Enable Next-Generation Experiences"/>
    <x v="2"/>
    <s v="Sanchez-Quinn"/>
    <n v="266.93"/>
    <n v="3.3615476238427054E-2"/>
  </r>
  <r>
    <s v="ORD2395"/>
    <d v="2024-01-18T00:00:00"/>
    <x v="2"/>
    <s v="PROD184"/>
    <n v="3623.29"/>
    <n v="617.15"/>
    <n v="19"/>
    <s v="Consumer"/>
    <s v="Embrace 24/365 Functionalities"/>
    <x v="0"/>
    <s v="Smith LLC"/>
    <n v="204.04"/>
    <n v="0.17032862398538345"/>
  </r>
  <r>
    <s v="ORD2396"/>
    <d v="2020-07-03T00:00:00"/>
    <x v="1"/>
    <s v="PROD192"/>
    <n v="431.21"/>
    <n v="819.69"/>
    <n v="4"/>
    <s v="Corporate"/>
    <s v="Drive Compelling E-Services"/>
    <x v="0"/>
    <s v="Morris-Villanueva"/>
    <n v="27.22"/>
    <n v="1.9009067507710862"/>
  </r>
  <r>
    <s v="ORD2397"/>
    <d v="2020-12-03T00:00:00"/>
    <x v="1"/>
    <s v="PROD147"/>
    <n v="80.47"/>
    <n v="796.29"/>
    <n v="9"/>
    <s v="Consumer"/>
    <s v="Brand B2C Info-Mediaries"/>
    <x v="0"/>
    <s v="Preston Ltd"/>
    <n v="13.46"/>
    <n v="9.8954890021125888"/>
  </r>
  <r>
    <s v="ORD2398"/>
    <d v="2022-06-08T00:00:00"/>
    <x v="0"/>
    <s v="PROD138"/>
    <n v="4938.63"/>
    <n v="85.63"/>
    <n v="4"/>
    <s v="Corporate"/>
    <s v="Deliver Viral Eyeballs"/>
    <x v="0"/>
    <s v="Estes, Chan and Thomas"/>
    <n v="16.89"/>
    <n v="1.7338816635382687E-2"/>
  </r>
  <r>
    <s v="ORD2399"/>
    <d v="2021-07-16T00:00:00"/>
    <x v="3"/>
    <s v="PROD139"/>
    <n v="2051.7800000000002"/>
    <n v="794.5"/>
    <n v="8"/>
    <s v="Consumer"/>
    <s v="Re-Contextualize Viral Mindshare"/>
    <x v="1"/>
    <s v="Carter-Lane"/>
    <n v="142.25"/>
    <n v="0.38722475119164818"/>
  </r>
  <r>
    <s v="ORD2400"/>
    <d v="2022-09-19T00:00:00"/>
    <x v="1"/>
    <s v="PROD198"/>
    <n v="175.7"/>
    <n v="92.18"/>
    <n v="20"/>
    <s v="Consumer"/>
    <s v="Visualize Dynamic E-Commerce"/>
    <x v="2"/>
    <s v="Jones LLC"/>
    <n v="92.61"/>
    <n v="0.5246442800227662"/>
  </r>
  <r>
    <s v="ORD2401"/>
    <d v="2021-10-29T00:00:00"/>
    <x v="2"/>
    <s v="PROD162"/>
    <n v="4798.67"/>
    <n v="781.87"/>
    <n v="19"/>
    <s v="Corporate"/>
    <s v="Reinvent Visionary Niches"/>
    <x v="2"/>
    <s v="Huber-Richmond"/>
    <n v="219.81"/>
    <n v="0.16293472983139079"/>
  </r>
  <r>
    <s v="ORD2402"/>
    <d v="2022-12-26T00:00:00"/>
    <x v="3"/>
    <s v="PROD159"/>
    <n v="4553.41"/>
    <n v="271.06"/>
    <n v="15"/>
    <s v="Corporate"/>
    <s v="Mesh Intuitive Supply-Chains"/>
    <x v="1"/>
    <s v="Soto, Barnett and Heath"/>
    <n v="281"/>
    <n v="5.9529012322632933E-2"/>
  </r>
  <r>
    <s v="ORD2403"/>
    <d v="2021-01-22T00:00:00"/>
    <x v="2"/>
    <s v="PROD138"/>
    <n v="4736.92"/>
    <n v="446.46"/>
    <n v="7"/>
    <s v="Consumer"/>
    <s v="Deliver Viral Eyeballs"/>
    <x v="0"/>
    <s v="Estes, Chan and Thomas"/>
    <n v="16.89"/>
    <n v="9.4251116759413278E-2"/>
  </r>
  <r>
    <s v="ORD2404"/>
    <d v="2021-10-16T00:00:00"/>
    <x v="2"/>
    <s v="PROD190"/>
    <n v="585.94000000000005"/>
    <n v="437.74"/>
    <n v="19"/>
    <s v="Consumer"/>
    <s v="Repurpose End-To-End Networks"/>
    <x v="0"/>
    <s v="Torres-Rush"/>
    <n v="97.02"/>
    <n v="0.74707307915486221"/>
  </r>
  <r>
    <s v="ORD2405"/>
    <d v="2020-11-07T00:00:00"/>
    <x v="1"/>
    <s v="PROD173"/>
    <n v="2596.06"/>
    <n v="956.82"/>
    <n v="14"/>
    <s v="Small Business"/>
    <s v="Whiteboard Sticky Content"/>
    <x v="2"/>
    <s v="Wolfe Group"/>
    <n v="82.16"/>
    <n v="0.36856621187491817"/>
  </r>
  <r>
    <s v="ORD2406"/>
    <d v="2023-05-04T00:00:00"/>
    <x v="3"/>
    <s v="PROD107"/>
    <n v="1025.02"/>
    <n v="345.52"/>
    <n v="4"/>
    <s v="Consumer"/>
    <s v="Utilize Back-End Models"/>
    <x v="2"/>
    <s v="Lewis-Holden"/>
    <n v="241.53"/>
    <n v="0.33708610563696317"/>
  </r>
  <r>
    <s v="ORD2407"/>
    <d v="2024-11-06T00:00:00"/>
    <x v="2"/>
    <s v="PROD134"/>
    <n v="1548.83"/>
    <n v="519.46"/>
    <n v="4"/>
    <s v="Small Business"/>
    <s v="Utilize Ubiquitous Synergies"/>
    <x v="1"/>
    <s v="Kramer, Huang and Shaw"/>
    <n v="295.89999999999998"/>
    <n v="0.33538864820541964"/>
  </r>
  <r>
    <s v="ORD2408"/>
    <d v="2021-08-11T00:00:00"/>
    <x v="1"/>
    <s v="PROD166"/>
    <n v="1990.52"/>
    <n v="167.36"/>
    <n v="2"/>
    <s v="Consumer"/>
    <s v="Monetize Wireless Functionalities"/>
    <x v="2"/>
    <s v="Robinson, Rodriguez and Hernandez"/>
    <n v="162.22"/>
    <n v="8.4078532242831031E-2"/>
  </r>
  <r>
    <s v="ORD2409"/>
    <d v="2022-10-07T00:00:00"/>
    <x v="0"/>
    <s v="PROD147"/>
    <n v="2422.85"/>
    <n v="701.04"/>
    <n v="9"/>
    <s v="Consumer"/>
    <s v="Brand B2C Info-Mediaries"/>
    <x v="0"/>
    <s v="Preston Ltd"/>
    <n v="13.46"/>
    <n v="0.28934519264502551"/>
  </r>
  <r>
    <s v="ORD2410"/>
    <d v="2024-10-08T00:00:00"/>
    <x v="1"/>
    <s v="PROD141"/>
    <n v="3916.02"/>
    <n v="944.89"/>
    <n v="19"/>
    <s v="Corporate"/>
    <s v="Re-Contextualize Integrated Info-Mediaries"/>
    <x v="1"/>
    <s v="Jones-Schroeder"/>
    <n v="26.02"/>
    <n v="0.24128834888483716"/>
  </r>
  <r>
    <s v="ORD2411"/>
    <d v="2024-03-26T00:00:00"/>
    <x v="3"/>
    <s v="PROD139"/>
    <n v="372.23"/>
    <n v="900.58"/>
    <n v="3"/>
    <s v="Small Business"/>
    <s v="Re-Contextualize Viral Mindshare"/>
    <x v="1"/>
    <s v="Carter-Lane"/>
    <n v="142.25"/>
    <n v="2.4194181017113077"/>
  </r>
  <r>
    <s v="ORD2412"/>
    <d v="2023-11-26T00:00:00"/>
    <x v="1"/>
    <s v="PROD172"/>
    <n v="4289.6499999999996"/>
    <n v="188.33"/>
    <n v="12"/>
    <s v="Corporate"/>
    <s v="E-Enable Virtual Methodologies"/>
    <x v="0"/>
    <s v="Floyd-Love"/>
    <n v="283.64999999999998"/>
    <n v="4.3903348758057188E-2"/>
  </r>
  <r>
    <s v="ORD2413"/>
    <d v="2022-12-13T00:00:00"/>
    <x v="3"/>
    <s v="PROD100"/>
    <n v="336.6"/>
    <n v="495.22"/>
    <n v="16"/>
    <s v="Small Business"/>
    <s v="Synthesize Scalable Portals"/>
    <x v="2"/>
    <s v="Singh, Villa and Flynn"/>
    <n v="298.57"/>
    <n v="1.4712418300653594"/>
  </r>
  <r>
    <s v="ORD2414"/>
    <d v="2024-10-28T00:00:00"/>
    <x v="0"/>
    <s v="PROD105"/>
    <n v="3026.9"/>
    <n v="688.49"/>
    <n v="18"/>
    <s v="Consumer"/>
    <s v="Transform Holistic Functionalities"/>
    <x v="0"/>
    <s v="Ruiz Ltd"/>
    <n v="179.27"/>
    <n v="0.22745713436188839"/>
  </r>
  <r>
    <s v="ORD2415"/>
    <d v="2023-10-20T00:00:00"/>
    <x v="1"/>
    <s v="PROD112"/>
    <n v="935.86"/>
    <n v="900.06"/>
    <n v="10"/>
    <s v="Corporate"/>
    <s v="Seize Clicks-And-Mortar Platforms"/>
    <x v="0"/>
    <s v="Owens, Campos and Wood"/>
    <n v="271.16000000000003"/>
    <n v="0.96174641506208192"/>
  </r>
  <r>
    <s v="ORD2416"/>
    <d v="2020-10-03T00:00:00"/>
    <x v="0"/>
    <s v="PROD153"/>
    <n v="194.03"/>
    <n v="800.34"/>
    <n v="11"/>
    <s v="Small Business"/>
    <s v="Seize Plug-And-Play Web-Readiness"/>
    <x v="1"/>
    <s v="Joseph, Mayer and Carr"/>
    <n v="102.73"/>
    <n v="4.1248260578261098"/>
  </r>
  <r>
    <s v="ORD2417"/>
    <d v="2021-03-21T00:00:00"/>
    <x v="1"/>
    <s v="PROD168"/>
    <n v="2370.9"/>
    <n v="450.45"/>
    <n v="4"/>
    <s v="Corporate"/>
    <s v="Facilitate End-To-End Experiences"/>
    <x v="0"/>
    <s v="Pierce-Goodwin"/>
    <n v="260.52999999999997"/>
    <n v="0.1899911426040744"/>
  </r>
  <r>
    <s v="ORD2418"/>
    <d v="2024-04-06T00:00:00"/>
    <x v="2"/>
    <s v="PROD199"/>
    <n v="3898.83"/>
    <n v="485.1"/>
    <n v="18"/>
    <s v="Corporate"/>
    <s v="Scale Cross-Platform Web Services"/>
    <x v="2"/>
    <s v="Morrow, Brock and Lewis"/>
    <n v="115.21"/>
    <n v="0.12442194196720556"/>
  </r>
  <r>
    <s v="ORD2419"/>
    <d v="2024-10-29T00:00:00"/>
    <x v="3"/>
    <s v="PROD146"/>
    <n v="373.48"/>
    <n v="466.23"/>
    <n v="4"/>
    <s v="Small Business"/>
    <s v="Engage Rich Web-Readiness"/>
    <x v="0"/>
    <s v="Turner Inc"/>
    <n v="81.069999999999993"/>
    <n v="1.2483399378815465"/>
  </r>
  <r>
    <s v="ORD2420"/>
    <d v="2021-05-03T00:00:00"/>
    <x v="1"/>
    <s v="PROD190"/>
    <n v="1439.2"/>
    <n v="952.84"/>
    <n v="10"/>
    <s v="Small Business"/>
    <s v="Repurpose End-To-End Networks"/>
    <x v="0"/>
    <s v="Torres-Rush"/>
    <n v="97.02"/>
    <n v="0.6620622568093385"/>
  </r>
  <r>
    <s v="ORD2421"/>
    <d v="2021-08-19T00:00:00"/>
    <x v="3"/>
    <s v="PROD121"/>
    <n v="4398.62"/>
    <n v="313.14999999999998"/>
    <n v="7"/>
    <s v="Consumer"/>
    <s v="Whiteboard B2B Content"/>
    <x v="0"/>
    <s v="Romero PLC"/>
    <n v="93.81"/>
    <n v="7.1192783191091749E-2"/>
  </r>
  <r>
    <s v="ORD2422"/>
    <d v="2021-11-29T00:00:00"/>
    <x v="0"/>
    <s v="PROD136"/>
    <n v="4601.7700000000004"/>
    <n v="713.05"/>
    <n v="4"/>
    <s v="Corporate"/>
    <s v="Evolve Innovative Web Services"/>
    <x v="2"/>
    <s v="Bush Inc"/>
    <n v="87.75"/>
    <n v="0.1549512470201683"/>
  </r>
  <r>
    <s v="ORD2423"/>
    <d v="2024-08-26T00:00:00"/>
    <x v="3"/>
    <s v="PROD135"/>
    <n v="4455.24"/>
    <n v="695.63"/>
    <n v="8"/>
    <s v="Consumer"/>
    <s v="Optimize 24/365 E-Services"/>
    <x v="0"/>
    <s v="Chase Ltd"/>
    <n v="100.35"/>
    <n v="0.15613749203185462"/>
  </r>
  <r>
    <s v="ORD2424"/>
    <d v="2020-07-06T00:00:00"/>
    <x v="2"/>
    <s v="PROD159"/>
    <n v="4987.5"/>
    <n v="889.71"/>
    <n v="16"/>
    <s v="Small Business"/>
    <s v="Mesh Intuitive Supply-Chains"/>
    <x v="1"/>
    <s v="Soto, Barnett and Heath"/>
    <n v="281"/>
    <n v="0.17838796992481204"/>
  </r>
  <r>
    <s v="ORD2425"/>
    <d v="2022-05-14T00:00:00"/>
    <x v="1"/>
    <s v="PROD121"/>
    <n v="4996.41"/>
    <n v="15.8"/>
    <n v="12"/>
    <s v="Consumer"/>
    <s v="Whiteboard B2B Content"/>
    <x v="0"/>
    <s v="Romero PLC"/>
    <n v="93.81"/>
    <n v="3.162270510226343E-3"/>
  </r>
  <r>
    <s v="ORD2426"/>
    <d v="2022-11-28T00:00:00"/>
    <x v="1"/>
    <s v="PROD106"/>
    <n v="131.29"/>
    <n v="734.71"/>
    <n v="20"/>
    <s v="Consumer"/>
    <s v="Synergize End-To-End Supply-Chains"/>
    <x v="0"/>
    <s v="Higgins-Espinoza"/>
    <n v="279.8"/>
    <n v="5.5960850026658546"/>
  </r>
  <r>
    <s v="ORD2427"/>
    <d v="2024-05-23T00:00:00"/>
    <x v="3"/>
    <s v="PROD192"/>
    <n v="4012.06"/>
    <n v="396.19"/>
    <n v="13"/>
    <s v="Consumer"/>
    <s v="Drive Compelling E-Services"/>
    <x v="0"/>
    <s v="Morris-Villanueva"/>
    <n v="27.22"/>
    <n v="9.8749769445122954E-2"/>
  </r>
  <r>
    <s v="ORD2428"/>
    <d v="2022-08-12T00:00:00"/>
    <x v="1"/>
    <s v="PROD125"/>
    <n v="3433.17"/>
    <n v="948.52"/>
    <n v="4"/>
    <s v="Small Business"/>
    <s v="Leverage Cutting-Edge Vortals"/>
    <x v="1"/>
    <s v="Robinson, Garrett and Chavez"/>
    <n v="117.3"/>
    <n v="0.27628110463507488"/>
  </r>
  <r>
    <s v="ORD2429"/>
    <d v="2020-02-29T00:00:00"/>
    <x v="2"/>
    <s v="PROD189"/>
    <n v="2793.96"/>
    <n v="372.96"/>
    <n v="11"/>
    <s v="Consumer"/>
    <s v="E-Enable Next-Generation Experiences"/>
    <x v="2"/>
    <s v="Sanchez-Quinn"/>
    <n v="266.93"/>
    <n v="0.13348795258342996"/>
  </r>
  <r>
    <s v="ORD2430"/>
    <d v="2024-06-24T00:00:00"/>
    <x v="1"/>
    <s v="PROD140"/>
    <n v="3503.89"/>
    <n v="633.85"/>
    <n v="14"/>
    <s v="Corporate"/>
    <s v="Extend Bricks-And-Clicks Architectures"/>
    <x v="2"/>
    <s v="Fuller PLC"/>
    <n v="202.99"/>
    <n v="0.18089894374538015"/>
  </r>
  <r>
    <s v="ORD2431"/>
    <d v="2021-05-17T00:00:00"/>
    <x v="0"/>
    <s v="PROD193"/>
    <n v="3241.85"/>
    <n v="147.76"/>
    <n v="11"/>
    <s v="Consumer"/>
    <s v="Innovate Sticky Web Services"/>
    <x v="1"/>
    <s v="Friedman, Sanders and Adams"/>
    <n v="125.85"/>
    <n v="4.5578913274827645E-2"/>
  </r>
  <r>
    <s v="ORD2432"/>
    <d v="2023-06-13T00:00:00"/>
    <x v="3"/>
    <s v="PROD133"/>
    <n v="3796.49"/>
    <n v="444.83"/>
    <n v="20"/>
    <s v="Small Business"/>
    <s v="Re-Intermediate Seamless Applications"/>
    <x v="0"/>
    <s v="Welch-Reed"/>
    <n v="45.82"/>
    <n v="0.11716875324312721"/>
  </r>
  <r>
    <s v="ORD2433"/>
    <d v="2023-11-08T00:00:00"/>
    <x v="0"/>
    <s v="PROD129"/>
    <n v="2098.58"/>
    <n v="641.79999999999995"/>
    <n v="15"/>
    <s v="Consumer"/>
    <s v="Scale Vertical Networks"/>
    <x v="2"/>
    <s v="Lam, Wood and Jacobs"/>
    <n v="133.24"/>
    <n v="0.30582584414222952"/>
  </r>
  <r>
    <s v="ORD2434"/>
    <d v="2022-12-02T00:00:00"/>
    <x v="0"/>
    <s v="PROD170"/>
    <n v="2930.57"/>
    <n v="846.9"/>
    <n v="12"/>
    <s v="Corporate"/>
    <s v="Deliver Sticky Networks"/>
    <x v="2"/>
    <s v="Massey LLC"/>
    <n v="272.33"/>
    <n v="0.28898814906315151"/>
  </r>
  <r>
    <s v="ORD2435"/>
    <d v="2021-04-03T00:00:00"/>
    <x v="1"/>
    <s v="PROD110"/>
    <n v="2557.2800000000002"/>
    <n v="792.31"/>
    <n v="2"/>
    <s v="Consumer"/>
    <s v="E-Enable Holistic Supply-Chains"/>
    <x v="2"/>
    <s v="Lin-Mcdaniel"/>
    <n v="160.33000000000001"/>
    <n v="0.30982528311330787"/>
  </r>
  <r>
    <s v="ORD2436"/>
    <d v="2021-02-17T00:00:00"/>
    <x v="1"/>
    <s v="PROD184"/>
    <n v="1481.22"/>
    <n v="189.43"/>
    <n v="13"/>
    <s v="Corporate"/>
    <s v="Embrace 24/365 Functionalities"/>
    <x v="0"/>
    <s v="Smith LLC"/>
    <n v="204.04"/>
    <n v="0.12788782220061842"/>
  </r>
  <r>
    <s v="ORD2437"/>
    <d v="2022-02-23T00:00:00"/>
    <x v="2"/>
    <s v="PROD188"/>
    <n v="3421.01"/>
    <n v="536.62"/>
    <n v="12"/>
    <s v="Corporate"/>
    <s v="Transition Mission-Critical Interfaces"/>
    <x v="0"/>
    <s v="Weaver Ltd"/>
    <n v="34.64"/>
    <n v="0.15686010856442981"/>
  </r>
  <r>
    <s v="ORD2438"/>
    <d v="2022-07-31T00:00:00"/>
    <x v="3"/>
    <s v="PROD138"/>
    <n v="2185.29"/>
    <n v="375.36"/>
    <n v="17"/>
    <s v="Consumer"/>
    <s v="Deliver Viral Eyeballs"/>
    <x v="0"/>
    <s v="Estes, Chan and Thomas"/>
    <n v="16.89"/>
    <n v="0.17176667627637524"/>
  </r>
  <r>
    <s v="ORD2439"/>
    <d v="2021-04-20T00:00:00"/>
    <x v="1"/>
    <s v="PROD158"/>
    <n v="1661.37"/>
    <n v="360.38"/>
    <n v="1"/>
    <s v="Small Business"/>
    <s v="Brand Web-Enabled Solutions"/>
    <x v="1"/>
    <s v="Russell Group"/>
    <n v="51.67"/>
    <n v="0.21691736338082426"/>
  </r>
  <r>
    <s v="ORD2440"/>
    <d v="2020-10-05T00:00:00"/>
    <x v="1"/>
    <s v="PROD163"/>
    <n v="745.78"/>
    <n v="466.42"/>
    <n v="6"/>
    <s v="Small Business"/>
    <s v="Grow Back-End Supply-Chains"/>
    <x v="1"/>
    <s v="Green LLC"/>
    <n v="140.08000000000001"/>
    <n v="0.62541231998712765"/>
  </r>
  <r>
    <s v="ORD2441"/>
    <d v="2022-06-09T00:00:00"/>
    <x v="2"/>
    <s v="PROD186"/>
    <n v="3411.92"/>
    <n v="504.86"/>
    <n v="2"/>
    <s v="Consumer"/>
    <s v="Reinvent Mission-Critical Markets"/>
    <x v="2"/>
    <s v="Gilbert-Sanders"/>
    <n v="154.21"/>
    <n v="0.14796947173439001"/>
  </r>
  <r>
    <s v="ORD2442"/>
    <d v="2022-12-15T00:00:00"/>
    <x v="2"/>
    <s v="PROD178"/>
    <n v="3206.22"/>
    <n v="164.18"/>
    <n v="14"/>
    <s v="Small Business"/>
    <s v="Monetize Value-Added Niches"/>
    <x v="0"/>
    <s v="Foster, Velazquez and Lee"/>
    <n v="171.51"/>
    <n v="5.1206716943940224E-2"/>
  </r>
  <r>
    <s v="ORD2443"/>
    <d v="2020-07-01T00:00:00"/>
    <x v="1"/>
    <s v="PROD160"/>
    <n v="4947.76"/>
    <n v="656.2"/>
    <n v="19"/>
    <s v="Corporate"/>
    <s v="Deliver Extensible Partnerships"/>
    <x v="2"/>
    <s v="Martin, Paul and Salazar"/>
    <n v="43.76"/>
    <n v="0.13262567303183664"/>
  </r>
  <r>
    <s v="ORD2444"/>
    <d v="2020-03-05T00:00:00"/>
    <x v="1"/>
    <s v="PROD162"/>
    <n v="156.04"/>
    <n v="948.37"/>
    <n v="17"/>
    <s v="Small Business"/>
    <s v="Reinvent Visionary Niches"/>
    <x v="2"/>
    <s v="Huber-Richmond"/>
    <n v="219.81"/>
    <n v="6.0777364778261989"/>
  </r>
  <r>
    <s v="ORD2445"/>
    <d v="2023-08-31T00:00:00"/>
    <x v="1"/>
    <s v="PROD183"/>
    <n v="283.54000000000002"/>
    <n v="114.21"/>
    <n v="10"/>
    <s v="Corporate"/>
    <s v="Incentivize Front-End Mindshare"/>
    <x v="1"/>
    <s v="Phillips-Tran"/>
    <n v="196.86"/>
    <n v="0.40280031036185365"/>
  </r>
  <r>
    <s v="ORD2446"/>
    <d v="2020-04-28T00:00:00"/>
    <x v="3"/>
    <s v="PROD194"/>
    <n v="4251.58"/>
    <n v="344.63"/>
    <n v="2"/>
    <s v="Consumer"/>
    <s v="Leverage Scalable Interfaces"/>
    <x v="0"/>
    <s v="Kaufman-Jones"/>
    <n v="73.33"/>
    <n v="8.1059276786512313E-2"/>
  </r>
  <r>
    <s v="ORD2447"/>
    <d v="2021-02-19T00:00:00"/>
    <x v="2"/>
    <s v="PROD145"/>
    <n v="601.79999999999995"/>
    <n v="91.92"/>
    <n v="4"/>
    <s v="Consumer"/>
    <s v="Innovate Strategic Systems"/>
    <x v="0"/>
    <s v="Mcfarland, Parker and Armstrong"/>
    <n v="70.239999999999995"/>
    <n v="0.15274177467597211"/>
  </r>
  <r>
    <s v="ORD2448"/>
    <d v="2021-10-31T00:00:00"/>
    <x v="1"/>
    <s v="PROD177"/>
    <n v="2642.85"/>
    <n v="776.36"/>
    <n v="7"/>
    <s v="Small Business"/>
    <s v="Deploy Granular Channels"/>
    <x v="2"/>
    <s v="Barnes Ltd"/>
    <n v="288.99"/>
    <n v="0.29375863178008593"/>
  </r>
  <r>
    <s v="ORD2449"/>
    <d v="2021-06-19T00:00:00"/>
    <x v="2"/>
    <s v="PROD111"/>
    <n v="3299.25"/>
    <n v="811.05"/>
    <n v="18"/>
    <s v="Consumer"/>
    <s v="Harness Revolutionary Interfaces"/>
    <x v="2"/>
    <s v="Davis, Short and Nguyen"/>
    <n v="26.49"/>
    <n v="0.24582859740850191"/>
  </r>
  <r>
    <s v="ORD2450"/>
    <d v="2022-10-28T00:00:00"/>
    <x v="2"/>
    <s v="PROD133"/>
    <n v="1053.92"/>
    <n v="404.33"/>
    <n v="12"/>
    <s v="Small Business"/>
    <s v="Re-Intermediate Seamless Applications"/>
    <x v="0"/>
    <s v="Welch-Reed"/>
    <n v="45.82"/>
    <n v="0.38364391984211321"/>
  </r>
  <r>
    <s v="ORD2451"/>
    <d v="2022-03-06T00:00:00"/>
    <x v="3"/>
    <s v="PROD155"/>
    <n v="2499.44"/>
    <n v="913.02"/>
    <n v="8"/>
    <s v="Corporate"/>
    <s v="Incentivize User-Centric Mindshare"/>
    <x v="1"/>
    <s v="Becker, Wright and Wong"/>
    <n v="38.51"/>
    <n v="0.36528982492078221"/>
  </r>
  <r>
    <s v="ORD2452"/>
    <d v="2021-07-13T00:00:00"/>
    <x v="2"/>
    <s v="PROD106"/>
    <n v="2303.6999999999998"/>
    <n v="982.7"/>
    <n v="20"/>
    <s v="Consumer"/>
    <s v="Synergize End-To-End Supply-Chains"/>
    <x v="0"/>
    <s v="Higgins-Espinoza"/>
    <n v="279.8"/>
    <n v="0.42657464079524249"/>
  </r>
  <r>
    <s v="ORD2453"/>
    <d v="2023-03-12T00:00:00"/>
    <x v="0"/>
    <s v="PROD111"/>
    <n v="1737.99"/>
    <n v="661.17"/>
    <n v="9"/>
    <s v="Consumer"/>
    <s v="Harness Revolutionary Interfaces"/>
    <x v="2"/>
    <s v="Davis, Short and Nguyen"/>
    <n v="26.49"/>
    <n v="0.38042221186543074"/>
  </r>
  <r>
    <s v="ORD2454"/>
    <d v="2023-11-13T00:00:00"/>
    <x v="2"/>
    <s v="PROD130"/>
    <n v="4481.2700000000004"/>
    <n v="47.48"/>
    <n v="17"/>
    <s v="Consumer"/>
    <s v="Synthesize Wireless Initiatives"/>
    <x v="1"/>
    <s v="Mosley Ltd"/>
    <n v="162.69999999999999"/>
    <n v="1.0595210732671763E-2"/>
  </r>
  <r>
    <s v="ORD2455"/>
    <d v="2022-04-15T00:00:00"/>
    <x v="3"/>
    <s v="PROD130"/>
    <n v="1129.42"/>
    <n v="858.97"/>
    <n v="14"/>
    <s v="Small Business"/>
    <s v="Synthesize Wireless Initiatives"/>
    <x v="1"/>
    <s v="Mosley Ltd"/>
    <n v="162.69999999999999"/>
    <n v="0.76054080855660422"/>
  </r>
  <r>
    <s v="ORD2456"/>
    <d v="2022-11-14T00:00:00"/>
    <x v="0"/>
    <s v="PROD122"/>
    <n v="4889.49"/>
    <n v="692.67"/>
    <n v="7"/>
    <s v="Small Business"/>
    <s v="Empower Dot-Com Deliverables"/>
    <x v="1"/>
    <s v="Davis LLC"/>
    <n v="250.66"/>
    <n v="0.14166508163428088"/>
  </r>
  <r>
    <s v="ORD2457"/>
    <d v="2023-04-16T00:00:00"/>
    <x v="0"/>
    <s v="PROD103"/>
    <n v="4914.41"/>
    <n v="132.91999999999999"/>
    <n v="18"/>
    <s v="Consumer"/>
    <s v="Monetize Collaborative Metrics"/>
    <x v="1"/>
    <s v="Ramirez-Brown"/>
    <n v="286.04000000000002"/>
    <n v="2.7046990381347912E-2"/>
  </r>
  <r>
    <s v="ORD2458"/>
    <d v="2020-10-17T00:00:00"/>
    <x v="0"/>
    <s v="PROD161"/>
    <n v="1461.9"/>
    <n v="842.71"/>
    <n v="6"/>
    <s v="Consumer"/>
    <s v="Synergize E-Business Deliverables"/>
    <x v="1"/>
    <s v="Crawford, Warren and Williams"/>
    <n v="125.93"/>
    <n v="0.57644845748683216"/>
  </r>
  <r>
    <s v="ORD2459"/>
    <d v="2021-06-05T00:00:00"/>
    <x v="1"/>
    <s v="PROD124"/>
    <n v="4420.88"/>
    <n v="632.05999999999995"/>
    <n v="12"/>
    <s v="Corporate"/>
    <s v="Incubate Real-Time E-Tailers"/>
    <x v="1"/>
    <s v="Johnson-Riley"/>
    <n v="86.67"/>
    <n v="0.14297153507898877"/>
  </r>
  <r>
    <s v="ORD2460"/>
    <d v="2020-02-10T00:00:00"/>
    <x v="1"/>
    <s v="PROD169"/>
    <n v="2910.68"/>
    <n v="346.75"/>
    <n v="3"/>
    <s v="Corporate"/>
    <s v="Unleash End-To-End Web Services"/>
    <x v="0"/>
    <s v="Jones Ltd"/>
    <n v="188.02"/>
    <n v="0.1191302376077068"/>
  </r>
  <r>
    <s v="ORD2461"/>
    <d v="2022-02-23T00:00:00"/>
    <x v="1"/>
    <s v="PROD127"/>
    <n v="3441.03"/>
    <n v="320.76"/>
    <n v="19"/>
    <s v="Corporate"/>
    <s v="Deliver Viral Channels"/>
    <x v="2"/>
    <s v="Parker LLC"/>
    <n v="45.41"/>
    <n v="9.3216275359412723E-2"/>
  </r>
  <r>
    <s v="ORD2462"/>
    <d v="2022-10-24T00:00:00"/>
    <x v="3"/>
    <s v="PROD189"/>
    <n v="1764.26"/>
    <n v="300.52"/>
    <n v="19"/>
    <s v="Corporate"/>
    <s v="E-Enable Next-Generation Experiences"/>
    <x v="2"/>
    <s v="Sanchez-Quinn"/>
    <n v="266.93"/>
    <n v="0.17033770532687925"/>
  </r>
  <r>
    <s v="ORD2463"/>
    <d v="2020-03-10T00:00:00"/>
    <x v="0"/>
    <s v="PROD122"/>
    <n v="4151.6499999999996"/>
    <n v="15.77"/>
    <n v="5"/>
    <s v="Consumer"/>
    <s v="Empower Dot-Com Deliverables"/>
    <x v="1"/>
    <s v="Davis LLC"/>
    <n v="250.66"/>
    <n v="3.798489757084533E-3"/>
  </r>
  <r>
    <s v="ORD2464"/>
    <d v="2022-01-24T00:00:00"/>
    <x v="3"/>
    <s v="PROD176"/>
    <n v="2104.94"/>
    <n v="250.61"/>
    <n v="3"/>
    <s v="Corporate"/>
    <s v="Facilitate Integrated E-Business"/>
    <x v="0"/>
    <s v="Chang-Vargas"/>
    <n v="130.33000000000001"/>
    <n v="0.11905802540689996"/>
  </r>
  <r>
    <s v="ORD2465"/>
    <d v="2021-10-01T00:00:00"/>
    <x v="3"/>
    <s v="PROD127"/>
    <n v="3464.68"/>
    <n v="105.22"/>
    <n v="11"/>
    <s v="Consumer"/>
    <s v="Deliver Viral Channels"/>
    <x v="2"/>
    <s v="Parker LLC"/>
    <n v="45.41"/>
    <n v="3.0369327037417598E-2"/>
  </r>
  <r>
    <s v="ORD2466"/>
    <d v="2022-05-31T00:00:00"/>
    <x v="1"/>
    <s v="PROD178"/>
    <n v="1702.79"/>
    <n v="616.91999999999996"/>
    <n v="10"/>
    <s v="Corporate"/>
    <s v="Monetize Value-Added Niches"/>
    <x v="0"/>
    <s v="Foster, Velazquez and Lee"/>
    <n v="171.51"/>
    <n v="0.36229952019920247"/>
  </r>
  <r>
    <s v="ORD2467"/>
    <d v="2024-03-15T00:00:00"/>
    <x v="3"/>
    <s v="PROD102"/>
    <n v="313.83"/>
    <n v="531.13"/>
    <n v="5"/>
    <s v="Corporate"/>
    <s v="Optimize Transparent E-Markets"/>
    <x v="0"/>
    <s v="Lee, Tyler and Blevins"/>
    <n v="111.22"/>
    <n v="1.6924130898894307"/>
  </r>
  <r>
    <s v="ORD2468"/>
    <d v="2020-10-06T00:00:00"/>
    <x v="1"/>
    <s v="PROD189"/>
    <n v="1187.52"/>
    <n v="806.89"/>
    <n v="18"/>
    <s v="Consumer"/>
    <s v="E-Enable Next-Generation Experiences"/>
    <x v="2"/>
    <s v="Sanchez-Quinn"/>
    <n v="266.93"/>
    <n v="0.67947487200215573"/>
  </r>
  <r>
    <s v="ORD2469"/>
    <d v="2024-01-09T00:00:00"/>
    <x v="0"/>
    <s v="PROD116"/>
    <n v="477.01"/>
    <n v="814.94"/>
    <n v="6"/>
    <s v="Small Business"/>
    <s v="Synergize Cross-Platform Vortals"/>
    <x v="2"/>
    <s v="Edwards Group"/>
    <n v="87.18"/>
    <n v="1.7084337854552316"/>
  </r>
  <r>
    <s v="ORD2470"/>
    <d v="2023-09-05T00:00:00"/>
    <x v="0"/>
    <s v="PROD109"/>
    <n v="2210.8200000000002"/>
    <n v="658.97"/>
    <n v="4"/>
    <s v="Small Business"/>
    <s v="Orchestrate E-Business Niches"/>
    <x v="2"/>
    <s v="Johnson LLC"/>
    <n v="198.99"/>
    <n v="0.29806587600980633"/>
  </r>
  <r>
    <s v="ORD2471"/>
    <d v="2022-03-05T00:00:00"/>
    <x v="3"/>
    <s v="PROD107"/>
    <n v="4942.01"/>
    <n v="619.16999999999996"/>
    <n v="5"/>
    <s v="Corporate"/>
    <s v="Utilize Back-End Models"/>
    <x v="2"/>
    <s v="Lewis-Holden"/>
    <n v="241.53"/>
    <n v="0.12528707954860471"/>
  </r>
  <r>
    <s v="ORD2472"/>
    <d v="2021-05-16T00:00:00"/>
    <x v="3"/>
    <s v="PROD157"/>
    <n v="2688.5"/>
    <n v="181.31"/>
    <n v="14"/>
    <s v="Small Business"/>
    <s v="Implement Rich Platforms"/>
    <x v="1"/>
    <s v="Parker, Anderson and Salazar"/>
    <n v="53.59"/>
    <n v="6.7439092430723449E-2"/>
  </r>
  <r>
    <s v="ORD2473"/>
    <d v="2022-01-24T00:00:00"/>
    <x v="2"/>
    <s v="PROD174"/>
    <n v="2427.8200000000002"/>
    <n v="509.1"/>
    <n v="12"/>
    <s v="Small Business"/>
    <s v="Disintermediate Scalable Bandwidth"/>
    <x v="1"/>
    <s v="Levy PLC"/>
    <n v="19.86"/>
    <n v="0.20969429364615169"/>
  </r>
  <r>
    <s v="ORD2474"/>
    <d v="2021-06-18T00:00:00"/>
    <x v="3"/>
    <s v="PROD150"/>
    <n v="3127.87"/>
    <n v="456.36"/>
    <n v="3"/>
    <s v="Small Business"/>
    <s v="Evolve Intuitive Bandwidth"/>
    <x v="0"/>
    <s v="Rogers Group"/>
    <n v="131.63"/>
    <n v="0.14590120433393972"/>
  </r>
  <r>
    <s v="ORD2475"/>
    <d v="2021-04-26T00:00:00"/>
    <x v="1"/>
    <s v="PROD158"/>
    <n v="1727.88"/>
    <n v="794.76"/>
    <n v="12"/>
    <s v="Consumer"/>
    <s v="Brand Web-Enabled Solutions"/>
    <x v="1"/>
    <s v="Russell Group"/>
    <n v="51.67"/>
    <n v="0.45996249739565243"/>
  </r>
  <r>
    <s v="ORD2476"/>
    <d v="2024-06-04T00:00:00"/>
    <x v="3"/>
    <s v="PROD123"/>
    <n v="3037.03"/>
    <n v="805.65"/>
    <n v="16"/>
    <s v="Small Business"/>
    <s v="Redefine Real-Time Convergence"/>
    <x v="1"/>
    <s v="Hayes, Peters and Douglas"/>
    <n v="78.260000000000005"/>
    <n v="0.26527561466300958"/>
  </r>
  <r>
    <s v="ORD2477"/>
    <d v="2022-09-07T00:00:00"/>
    <x v="1"/>
    <s v="PROD152"/>
    <n v="528.20000000000005"/>
    <n v="645.54999999999995"/>
    <n v="18"/>
    <s v="Small Business"/>
    <s v="Reinvent Frictionless Roi"/>
    <x v="2"/>
    <s v="Bridges, Castillo and Rodriguez"/>
    <n v="253.89"/>
    <n v="1.2221696327148805"/>
  </r>
  <r>
    <s v="ORD2478"/>
    <d v="2023-04-19T00:00:00"/>
    <x v="2"/>
    <s v="PROD101"/>
    <n v="3856.01"/>
    <n v="697.4"/>
    <n v="6"/>
    <s v="Small Business"/>
    <s v="Harness Proactive Eyeballs"/>
    <x v="1"/>
    <s v="Moran and Sons"/>
    <n v="58.01"/>
    <n v="0.18086052681398646"/>
  </r>
  <r>
    <s v="ORD2479"/>
    <d v="2023-06-22T00:00:00"/>
    <x v="1"/>
    <s v="PROD172"/>
    <n v="167.89"/>
    <n v="505.57"/>
    <n v="8"/>
    <s v="Small Business"/>
    <s v="E-Enable Virtual Methodologies"/>
    <x v="0"/>
    <s v="Floyd-Love"/>
    <n v="283.64999999999998"/>
    <n v="3.0113169337065937"/>
  </r>
  <r>
    <s v="ORD2480"/>
    <d v="2022-12-20T00:00:00"/>
    <x v="0"/>
    <s v="PROD198"/>
    <n v="4360.66"/>
    <n v="773.54"/>
    <n v="15"/>
    <s v="Small Business"/>
    <s v="Visualize Dynamic E-Commerce"/>
    <x v="2"/>
    <s v="Jones LLC"/>
    <n v="92.61"/>
    <n v="0.17739057849041201"/>
  </r>
  <r>
    <s v="ORD2481"/>
    <d v="2023-10-22T00:00:00"/>
    <x v="2"/>
    <s v="PROD175"/>
    <n v="4227.76"/>
    <n v="648.34"/>
    <n v="10"/>
    <s v="Small Business"/>
    <s v="Empower Bleeding-Edge Action-Items"/>
    <x v="2"/>
    <s v="Gray, Hayes and Banks"/>
    <n v="204.26"/>
    <n v="0.15335307586050295"/>
  </r>
  <r>
    <s v="ORD2482"/>
    <d v="2024-03-08T00:00:00"/>
    <x v="0"/>
    <s v="PROD120"/>
    <n v="4864.29"/>
    <n v="686.79"/>
    <n v="17"/>
    <s v="Corporate"/>
    <s v="Mesh B2B Platforms"/>
    <x v="2"/>
    <s v="Stevens, Walton and Riddle"/>
    <n v="236.57"/>
    <n v="0.14119018397340619"/>
  </r>
  <r>
    <s v="ORD2483"/>
    <d v="2020-04-05T00:00:00"/>
    <x v="0"/>
    <s v="PROD177"/>
    <n v="3037.31"/>
    <n v="422.45"/>
    <n v="14"/>
    <s v="Consumer"/>
    <s v="Deploy Granular Channels"/>
    <x v="2"/>
    <s v="Barnes Ltd"/>
    <n v="288.99"/>
    <n v="0.13908688938567351"/>
  </r>
  <r>
    <s v="ORD2484"/>
    <d v="2023-06-18T00:00:00"/>
    <x v="3"/>
    <s v="PROD145"/>
    <n v="2639.62"/>
    <n v="923.18"/>
    <n v="3"/>
    <s v="Consumer"/>
    <s v="Innovate Strategic Systems"/>
    <x v="0"/>
    <s v="Mcfarland, Parker and Armstrong"/>
    <n v="70.239999999999995"/>
    <n v="0.34973973526492447"/>
  </r>
  <r>
    <s v="ORD2485"/>
    <d v="2020-03-05T00:00:00"/>
    <x v="1"/>
    <s v="PROD118"/>
    <n v="3853.22"/>
    <n v="851.68"/>
    <n v="4"/>
    <s v="Corporate"/>
    <s v="Engineer Real-Time Architectures"/>
    <x v="2"/>
    <s v="James and Sons"/>
    <n v="127.23"/>
    <n v="0.22103072235688592"/>
  </r>
  <r>
    <s v="ORD2486"/>
    <d v="2021-03-12T00:00:00"/>
    <x v="3"/>
    <s v="PROD138"/>
    <n v="1907.94"/>
    <n v="984.85"/>
    <n v="18"/>
    <s v="Small Business"/>
    <s v="Deliver Viral Eyeballs"/>
    <x v="0"/>
    <s v="Estes, Chan and Thomas"/>
    <n v="16.89"/>
    <n v="0.51618499533528306"/>
  </r>
  <r>
    <s v="ORD2487"/>
    <d v="2020-04-05T00:00:00"/>
    <x v="2"/>
    <s v="PROD191"/>
    <n v="2838.34"/>
    <n v="609.39"/>
    <n v="9"/>
    <s v="Small Business"/>
    <s v="Synergize Frictionless Synergies"/>
    <x v="2"/>
    <s v="Hester and Sons"/>
    <n v="289.06"/>
    <n v="0.21469943699486319"/>
  </r>
  <r>
    <s v="ORD2488"/>
    <d v="2024-07-10T00:00:00"/>
    <x v="3"/>
    <s v="PROD115"/>
    <n v="3953.69"/>
    <n v="966.66"/>
    <n v="3"/>
    <s v="Small Business"/>
    <s v="Morph World-Class Synergies"/>
    <x v="1"/>
    <s v="Bryant Ltd"/>
    <n v="20.69"/>
    <n v="0.24449564836899199"/>
  </r>
  <r>
    <s v="ORD2489"/>
    <d v="2024-10-24T00:00:00"/>
    <x v="0"/>
    <s v="PROD144"/>
    <n v="4643.3500000000004"/>
    <n v="781.42"/>
    <n v="17"/>
    <s v="Corporate"/>
    <s v="Expedite Synergistic Web-Readiness"/>
    <x v="1"/>
    <s v="Dunlap, Carpenter and Monroe"/>
    <n v="289.66000000000003"/>
    <n v="0.16828798173732323"/>
  </r>
  <r>
    <s v="ORD2490"/>
    <d v="2020-09-02T00:00:00"/>
    <x v="3"/>
    <s v="PROD186"/>
    <n v="109.72"/>
    <n v="879.28"/>
    <n v="12"/>
    <s v="Corporate"/>
    <s v="Reinvent Mission-Critical Markets"/>
    <x v="2"/>
    <s v="Gilbert-Sanders"/>
    <n v="154.21"/>
    <n v="8.0138534451330656"/>
  </r>
  <r>
    <s v="ORD2491"/>
    <d v="2022-10-11T00:00:00"/>
    <x v="3"/>
    <s v="PROD130"/>
    <n v="4834.57"/>
    <n v="61.6"/>
    <n v="16"/>
    <s v="Corporate"/>
    <s v="Synthesize Wireless Initiatives"/>
    <x v="1"/>
    <s v="Mosley Ltd"/>
    <n v="162.69999999999999"/>
    <n v="1.2741567502383875E-2"/>
  </r>
  <r>
    <s v="ORD2492"/>
    <d v="2022-09-12T00:00:00"/>
    <x v="3"/>
    <s v="PROD155"/>
    <n v="4870.43"/>
    <n v="343.28"/>
    <n v="8"/>
    <s v="Corporate"/>
    <s v="Incentivize User-Centric Mindshare"/>
    <x v="1"/>
    <s v="Becker, Wright and Wong"/>
    <n v="38.51"/>
    <n v="7.0482483066176896E-2"/>
  </r>
  <r>
    <s v="ORD2493"/>
    <d v="2022-11-22T00:00:00"/>
    <x v="0"/>
    <s v="PROD160"/>
    <n v="4704.21"/>
    <n v="679.78"/>
    <n v="20"/>
    <s v="Consumer"/>
    <s v="Deliver Extensible Partnerships"/>
    <x v="2"/>
    <s v="Martin, Paul and Salazar"/>
    <n v="43.76"/>
    <n v="0.14450460332340606"/>
  </r>
  <r>
    <s v="ORD2494"/>
    <d v="2021-07-04T00:00:00"/>
    <x v="1"/>
    <s v="PROD176"/>
    <n v="2616.7199999999998"/>
    <n v="409.45"/>
    <n v="7"/>
    <s v="Small Business"/>
    <s v="Facilitate Integrated E-Business"/>
    <x v="0"/>
    <s v="Chang-Vargas"/>
    <n v="130.33000000000001"/>
    <n v="0.15647451771683635"/>
  </r>
  <r>
    <s v="ORD2495"/>
    <d v="2020-12-29T00:00:00"/>
    <x v="0"/>
    <s v="PROD117"/>
    <n v="3780.64"/>
    <n v="511.29"/>
    <n v="3"/>
    <s v="Consumer"/>
    <s v="Revolutionize Efficient Niches"/>
    <x v="1"/>
    <s v="Lopez-Torres"/>
    <n v="23.02"/>
    <n v="0.1352390071522282"/>
  </r>
  <r>
    <s v="ORD2496"/>
    <d v="2022-09-27T00:00:00"/>
    <x v="1"/>
    <s v="PROD164"/>
    <n v="1821.65"/>
    <n v="104.35"/>
    <n v="9"/>
    <s v="Corporate"/>
    <s v="Transition Compelling Web-Readiness"/>
    <x v="2"/>
    <s v="Wood-Beck"/>
    <n v="88.34"/>
    <n v="5.7283232234512663E-2"/>
  </r>
  <r>
    <s v="ORD2497"/>
    <d v="2024-02-09T00:00:00"/>
    <x v="2"/>
    <s v="PROD156"/>
    <n v="3984.89"/>
    <n v="800.38"/>
    <n v="11"/>
    <s v="Consumer"/>
    <s v="Empower Killer Info-Mediaries"/>
    <x v="2"/>
    <s v="Jones Ltd"/>
    <n v="213.24"/>
    <n v="0.20085372494598347"/>
  </r>
  <r>
    <s v="ORD2498"/>
    <d v="2024-02-17T00:00:00"/>
    <x v="0"/>
    <s v="PROD173"/>
    <n v="984.2"/>
    <n v="546.08000000000004"/>
    <n v="7"/>
    <s v="Small Business"/>
    <s v="Whiteboard Sticky Content"/>
    <x v="2"/>
    <s v="Wolfe Group"/>
    <n v="82.16"/>
    <n v="0.55484657589920749"/>
  </r>
  <r>
    <s v="ORD2499"/>
    <d v="2022-08-15T00:00:00"/>
    <x v="0"/>
    <s v="PROD159"/>
    <n v="551.79"/>
    <n v="399.67"/>
    <n v="3"/>
    <s v="Small Business"/>
    <s v="Mesh Intuitive Supply-Chains"/>
    <x v="1"/>
    <s v="Soto, Barnett and Heath"/>
    <n v="281"/>
    <n v="0.72431540984794951"/>
  </r>
  <r>
    <s v="ORD2500"/>
    <d v="2021-09-12T00:00:00"/>
    <x v="3"/>
    <s v="PROD122"/>
    <n v="2302.3200000000002"/>
    <n v="18.28"/>
    <n v="9"/>
    <s v="Small Business"/>
    <s v="Empower Dot-Com Deliverables"/>
    <x v="1"/>
    <s v="Davis LLC"/>
    <n v="250.66"/>
    <n v="7.9398172278397437E-3"/>
  </r>
  <r>
    <s v="ORD2501"/>
    <d v="2021-05-17T00:00:00"/>
    <x v="1"/>
    <s v="PROD183"/>
    <n v="2095.5500000000002"/>
    <n v="676.8"/>
    <n v="14"/>
    <s v="Corporate"/>
    <s v="Incentivize Front-End Mindshare"/>
    <x v="1"/>
    <s v="Phillips-Tran"/>
    <n v="196.86"/>
    <n v="0.3229701033141657"/>
  </r>
  <r>
    <s v="ORD2502"/>
    <d v="2023-03-24T00:00:00"/>
    <x v="1"/>
    <s v="PROD137"/>
    <n v="1647.4"/>
    <n v="569.24"/>
    <n v="20"/>
    <s v="Consumer"/>
    <s v="Optimize Collaborative Initiatives"/>
    <x v="1"/>
    <s v="Adkins Ltd"/>
    <n v="34.46"/>
    <n v="0.34553842418356195"/>
  </r>
  <r>
    <s v="ORD2503"/>
    <d v="2023-09-23T00:00:00"/>
    <x v="1"/>
    <s v="PROD156"/>
    <n v="4241.49"/>
    <n v="281.37"/>
    <n v="1"/>
    <s v="Corporate"/>
    <s v="Empower Killer Info-Mediaries"/>
    <x v="2"/>
    <s v="Jones Ltd"/>
    <n v="213.24"/>
    <n v="6.633753704476493E-2"/>
  </r>
  <r>
    <s v="ORD2504"/>
    <d v="2022-11-30T00:00:00"/>
    <x v="2"/>
    <s v="PROD179"/>
    <n v="4413.0600000000004"/>
    <n v="460.48"/>
    <n v="20"/>
    <s v="Corporate"/>
    <s v="Target Viral Methodologies"/>
    <x v="1"/>
    <s v="Alvarez, Myers and Walter"/>
    <n v="149.26"/>
    <n v="0.10434483102427794"/>
  </r>
  <r>
    <s v="ORD2505"/>
    <d v="2020-12-18T00:00:00"/>
    <x v="2"/>
    <s v="PROD160"/>
    <n v="622.29999999999995"/>
    <n v="674.2"/>
    <n v="20"/>
    <s v="Corporate"/>
    <s v="Deliver Extensible Partnerships"/>
    <x v="2"/>
    <s v="Martin, Paul and Salazar"/>
    <n v="43.76"/>
    <n v="1.0834002892495582"/>
  </r>
  <r>
    <s v="ORD2506"/>
    <d v="2021-06-20T00:00:00"/>
    <x v="1"/>
    <s v="PROD196"/>
    <n v="3830.76"/>
    <n v="295.99"/>
    <n v="19"/>
    <s v="Small Business"/>
    <s v="Strategize E-Business Content"/>
    <x v="1"/>
    <s v="Patterson LLC"/>
    <n v="294.02"/>
    <n v="7.7266652048157539E-2"/>
  </r>
  <r>
    <s v="ORD2507"/>
    <d v="2022-09-25T00:00:00"/>
    <x v="0"/>
    <s v="PROD142"/>
    <n v="312.74"/>
    <n v="705.83"/>
    <n v="8"/>
    <s v="Small Business"/>
    <s v="Target Bricks-And-Clicks Channels"/>
    <x v="1"/>
    <s v="Dunn, Christensen and Meyer"/>
    <n v="126.86"/>
    <n v="2.2569226833791647"/>
  </r>
  <r>
    <s v="ORD2508"/>
    <d v="2023-07-09T00:00:00"/>
    <x v="1"/>
    <s v="PROD160"/>
    <n v="3571.75"/>
    <n v="570.14"/>
    <n v="13"/>
    <s v="Corporate"/>
    <s v="Deliver Extensible Partnerships"/>
    <x v="2"/>
    <s v="Martin, Paul and Salazar"/>
    <n v="43.76"/>
    <n v="0.15962483376496114"/>
  </r>
  <r>
    <s v="ORD2509"/>
    <d v="2022-01-22T00:00:00"/>
    <x v="1"/>
    <s v="PROD160"/>
    <n v="4105.55"/>
    <n v="281.39999999999998"/>
    <n v="17"/>
    <s v="Corporate"/>
    <s v="Deliver Extensible Partnerships"/>
    <x v="2"/>
    <s v="Martin, Paul and Salazar"/>
    <n v="43.76"/>
    <n v="6.8541364737976632E-2"/>
  </r>
  <r>
    <s v="ORD2510"/>
    <d v="2021-12-29T00:00:00"/>
    <x v="0"/>
    <s v="PROD131"/>
    <n v="3099.15"/>
    <n v="57.35"/>
    <n v="18"/>
    <s v="Consumer"/>
    <s v="Scale Bleeding-Edge Schemas"/>
    <x v="1"/>
    <s v="Frazier-Schneider"/>
    <n v="54.8"/>
    <n v="1.8505073971895519E-2"/>
  </r>
  <r>
    <s v="ORD2511"/>
    <d v="2024-04-21T00:00:00"/>
    <x v="2"/>
    <s v="PROD106"/>
    <n v="1741.65"/>
    <n v="512.38"/>
    <n v="17"/>
    <s v="Consumer"/>
    <s v="Synergize End-To-End Supply-Chains"/>
    <x v="0"/>
    <s v="Higgins-Espinoza"/>
    <n v="279.8"/>
    <n v="0.29419228892142507"/>
  </r>
  <r>
    <s v="ORD2512"/>
    <d v="2023-03-28T00:00:00"/>
    <x v="2"/>
    <s v="PROD141"/>
    <n v="1630.57"/>
    <n v="278.62"/>
    <n v="4"/>
    <s v="Consumer"/>
    <s v="Re-Contextualize Integrated Info-Mediaries"/>
    <x v="1"/>
    <s v="Jones-Schroeder"/>
    <n v="26.02"/>
    <n v="0.17087276228558113"/>
  </r>
  <r>
    <s v="ORD2513"/>
    <d v="2023-04-22T00:00:00"/>
    <x v="3"/>
    <s v="PROD188"/>
    <n v="2554.46"/>
    <n v="323.64999999999998"/>
    <n v="13"/>
    <s v="Small Business"/>
    <s v="Transition Mission-Critical Interfaces"/>
    <x v="0"/>
    <s v="Weaver Ltd"/>
    <n v="34.64"/>
    <n v="0.12669996789928203"/>
  </r>
  <r>
    <s v="ORD2514"/>
    <d v="2022-03-03T00:00:00"/>
    <x v="2"/>
    <s v="PROD141"/>
    <n v="3237.64"/>
    <n v="134.52000000000001"/>
    <n v="12"/>
    <s v="Corporate"/>
    <s v="Re-Contextualize Integrated Info-Mediaries"/>
    <x v="1"/>
    <s v="Jones-Schroeder"/>
    <n v="26.02"/>
    <n v="4.1548782446473365E-2"/>
  </r>
  <r>
    <s v="ORD2515"/>
    <d v="2021-02-20T00:00:00"/>
    <x v="1"/>
    <s v="PROD165"/>
    <n v="763.42"/>
    <n v="191.72"/>
    <n v="7"/>
    <s v="Consumer"/>
    <s v="Benchmark Cross-Platform Markets"/>
    <x v="2"/>
    <s v="Murphy, Mathews and Wilson"/>
    <n v="78.88"/>
    <n v="0.25113305912865791"/>
  </r>
  <r>
    <s v="ORD2516"/>
    <d v="2023-06-18T00:00:00"/>
    <x v="3"/>
    <s v="PROD198"/>
    <n v="1377.49"/>
    <n v="382.38"/>
    <n v="9"/>
    <s v="Consumer"/>
    <s v="Visualize Dynamic E-Commerce"/>
    <x v="2"/>
    <s v="Jones LLC"/>
    <n v="92.61"/>
    <n v="0.27759185184647439"/>
  </r>
  <r>
    <s v="ORD2517"/>
    <d v="2024-09-10T00:00:00"/>
    <x v="0"/>
    <s v="PROD157"/>
    <n v="1856.69"/>
    <n v="993.73"/>
    <n v="14"/>
    <s v="Consumer"/>
    <s v="Implement Rich Platforms"/>
    <x v="1"/>
    <s v="Parker, Anderson and Salazar"/>
    <n v="53.59"/>
    <n v="0.53521589495284616"/>
  </r>
  <r>
    <s v="ORD2518"/>
    <d v="2022-10-02T00:00:00"/>
    <x v="2"/>
    <s v="PROD171"/>
    <n v="581.61"/>
    <n v="249.66"/>
    <n v="5"/>
    <s v="Corporate"/>
    <s v="Scale 24/365 Networks"/>
    <x v="2"/>
    <s v="Kim-Hamilton"/>
    <n v="157.55000000000001"/>
    <n v="0.42925671841955948"/>
  </r>
  <r>
    <s v="ORD2519"/>
    <d v="2024-05-13T00:00:00"/>
    <x v="3"/>
    <s v="PROD192"/>
    <n v="3577.73"/>
    <n v="944.48"/>
    <n v="8"/>
    <s v="Consumer"/>
    <s v="Drive Compelling E-Services"/>
    <x v="0"/>
    <s v="Morris-Villanueva"/>
    <n v="27.22"/>
    <n v="0.26398861848155114"/>
  </r>
  <r>
    <s v="ORD2520"/>
    <d v="2021-09-27T00:00:00"/>
    <x v="0"/>
    <s v="PROD103"/>
    <n v="4267.91"/>
    <n v="770.31"/>
    <n v="16"/>
    <s v="Corporate"/>
    <s v="Monetize Collaborative Metrics"/>
    <x v="1"/>
    <s v="Ramirez-Brown"/>
    <n v="286.04000000000002"/>
    <n v="0.18048881068251205"/>
  </r>
  <r>
    <s v="ORD2521"/>
    <d v="2021-06-06T00:00:00"/>
    <x v="3"/>
    <s v="PROD149"/>
    <n v="3769.37"/>
    <n v="311.89999999999998"/>
    <n v="12"/>
    <s v="Small Business"/>
    <s v="Envisioneer B2C Web-Readiness"/>
    <x v="1"/>
    <s v="Kemp Group"/>
    <n v="97.23"/>
    <n v="8.2745923058760482E-2"/>
  </r>
  <r>
    <s v="ORD2522"/>
    <d v="2024-08-29T00:00:00"/>
    <x v="1"/>
    <s v="PROD114"/>
    <n v="1890.62"/>
    <n v="319.49"/>
    <n v="9"/>
    <s v="Corporate"/>
    <s v="Orchestrate User-Centric Platforms"/>
    <x v="2"/>
    <s v="Wells Ltd"/>
    <n v="201.87"/>
    <n v="0.16898689318847787"/>
  </r>
  <r>
    <s v="ORD2523"/>
    <d v="2022-03-18T00:00:00"/>
    <x v="0"/>
    <s v="PROD133"/>
    <n v="4830.42"/>
    <n v="895.6"/>
    <n v="6"/>
    <s v="Small Business"/>
    <s v="Re-Intermediate Seamless Applications"/>
    <x v="0"/>
    <s v="Welch-Reed"/>
    <n v="45.82"/>
    <n v="0.18540830818024107"/>
  </r>
  <r>
    <s v="ORD2524"/>
    <d v="2023-03-24T00:00:00"/>
    <x v="2"/>
    <s v="PROD163"/>
    <n v="1642.55"/>
    <n v="699.09"/>
    <n v="4"/>
    <s v="Small Business"/>
    <s v="Grow Back-End Supply-Chains"/>
    <x v="1"/>
    <s v="Green LLC"/>
    <n v="140.08000000000001"/>
    <n v="0.42561261453228216"/>
  </r>
  <r>
    <s v="ORD2525"/>
    <d v="2020-06-25T00:00:00"/>
    <x v="2"/>
    <s v="PROD194"/>
    <n v="4138.8999999999996"/>
    <n v="463.07"/>
    <n v="2"/>
    <s v="Consumer"/>
    <s v="Leverage Scalable Interfaces"/>
    <x v="0"/>
    <s v="Kaufman-Jones"/>
    <n v="73.33"/>
    <n v="0.11188238420836455"/>
  </r>
  <r>
    <s v="ORD2526"/>
    <d v="2021-05-09T00:00:00"/>
    <x v="0"/>
    <s v="PROD141"/>
    <n v="4746.08"/>
    <n v="570.6"/>
    <n v="19"/>
    <s v="Consumer"/>
    <s v="Re-Contextualize Integrated Info-Mediaries"/>
    <x v="1"/>
    <s v="Jones-Schroeder"/>
    <n v="26.02"/>
    <n v="0.12022553349290363"/>
  </r>
  <r>
    <s v="ORD2527"/>
    <d v="2024-07-29T00:00:00"/>
    <x v="2"/>
    <s v="PROD133"/>
    <n v="2311.9899999999998"/>
    <n v="820.05"/>
    <n v="5"/>
    <s v="Corporate"/>
    <s v="Re-Intermediate Seamless Applications"/>
    <x v="0"/>
    <s v="Welch-Reed"/>
    <n v="45.82"/>
    <n v="0.35469444071989931"/>
  </r>
  <r>
    <s v="ORD2528"/>
    <d v="2022-02-03T00:00:00"/>
    <x v="2"/>
    <s v="PROD177"/>
    <n v="510.8"/>
    <n v="722.1"/>
    <n v="14"/>
    <s v="Small Business"/>
    <s v="Deploy Granular Channels"/>
    <x v="2"/>
    <s v="Barnes Ltd"/>
    <n v="288.99"/>
    <n v="1.413664839467502"/>
  </r>
  <r>
    <s v="ORD2529"/>
    <d v="2020-04-19T00:00:00"/>
    <x v="1"/>
    <s v="PROD159"/>
    <n v="4167.83"/>
    <n v="708.73"/>
    <n v="11"/>
    <s v="Corporate"/>
    <s v="Mesh Intuitive Supply-Chains"/>
    <x v="1"/>
    <s v="Soto, Barnett and Heath"/>
    <n v="281"/>
    <n v="0.17004772267582891"/>
  </r>
  <r>
    <s v="ORD2530"/>
    <d v="2020-06-13T00:00:00"/>
    <x v="3"/>
    <s v="PROD172"/>
    <n v="4082.83"/>
    <n v="354.05"/>
    <n v="2"/>
    <s v="Small Business"/>
    <s v="E-Enable Virtual Methodologies"/>
    <x v="0"/>
    <s v="Floyd-Love"/>
    <n v="283.64999999999998"/>
    <n v="8.6716811623310311E-2"/>
  </r>
  <r>
    <s v="ORD2531"/>
    <d v="2021-02-15T00:00:00"/>
    <x v="2"/>
    <s v="PROD175"/>
    <n v="2466.98"/>
    <n v="941.14"/>
    <n v="16"/>
    <s v="Consumer"/>
    <s v="Empower Bleeding-Edge Action-Items"/>
    <x v="2"/>
    <s v="Gray, Hayes and Banks"/>
    <n v="204.26"/>
    <n v="0.38149478309512036"/>
  </r>
  <r>
    <s v="ORD2532"/>
    <d v="2024-04-20T00:00:00"/>
    <x v="3"/>
    <s v="PROD110"/>
    <n v="4254.4399999999996"/>
    <n v="515.71"/>
    <n v="4"/>
    <s v="Consumer"/>
    <s v="E-Enable Holistic Supply-Chains"/>
    <x v="2"/>
    <s v="Lin-Mcdaniel"/>
    <n v="160.33000000000001"/>
    <n v="0.12121689341017856"/>
  </r>
  <r>
    <s v="ORD2533"/>
    <d v="2022-06-14T00:00:00"/>
    <x v="0"/>
    <s v="PROD145"/>
    <n v="186.82"/>
    <n v="611.65"/>
    <n v="9"/>
    <s v="Corporate"/>
    <s v="Innovate Strategic Systems"/>
    <x v="0"/>
    <s v="Mcfarland, Parker and Armstrong"/>
    <n v="70.239999999999995"/>
    <n v="3.2740070656246654"/>
  </r>
  <r>
    <s v="ORD2534"/>
    <d v="2021-10-19T00:00:00"/>
    <x v="2"/>
    <s v="PROD107"/>
    <n v="2048.3200000000002"/>
    <n v="893.96"/>
    <n v="1"/>
    <s v="Consumer"/>
    <s v="Utilize Back-End Models"/>
    <x v="2"/>
    <s v="Lewis-Holden"/>
    <n v="241.53"/>
    <n v="0.43643571316981722"/>
  </r>
  <r>
    <s v="ORD2535"/>
    <d v="2020-10-23T00:00:00"/>
    <x v="0"/>
    <s v="PROD136"/>
    <n v="4336.4799999999996"/>
    <n v="492.11"/>
    <n v="16"/>
    <s v="Small Business"/>
    <s v="Evolve Innovative Web Services"/>
    <x v="2"/>
    <s v="Bush Inc"/>
    <n v="87.75"/>
    <n v="0.11348144116887431"/>
  </r>
  <r>
    <s v="ORD2536"/>
    <d v="2024-06-02T00:00:00"/>
    <x v="0"/>
    <s v="PROD128"/>
    <n v="452.73"/>
    <n v="16.22"/>
    <n v="8"/>
    <s v="Consumer"/>
    <s v="Brand Distributed Info-Mediaries"/>
    <x v="2"/>
    <s v="Garcia Ltd"/>
    <n v="114.48"/>
    <n v="3.5827093411083866E-2"/>
  </r>
  <r>
    <s v="ORD2537"/>
    <d v="2023-07-16T00:00:00"/>
    <x v="1"/>
    <s v="PROD149"/>
    <n v="1742.62"/>
    <n v="29.98"/>
    <n v="7"/>
    <s v="Consumer"/>
    <s v="Envisioneer B2C Web-Readiness"/>
    <x v="1"/>
    <s v="Kemp Group"/>
    <n v="97.23"/>
    <n v="1.720398021370121E-2"/>
  </r>
  <r>
    <s v="ORD2538"/>
    <d v="2021-04-24T00:00:00"/>
    <x v="3"/>
    <s v="PROD140"/>
    <n v="113.15"/>
    <n v="332.85"/>
    <n v="18"/>
    <s v="Small Business"/>
    <s v="Extend Bricks-And-Clicks Architectures"/>
    <x v="2"/>
    <s v="Fuller PLC"/>
    <n v="202.99"/>
    <n v="2.9416703490941227"/>
  </r>
  <r>
    <s v="ORD2539"/>
    <d v="2021-07-17T00:00:00"/>
    <x v="1"/>
    <s v="PROD145"/>
    <n v="4893.62"/>
    <n v="506.1"/>
    <n v="1"/>
    <s v="Consumer"/>
    <s v="Innovate Strategic Systems"/>
    <x v="0"/>
    <s v="Mcfarland, Parker and Armstrong"/>
    <n v="70.239999999999995"/>
    <n v="0.10342037183107802"/>
  </r>
  <r>
    <s v="ORD2540"/>
    <d v="2020-05-15T00:00:00"/>
    <x v="2"/>
    <s v="PROD127"/>
    <n v="1730.23"/>
    <n v="475.44"/>
    <n v="6"/>
    <s v="Consumer"/>
    <s v="Deliver Viral Channels"/>
    <x v="2"/>
    <s v="Parker LLC"/>
    <n v="45.41"/>
    <n v="0.27478427723481846"/>
  </r>
  <r>
    <s v="ORD2541"/>
    <d v="2021-05-12T00:00:00"/>
    <x v="0"/>
    <s v="PROD199"/>
    <n v="2274.1999999999998"/>
    <n v="78.790000000000006"/>
    <n v="4"/>
    <s v="Small Business"/>
    <s v="Scale Cross-Platform Web Services"/>
    <x v="2"/>
    <s v="Morrow, Brock and Lewis"/>
    <n v="115.21"/>
    <n v="3.4645149942837045E-2"/>
  </r>
  <r>
    <s v="ORD2542"/>
    <d v="2022-07-13T00:00:00"/>
    <x v="1"/>
    <s v="PROD185"/>
    <n v="4886.74"/>
    <n v="706.34"/>
    <n v="19"/>
    <s v="Consumer"/>
    <s v="Generate End-To-End Functionalities"/>
    <x v="1"/>
    <s v="Sanchez-Stewart"/>
    <n v="196.15"/>
    <n v="0.14454216921710589"/>
  </r>
  <r>
    <s v="ORD2543"/>
    <d v="2020-09-08T00:00:00"/>
    <x v="1"/>
    <s v="PROD143"/>
    <n v="4805.16"/>
    <n v="723.74"/>
    <n v="10"/>
    <s v="Small Business"/>
    <s v="E-Enable Synergistic Vortals"/>
    <x v="1"/>
    <s v="Guzman Group"/>
    <n v="278.43"/>
    <n v="0.15061725311956314"/>
  </r>
  <r>
    <s v="ORD2544"/>
    <d v="2023-10-02T00:00:00"/>
    <x v="0"/>
    <s v="PROD131"/>
    <n v="2370.75"/>
    <n v="462.82"/>
    <n v="2"/>
    <s v="Consumer"/>
    <s v="Scale Bleeding-Edge Schemas"/>
    <x v="1"/>
    <s v="Frazier-Schneider"/>
    <n v="54.8"/>
    <n v="0.1952209216492671"/>
  </r>
  <r>
    <s v="ORD2545"/>
    <d v="2022-08-31T00:00:00"/>
    <x v="2"/>
    <s v="PROD195"/>
    <n v="4047.4"/>
    <n v="404.82"/>
    <n v="1"/>
    <s v="Small Business"/>
    <s v="Reinvent Out-Of-The-Box Models"/>
    <x v="0"/>
    <s v="Wagner-Curtis"/>
    <n v="172.34"/>
    <n v="0.10001976577555961"/>
  </r>
  <r>
    <s v="ORD2546"/>
    <d v="2023-04-16T00:00:00"/>
    <x v="1"/>
    <s v="PROD133"/>
    <n v="1372.52"/>
    <n v="848.08"/>
    <n v="16"/>
    <s v="Corporate"/>
    <s v="Re-Intermediate Seamless Applications"/>
    <x v="0"/>
    <s v="Welch-Reed"/>
    <n v="45.82"/>
    <n v="0.61789992131262206"/>
  </r>
  <r>
    <s v="ORD2547"/>
    <d v="2023-03-08T00:00:00"/>
    <x v="0"/>
    <s v="PROD145"/>
    <n v="3131.61"/>
    <n v="186.67"/>
    <n v="2"/>
    <s v="Small Business"/>
    <s v="Innovate Strategic Systems"/>
    <x v="0"/>
    <s v="Mcfarland, Parker and Armstrong"/>
    <n v="70.239999999999995"/>
    <n v="5.9608316488962539E-2"/>
  </r>
  <r>
    <s v="ORD2548"/>
    <d v="2020-05-06T00:00:00"/>
    <x v="3"/>
    <s v="PROD104"/>
    <n v="4668.43"/>
    <n v="221.57"/>
    <n v="20"/>
    <s v="Consumer"/>
    <s v="Implement Clicks-And-Mortar Partnerships"/>
    <x v="1"/>
    <s v="Smith Inc"/>
    <n v="195.53"/>
    <n v="4.7461352103383786E-2"/>
  </r>
  <r>
    <s v="ORD2549"/>
    <d v="2023-12-26T00:00:00"/>
    <x v="0"/>
    <s v="PROD179"/>
    <n v="782.53"/>
    <n v="961.87"/>
    <n v="13"/>
    <s v="Consumer"/>
    <s v="Target Viral Methodologies"/>
    <x v="1"/>
    <s v="Alvarez, Myers and Walter"/>
    <n v="149.26"/>
    <n v="1.2291797119599248"/>
  </r>
  <r>
    <s v="ORD2550"/>
    <d v="2023-11-22T00:00:00"/>
    <x v="1"/>
    <s v="PROD185"/>
    <n v="1434.21"/>
    <n v="422.15"/>
    <n v="6"/>
    <s v="Small Business"/>
    <s v="Generate End-To-End Functionalities"/>
    <x v="1"/>
    <s v="Sanchez-Stewart"/>
    <n v="196.15"/>
    <n v="0.29434322728191825"/>
  </r>
  <r>
    <s v="ORD2551"/>
    <d v="2020-09-05T00:00:00"/>
    <x v="1"/>
    <s v="PROD188"/>
    <n v="678.6"/>
    <n v="321.58999999999997"/>
    <n v="12"/>
    <s v="Consumer"/>
    <s v="Transition Mission-Critical Interfaces"/>
    <x v="0"/>
    <s v="Weaver Ltd"/>
    <n v="34.64"/>
    <n v="0.47390215148835835"/>
  </r>
  <r>
    <s v="ORD2552"/>
    <d v="2020-04-28T00:00:00"/>
    <x v="2"/>
    <s v="PROD137"/>
    <n v="3102.5"/>
    <n v="72.27"/>
    <n v="9"/>
    <s v="Consumer"/>
    <s v="Optimize Collaborative Initiatives"/>
    <x v="1"/>
    <s v="Adkins Ltd"/>
    <n v="34.46"/>
    <n v="2.3294117647058823E-2"/>
  </r>
  <r>
    <s v="ORD2553"/>
    <d v="2022-04-05T00:00:00"/>
    <x v="1"/>
    <s v="PROD121"/>
    <n v="1052.95"/>
    <n v="718.43"/>
    <n v="8"/>
    <s v="Small Business"/>
    <s v="Whiteboard B2B Content"/>
    <x v="0"/>
    <s v="Romero PLC"/>
    <n v="93.81"/>
    <n v="0.68230210361365684"/>
  </r>
  <r>
    <s v="ORD2554"/>
    <d v="2022-01-10T00:00:00"/>
    <x v="0"/>
    <s v="PROD135"/>
    <n v="3514.04"/>
    <n v="129.04"/>
    <n v="9"/>
    <s v="Consumer"/>
    <s v="Optimize 24/365 E-Services"/>
    <x v="0"/>
    <s v="Chase Ltd"/>
    <n v="100.35"/>
    <n v="3.6721266690191344E-2"/>
  </r>
  <r>
    <s v="ORD2555"/>
    <d v="2021-09-26T00:00:00"/>
    <x v="0"/>
    <s v="PROD112"/>
    <n v="2124.58"/>
    <n v="319.24"/>
    <n v="12"/>
    <s v="Consumer"/>
    <s v="Seize Clicks-And-Mortar Platforms"/>
    <x v="0"/>
    <s v="Owens, Campos and Wood"/>
    <n v="271.16000000000003"/>
    <n v="0.15026028673902608"/>
  </r>
  <r>
    <s v="ORD2556"/>
    <d v="2022-02-16T00:00:00"/>
    <x v="2"/>
    <s v="PROD115"/>
    <n v="244.03"/>
    <n v="977.44"/>
    <n v="14"/>
    <s v="Consumer"/>
    <s v="Morph World-Class Synergies"/>
    <x v="1"/>
    <s v="Bryant Ltd"/>
    <n v="20.69"/>
    <n v="4.0054091710035653"/>
  </r>
  <r>
    <s v="ORD2557"/>
    <d v="2024-08-09T00:00:00"/>
    <x v="2"/>
    <s v="PROD106"/>
    <n v="2715.21"/>
    <n v="743.98"/>
    <n v="15"/>
    <s v="Small Business"/>
    <s v="Synergize End-To-End Supply-Chains"/>
    <x v="0"/>
    <s v="Higgins-Espinoza"/>
    <n v="279.8"/>
    <n v="0.27400458896365293"/>
  </r>
  <r>
    <s v="ORD2558"/>
    <d v="2023-11-18T00:00:00"/>
    <x v="1"/>
    <s v="PROD136"/>
    <n v="3957.65"/>
    <n v="211.53"/>
    <n v="12"/>
    <s v="Corporate"/>
    <s v="Evolve Innovative Web Services"/>
    <x v="2"/>
    <s v="Bush Inc"/>
    <n v="87.75"/>
    <n v="5.3448384773792525E-2"/>
  </r>
  <r>
    <s v="ORD2559"/>
    <d v="2021-07-13T00:00:00"/>
    <x v="0"/>
    <s v="PROD184"/>
    <n v="1507.33"/>
    <n v="805.01"/>
    <n v="2"/>
    <s v="Consumer"/>
    <s v="Embrace 24/365 Functionalities"/>
    <x v="0"/>
    <s v="Smith LLC"/>
    <n v="204.04"/>
    <n v="0.5340635428207493"/>
  </r>
  <r>
    <s v="ORD2560"/>
    <d v="2021-07-21T00:00:00"/>
    <x v="0"/>
    <s v="PROD153"/>
    <n v="3562.34"/>
    <n v="799.22"/>
    <n v="14"/>
    <s v="Corporate"/>
    <s v="Seize Plug-And-Play Web-Readiness"/>
    <x v="1"/>
    <s v="Joseph, Mayer and Carr"/>
    <n v="102.73"/>
    <n v="0.22435253232425878"/>
  </r>
  <r>
    <s v="ORD2561"/>
    <d v="2024-08-28T00:00:00"/>
    <x v="1"/>
    <s v="PROD141"/>
    <n v="1036.51"/>
    <n v="884.33"/>
    <n v="6"/>
    <s v="Consumer"/>
    <s v="Re-Contextualize Integrated Info-Mediaries"/>
    <x v="1"/>
    <s v="Jones-Schroeder"/>
    <n v="26.02"/>
    <n v="0.85318038417381414"/>
  </r>
  <r>
    <s v="ORD2562"/>
    <d v="2020-01-08T00:00:00"/>
    <x v="3"/>
    <s v="PROD154"/>
    <n v="408.33"/>
    <n v="430.54"/>
    <n v="7"/>
    <s v="Corporate"/>
    <s v="Utilize Virtual Partnerships"/>
    <x v="2"/>
    <s v="Smith, Diaz and Heath"/>
    <n v="193.02"/>
    <n v="1.0543922807533124"/>
  </r>
  <r>
    <s v="ORD2563"/>
    <d v="2022-11-26T00:00:00"/>
    <x v="0"/>
    <s v="PROD166"/>
    <n v="2161.29"/>
    <n v="84.96"/>
    <n v="7"/>
    <s v="Corporate"/>
    <s v="Monetize Wireless Functionalities"/>
    <x v="2"/>
    <s v="Robinson, Rodriguez and Hernandez"/>
    <n v="162.22"/>
    <n v="3.930985661341143E-2"/>
  </r>
  <r>
    <s v="ORD2564"/>
    <d v="2020-03-01T00:00:00"/>
    <x v="3"/>
    <s v="PROD167"/>
    <n v="3138.39"/>
    <n v="163.05000000000001"/>
    <n v="18"/>
    <s v="Consumer"/>
    <s v="Grow Synergistic Infrastructures"/>
    <x v="2"/>
    <s v="Adams-Carter"/>
    <n v="113.17"/>
    <n v="5.195339011403937E-2"/>
  </r>
  <r>
    <s v="ORD2565"/>
    <d v="2020-08-30T00:00:00"/>
    <x v="0"/>
    <s v="PROD131"/>
    <n v="4169.3"/>
    <n v="93.25"/>
    <n v="17"/>
    <s v="Small Business"/>
    <s v="Scale Bleeding-Edge Schemas"/>
    <x v="1"/>
    <s v="Frazier-Schneider"/>
    <n v="54.8"/>
    <n v="2.2365864773463171E-2"/>
  </r>
  <r>
    <s v="ORD2566"/>
    <d v="2021-01-10T00:00:00"/>
    <x v="2"/>
    <s v="PROD135"/>
    <n v="868.23"/>
    <n v="693.09"/>
    <n v="1"/>
    <s v="Small Business"/>
    <s v="Optimize 24/365 E-Services"/>
    <x v="0"/>
    <s v="Chase Ltd"/>
    <n v="100.35"/>
    <n v="0.79827925780035247"/>
  </r>
  <r>
    <s v="ORD2567"/>
    <d v="2021-05-01T00:00:00"/>
    <x v="1"/>
    <s v="PROD120"/>
    <n v="1529.87"/>
    <n v="32.340000000000003"/>
    <n v="8"/>
    <s v="Consumer"/>
    <s v="Mesh B2B Platforms"/>
    <x v="2"/>
    <s v="Stevens, Walton and Riddle"/>
    <n v="236.57"/>
    <n v="2.1139051030479718E-2"/>
  </r>
  <r>
    <s v="ORD2568"/>
    <d v="2023-01-27T00:00:00"/>
    <x v="2"/>
    <s v="PROD108"/>
    <n v="1096.3499999999999"/>
    <n v="766.25"/>
    <n v="19"/>
    <s v="Consumer"/>
    <s v="Synergize World-Class Networks"/>
    <x v="1"/>
    <s v="Gomez-Lawrence"/>
    <n v="72.37"/>
    <n v="0.6989100196105259"/>
  </r>
  <r>
    <s v="ORD2569"/>
    <d v="2023-03-18T00:00:00"/>
    <x v="0"/>
    <s v="PROD150"/>
    <n v="2029.03"/>
    <n v="612.91"/>
    <n v="8"/>
    <s v="Consumer"/>
    <s v="Evolve Intuitive Bandwidth"/>
    <x v="0"/>
    <s v="Rogers Group"/>
    <n v="131.63"/>
    <n v="0.30207044745518796"/>
  </r>
  <r>
    <s v="ORD2570"/>
    <d v="2021-07-04T00:00:00"/>
    <x v="0"/>
    <s v="PROD162"/>
    <n v="4630.04"/>
    <n v="489.32"/>
    <n v="2"/>
    <s v="Corporate"/>
    <s v="Reinvent Visionary Niches"/>
    <x v="2"/>
    <s v="Huber-Richmond"/>
    <n v="219.81"/>
    <n v="0.10568375219220569"/>
  </r>
  <r>
    <s v="ORD2571"/>
    <d v="2020-01-24T00:00:00"/>
    <x v="2"/>
    <s v="PROD178"/>
    <n v="1379.48"/>
    <n v="367.59"/>
    <n v="1"/>
    <s v="Small Business"/>
    <s v="Monetize Value-Added Niches"/>
    <x v="0"/>
    <s v="Foster, Velazquez and Lee"/>
    <n v="171.51"/>
    <n v="0.2664699741931742"/>
  </r>
  <r>
    <s v="ORD2572"/>
    <d v="2023-08-04T00:00:00"/>
    <x v="1"/>
    <s v="PROD164"/>
    <n v="4052.38"/>
    <n v="514.04"/>
    <n v="16"/>
    <s v="Small Business"/>
    <s v="Transition Compelling Web-Readiness"/>
    <x v="2"/>
    <s v="Wood-Beck"/>
    <n v="88.34"/>
    <n v="0.1268489134780055"/>
  </r>
  <r>
    <s v="ORD2573"/>
    <d v="2024-06-30T00:00:00"/>
    <x v="3"/>
    <s v="PROD120"/>
    <n v="2660.39"/>
    <n v="576.08000000000004"/>
    <n v="16"/>
    <s v="Corporate"/>
    <s v="Mesh B2B Platforms"/>
    <x v="2"/>
    <s v="Stevens, Walton and Riddle"/>
    <n v="236.57"/>
    <n v="0.21653968027244128"/>
  </r>
  <r>
    <s v="ORD2574"/>
    <d v="2022-04-06T00:00:00"/>
    <x v="3"/>
    <s v="PROD122"/>
    <n v="4764.95"/>
    <n v="914.23"/>
    <n v="3"/>
    <s v="Consumer"/>
    <s v="Empower Dot-Com Deliverables"/>
    <x v="1"/>
    <s v="Davis LLC"/>
    <n v="250.66"/>
    <n v="0.19186560194755456"/>
  </r>
  <r>
    <s v="ORD2575"/>
    <d v="2021-03-29T00:00:00"/>
    <x v="0"/>
    <s v="PROD190"/>
    <n v="4560.28"/>
    <n v="944.88"/>
    <n v="13"/>
    <s v="Corporate"/>
    <s v="Repurpose End-To-End Networks"/>
    <x v="0"/>
    <s v="Torres-Rush"/>
    <n v="97.02"/>
    <n v="0.20719780364363594"/>
  </r>
  <r>
    <s v="ORD2576"/>
    <d v="2023-03-13T00:00:00"/>
    <x v="3"/>
    <s v="PROD112"/>
    <n v="3942.18"/>
    <n v="886.19"/>
    <n v="12"/>
    <s v="Corporate"/>
    <s v="Seize Clicks-And-Mortar Platforms"/>
    <x v="0"/>
    <s v="Owens, Campos and Wood"/>
    <n v="271.16000000000003"/>
    <n v="0.22479693976429288"/>
  </r>
  <r>
    <s v="ORD2577"/>
    <d v="2024-07-09T00:00:00"/>
    <x v="2"/>
    <s v="PROD169"/>
    <n v="4410.3900000000003"/>
    <n v="807.96"/>
    <n v="3"/>
    <s v="Consumer"/>
    <s v="Unleash End-To-End Web Services"/>
    <x v="0"/>
    <s v="Jones Ltd"/>
    <n v="188.02"/>
    <n v="0.18319468346336718"/>
  </r>
  <r>
    <s v="ORD2578"/>
    <d v="2020-09-24T00:00:00"/>
    <x v="1"/>
    <s v="PROD124"/>
    <n v="2248.39"/>
    <n v="844.82"/>
    <n v="5"/>
    <s v="Corporate"/>
    <s v="Incubate Real-Time E-Tailers"/>
    <x v="1"/>
    <s v="Johnson-Riley"/>
    <n v="86.67"/>
    <n v="0.37574442156387466"/>
  </r>
  <r>
    <s v="ORD2579"/>
    <d v="2024-08-18T00:00:00"/>
    <x v="0"/>
    <s v="PROD187"/>
    <n v="4623.46"/>
    <n v="591.44000000000005"/>
    <n v="18"/>
    <s v="Corporate"/>
    <s v="Whiteboard Compelling Experiences"/>
    <x v="2"/>
    <s v="Carrillo, Carr and Ball"/>
    <n v="206.54"/>
    <n v="0.12792151332551813"/>
  </r>
  <r>
    <s v="ORD2580"/>
    <d v="2023-09-07T00:00:00"/>
    <x v="2"/>
    <s v="PROD112"/>
    <n v="2557.15"/>
    <n v="897.56"/>
    <n v="7"/>
    <s v="Consumer"/>
    <s v="Seize Clicks-And-Mortar Platforms"/>
    <x v="0"/>
    <s v="Owens, Campos and Wood"/>
    <n v="271.16000000000003"/>
    <n v="0.35100013687112602"/>
  </r>
  <r>
    <s v="ORD2581"/>
    <d v="2021-03-13T00:00:00"/>
    <x v="1"/>
    <s v="PROD175"/>
    <n v="3310.18"/>
    <n v="795.14"/>
    <n v="10"/>
    <s v="Small Business"/>
    <s v="Empower Bleeding-Edge Action-Items"/>
    <x v="2"/>
    <s v="Gray, Hayes and Banks"/>
    <n v="204.26"/>
    <n v="0.24021050214791945"/>
  </r>
  <r>
    <s v="ORD2582"/>
    <d v="2023-12-23T00:00:00"/>
    <x v="0"/>
    <s v="PROD110"/>
    <n v="2771.97"/>
    <n v="49.88"/>
    <n v="18"/>
    <s v="Corporate"/>
    <s v="E-Enable Holistic Supply-Chains"/>
    <x v="2"/>
    <s v="Lin-Mcdaniel"/>
    <n v="160.33000000000001"/>
    <n v="1.7994422739062835E-2"/>
  </r>
  <r>
    <s v="ORD2583"/>
    <d v="2021-11-13T00:00:00"/>
    <x v="1"/>
    <s v="PROD106"/>
    <n v="1431.47"/>
    <n v="167.58"/>
    <n v="14"/>
    <s v="Small Business"/>
    <s v="Synergize End-To-End Supply-Chains"/>
    <x v="0"/>
    <s v="Higgins-Espinoza"/>
    <n v="279.8"/>
    <n v="0.11706846807826919"/>
  </r>
  <r>
    <s v="ORD2584"/>
    <d v="2024-10-18T00:00:00"/>
    <x v="2"/>
    <s v="PROD175"/>
    <n v="3380.91"/>
    <n v="225.95"/>
    <n v="12"/>
    <s v="Small Business"/>
    <s v="Empower Bleeding-Edge Action-Items"/>
    <x v="2"/>
    <s v="Gray, Hayes and Banks"/>
    <n v="204.26"/>
    <n v="6.6831119432342184E-2"/>
  </r>
  <r>
    <s v="ORD2585"/>
    <d v="2024-04-11T00:00:00"/>
    <x v="3"/>
    <s v="PROD147"/>
    <n v="4743.93"/>
    <n v="762.15"/>
    <n v="1"/>
    <s v="Consumer"/>
    <s v="Brand B2C Info-Mediaries"/>
    <x v="0"/>
    <s v="Preston Ltd"/>
    <n v="13.46"/>
    <n v="0.16065793550916643"/>
  </r>
  <r>
    <s v="ORD2586"/>
    <d v="2024-01-25T00:00:00"/>
    <x v="3"/>
    <s v="PROD106"/>
    <n v="4034.09"/>
    <n v="947.57"/>
    <n v="11"/>
    <s v="Small Business"/>
    <s v="Synergize End-To-End Supply-Chains"/>
    <x v="0"/>
    <s v="Higgins-Espinoza"/>
    <n v="279.8"/>
    <n v="0.23489064448239877"/>
  </r>
  <r>
    <s v="ORD2587"/>
    <d v="2024-05-27T00:00:00"/>
    <x v="3"/>
    <s v="PROD116"/>
    <n v="2437.73"/>
    <n v="418.87"/>
    <n v="3"/>
    <s v="Corporate"/>
    <s v="Synergize Cross-Platform Vortals"/>
    <x v="2"/>
    <s v="Edwards Group"/>
    <n v="87.18"/>
    <n v="0.17182788906072452"/>
  </r>
  <r>
    <s v="ORD2588"/>
    <d v="2022-04-02T00:00:00"/>
    <x v="2"/>
    <s v="PROD113"/>
    <n v="1776.77"/>
    <n v="345.76"/>
    <n v="4"/>
    <s v="Consumer"/>
    <s v="Envisioneer B2B Users"/>
    <x v="0"/>
    <s v="Rogers Group"/>
    <n v="239.16"/>
    <n v="0.1946003140530288"/>
  </r>
  <r>
    <s v="ORD2589"/>
    <d v="2021-12-17T00:00:00"/>
    <x v="0"/>
    <s v="PROD185"/>
    <n v="2334.29"/>
    <n v="926.59"/>
    <n v="3"/>
    <s v="Corporate"/>
    <s v="Generate End-To-End Functionalities"/>
    <x v="1"/>
    <s v="Sanchez-Stewart"/>
    <n v="196.15"/>
    <n v="0.39694725162683303"/>
  </r>
  <r>
    <s v="ORD2590"/>
    <d v="2021-07-11T00:00:00"/>
    <x v="2"/>
    <s v="PROD108"/>
    <n v="1010.81"/>
    <n v="300.64"/>
    <n v="1"/>
    <s v="Corporate"/>
    <s v="Synergize World-Class Networks"/>
    <x v="1"/>
    <s v="Gomez-Lawrence"/>
    <n v="72.37"/>
    <n v="0.29742483750655413"/>
  </r>
  <r>
    <s v="ORD2591"/>
    <d v="2023-06-13T00:00:00"/>
    <x v="3"/>
    <s v="PROD163"/>
    <n v="4461.88"/>
    <n v="25.85"/>
    <n v="2"/>
    <s v="Consumer"/>
    <s v="Grow Back-End Supply-Chains"/>
    <x v="1"/>
    <s v="Green LLC"/>
    <n v="140.08000000000001"/>
    <n v="5.7935220131424426E-3"/>
  </r>
  <r>
    <s v="ORD2592"/>
    <d v="2023-06-07T00:00:00"/>
    <x v="2"/>
    <s v="PROD108"/>
    <n v="2063.87"/>
    <n v="389.06"/>
    <n v="6"/>
    <s v="Corporate"/>
    <s v="Synergize World-Class Networks"/>
    <x v="1"/>
    <s v="Gomez-Lawrence"/>
    <n v="72.37"/>
    <n v="0.18850993521878801"/>
  </r>
  <r>
    <s v="ORD2593"/>
    <d v="2023-11-17T00:00:00"/>
    <x v="3"/>
    <s v="PROD183"/>
    <n v="611.76"/>
    <n v="724.14"/>
    <n v="15"/>
    <s v="Consumer"/>
    <s v="Incentivize Front-End Mindshare"/>
    <x v="1"/>
    <s v="Phillips-Tran"/>
    <n v="196.86"/>
    <n v="1.1836994899960769"/>
  </r>
  <r>
    <s v="ORD2594"/>
    <d v="2024-03-17T00:00:00"/>
    <x v="2"/>
    <s v="PROD133"/>
    <n v="3019.36"/>
    <n v="222.67"/>
    <n v="6"/>
    <s v="Consumer"/>
    <s v="Re-Intermediate Seamless Applications"/>
    <x v="0"/>
    <s v="Welch-Reed"/>
    <n v="45.82"/>
    <n v="7.3747416671082602E-2"/>
  </r>
  <r>
    <s v="ORD2595"/>
    <d v="2024-05-28T00:00:00"/>
    <x v="1"/>
    <s v="PROD143"/>
    <n v="3309.13"/>
    <n v="419.09"/>
    <n v="12"/>
    <s v="Consumer"/>
    <s v="E-Enable Synergistic Vortals"/>
    <x v="1"/>
    <s v="Guzman Group"/>
    <n v="278.43"/>
    <n v="0.12664658082335839"/>
  </r>
  <r>
    <s v="ORD2596"/>
    <d v="2020-06-13T00:00:00"/>
    <x v="0"/>
    <s v="PROD128"/>
    <n v="2984.16"/>
    <n v="505.06"/>
    <n v="9"/>
    <s v="Small Business"/>
    <s v="Brand Distributed Info-Mediaries"/>
    <x v="2"/>
    <s v="Garcia Ltd"/>
    <n v="114.48"/>
    <n v="0.16924695726770683"/>
  </r>
  <r>
    <s v="ORD2597"/>
    <d v="2023-08-06T00:00:00"/>
    <x v="1"/>
    <s v="PROD109"/>
    <n v="3881.04"/>
    <n v="929.28"/>
    <n v="14"/>
    <s v="Corporate"/>
    <s v="Orchestrate E-Business Niches"/>
    <x v="2"/>
    <s v="Johnson LLC"/>
    <n v="198.99"/>
    <n v="0.23944097458413208"/>
  </r>
  <r>
    <s v="ORD2598"/>
    <d v="2023-01-17T00:00:00"/>
    <x v="3"/>
    <s v="PROD114"/>
    <n v="1305.79"/>
    <n v="187.93"/>
    <n v="8"/>
    <s v="Consumer"/>
    <s v="Orchestrate User-Centric Platforms"/>
    <x v="2"/>
    <s v="Wells Ltd"/>
    <n v="201.87"/>
    <n v="0.14392053852457135"/>
  </r>
  <r>
    <s v="ORD2599"/>
    <d v="2021-07-13T00:00:00"/>
    <x v="3"/>
    <s v="PROD106"/>
    <n v="123.53"/>
    <n v="615.41"/>
    <n v="18"/>
    <s v="Small Business"/>
    <s v="Synergize End-To-End Supply-Chains"/>
    <x v="0"/>
    <s v="Higgins-Espinoza"/>
    <n v="279.8"/>
    <n v="4.9818667530154617"/>
  </r>
  <r>
    <s v="ORD2600"/>
    <d v="2022-08-09T00:00:00"/>
    <x v="0"/>
    <s v="PROD161"/>
    <n v="4700.99"/>
    <n v="445.82"/>
    <n v="20"/>
    <s v="Small Business"/>
    <s v="Synergize E-Business Deliverables"/>
    <x v="1"/>
    <s v="Crawford, Warren and Williams"/>
    <n v="125.93"/>
    <n v="9.4835343193667723E-2"/>
  </r>
  <r>
    <s v="ORD2601"/>
    <d v="2023-09-26T00:00:00"/>
    <x v="1"/>
    <s v="PROD147"/>
    <n v="1855.6"/>
    <n v="103.88"/>
    <n v="12"/>
    <s v="Consumer"/>
    <s v="Brand B2C Info-Mediaries"/>
    <x v="0"/>
    <s v="Preston Ltd"/>
    <n v="13.46"/>
    <n v="5.5981892649277859E-2"/>
  </r>
  <r>
    <s v="ORD2602"/>
    <d v="2023-09-05T00:00:00"/>
    <x v="1"/>
    <s v="PROD112"/>
    <n v="338.5"/>
    <n v="868.62"/>
    <n v="15"/>
    <s v="Consumer"/>
    <s v="Seize Clicks-And-Mortar Platforms"/>
    <x v="0"/>
    <s v="Owens, Campos and Wood"/>
    <n v="271.16000000000003"/>
    <n v="2.5660856720827181"/>
  </r>
  <r>
    <s v="ORD2603"/>
    <d v="2023-05-20T00:00:00"/>
    <x v="3"/>
    <s v="PROD127"/>
    <n v="333.46"/>
    <n v="520.72"/>
    <n v="8"/>
    <s v="Consumer"/>
    <s v="Deliver Viral Channels"/>
    <x v="2"/>
    <s v="Parker LLC"/>
    <n v="45.41"/>
    <n v="1.5615666046902179"/>
  </r>
  <r>
    <s v="ORD2604"/>
    <d v="2020-06-11T00:00:00"/>
    <x v="2"/>
    <s v="PROD102"/>
    <n v="4689.13"/>
    <n v="300.64999999999998"/>
    <n v="6"/>
    <s v="Consumer"/>
    <s v="Optimize Transparent E-Markets"/>
    <x v="0"/>
    <s v="Lee, Tyler and Blevins"/>
    <n v="111.22"/>
    <n v="6.4116371267164698E-2"/>
  </r>
  <r>
    <s v="ORD2605"/>
    <d v="2024-09-06T00:00:00"/>
    <x v="1"/>
    <s v="PROD185"/>
    <n v="485.47"/>
    <n v="68.069999999999993"/>
    <n v="2"/>
    <s v="Consumer"/>
    <s v="Generate End-To-End Functionalities"/>
    <x v="1"/>
    <s v="Sanchez-Stewart"/>
    <n v="196.15"/>
    <n v="0.1402146373617319"/>
  </r>
  <r>
    <s v="ORD2606"/>
    <d v="2022-07-13T00:00:00"/>
    <x v="2"/>
    <s v="PROD136"/>
    <n v="2017.54"/>
    <n v="168.8"/>
    <n v="1"/>
    <s v="Consumer"/>
    <s v="Evolve Innovative Web Services"/>
    <x v="2"/>
    <s v="Bush Inc"/>
    <n v="87.75"/>
    <n v="8.3666247013689951E-2"/>
  </r>
  <r>
    <s v="ORD2607"/>
    <d v="2020-03-18T00:00:00"/>
    <x v="0"/>
    <s v="PROD135"/>
    <n v="1262.21"/>
    <n v="319.02999999999997"/>
    <n v="3"/>
    <s v="Corporate"/>
    <s v="Optimize 24/365 E-Services"/>
    <x v="0"/>
    <s v="Chase Ltd"/>
    <n v="100.35"/>
    <n v="0.25275508829750987"/>
  </r>
  <r>
    <s v="ORD2608"/>
    <d v="2020-02-23T00:00:00"/>
    <x v="1"/>
    <s v="PROD149"/>
    <n v="3517.16"/>
    <n v="710.61"/>
    <n v="13"/>
    <s v="Corporate"/>
    <s v="Envisioneer B2C Web-Readiness"/>
    <x v="1"/>
    <s v="Kemp Group"/>
    <n v="97.23"/>
    <n v="0.20204085114126172"/>
  </r>
  <r>
    <s v="ORD2609"/>
    <d v="2024-02-27T00:00:00"/>
    <x v="1"/>
    <s v="PROD128"/>
    <n v="520.27"/>
    <n v="186.48"/>
    <n v="4"/>
    <s v="Corporate"/>
    <s v="Brand Distributed Info-Mediaries"/>
    <x v="2"/>
    <s v="Garcia Ltd"/>
    <n v="114.48"/>
    <n v="0.35842927710611799"/>
  </r>
  <r>
    <s v="ORD2610"/>
    <d v="2022-05-19T00:00:00"/>
    <x v="0"/>
    <s v="PROD130"/>
    <n v="2949.05"/>
    <n v="465.24"/>
    <n v="15"/>
    <s v="Consumer"/>
    <s v="Synthesize Wireless Initiatives"/>
    <x v="1"/>
    <s v="Mosley Ltd"/>
    <n v="162.69999999999999"/>
    <n v="0.15775927841169191"/>
  </r>
  <r>
    <s v="ORD2611"/>
    <d v="2021-09-20T00:00:00"/>
    <x v="0"/>
    <s v="PROD114"/>
    <n v="2522.81"/>
    <n v="691.85"/>
    <n v="15"/>
    <s v="Small Business"/>
    <s v="Orchestrate User-Centric Platforms"/>
    <x v="2"/>
    <s v="Wells Ltd"/>
    <n v="201.87"/>
    <n v="0.27423785382173055"/>
  </r>
  <r>
    <s v="ORD2612"/>
    <d v="2022-04-13T00:00:00"/>
    <x v="0"/>
    <s v="PROD111"/>
    <n v="3356.96"/>
    <n v="720.63"/>
    <n v="15"/>
    <s v="Small Business"/>
    <s v="Harness Revolutionary Interfaces"/>
    <x v="2"/>
    <s v="Davis, Short and Nguyen"/>
    <n v="26.49"/>
    <n v="0.21466743720509032"/>
  </r>
  <r>
    <s v="ORD2613"/>
    <d v="2020-07-05T00:00:00"/>
    <x v="2"/>
    <s v="PROD102"/>
    <n v="1485.94"/>
    <n v="174.38"/>
    <n v="3"/>
    <s v="Small Business"/>
    <s v="Optimize Transparent E-Markets"/>
    <x v="0"/>
    <s v="Lee, Tyler and Blevins"/>
    <n v="111.22"/>
    <n v="0.11735332516790718"/>
  </r>
  <r>
    <s v="ORD2614"/>
    <d v="2024-06-09T00:00:00"/>
    <x v="2"/>
    <s v="PROD188"/>
    <n v="2430.66"/>
    <n v="275.61"/>
    <n v="6"/>
    <s v="Small Business"/>
    <s v="Transition Mission-Critical Interfaces"/>
    <x v="0"/>
    <s v="Weaver Ltd"/>
    <n v="34.64"/>
    <n v="0.11338895608600134"/>
  </r>
  <r>
    <s v="ORD2615"/>
    <d v="2022-03-15T00:00:00"/>
    <x v="2"/>
    <s v="PROD118"/>
    <n v="2257.79"/>
    <n v="329.42"/>
    <n v="15"/>
    <s v="Small Business"/>
    <s v="Engineer Real-Time Architectures"/>
    <x v="2"/>
    <s v="James and Sons"/>
    <n v="127.23"/>
    <n v="0.14590373772582926"/>
  </r>
  <r>
    <s v="ORD2616"/>
    <d v="2023-05-12T00:00:00"/>
    <x v="3"/>
    <s v="PROD109"/>
    <n v="3569.08"/>
    <n v="317.25"/>
    <n v="13"/>
    <s v="Consumer"/>
    <s v="Orchestrate E-Business Niches"/>
    <x v="2"/>
    <s v="Johnson LLC"/>
    <n v="198.99"/>
    <n v="8.8888453046723534E-2"/>
  </r>
  <r>
    <s v="ORD2617"/>
    <d v="2022-10-30T00:00:00"/>
    <x v="0"/>
    <s v="PROD186"/>
    <n v="4651.1400000000003"/>
    <n v="688.58"/>
    <n v="17"/>
    <s v="Corporate"/>
    <s v="Reinvent Mission-Critical Markets"/>
    <x v="2"/>
    <s v="Gilbert-Sanders"/>
    <n v="154.21"/>
    <n v="0.14804542542258456"/>
  </r>
  <r>
    <s v="ORD2618"/>
    <d v="2021-09-18T00:00:00"/>
    <x v="1"/>
    <s v="PROD133"/>
    <n v="4734.2299999999996"/>
    <n v="912.86"/>
    <n v="7"/>
    <s v="Consumer"/>
    <s v="Re-Intermediate Seamless Applications"/>
    <x v="0"/>
    <s v="Welch-Reed"/>
    <n v="45.82"/>
    <n v="0.192821219078921"/>
  </r>
  <r>
    <s v="ORD2619"/>
    <d v="2021-10-01T00:00:00"/>
    <x v="1"/>
    <s v="PROD108"/>
    <n v="4174.5200000000004"/>
    <n v="906.08"/>
    <n v="9"/>
    <s v="Small Business"/>
    <s v="Synergize World-Class Networks"/>
    <x v="1"/>
    <s v="Gomez-Lawrence"/>
    <n v="72.37"/>
    <n v="0.21705010396404856"/>
  </r>
  <r>
    <s v="ORD2620"/>
    <d v="2020-11-16T00:00:00"/>
    <x v="2"/>
    <s v="PROD124"/>
    <n v="3294.28"/>
    <n v="755.01"/>
    <n v="2"/>
    <s v="Corporate"/>
    <s v="Incubate Real-Time E-Tailers"/>
    <x v="1"/>
    <s v="Johnson-Riley"/>
    <n v="86.67"/>
    <n v="0.22918816858311983"/>
  </r>
  <r>
    <s v="ORD2621"/>
    <d v="2021-07-04T00:00:00"/>
    <x v="0"/>
    <s v="PROD144"/>
    <n v="1026.75"/>
    <n v="527.44000000000005"/>
    <n v="18"/>
    <s v="Small Business"/>
    <s v="Expedite Synergistic Web-Readiness"/>
    <x v="1"/>
    <s v="Dunlap, Carpenter and Monroe"/>
    <n v="289.66000000000003"/>
    <n v="0.51369856342829323"/>
  </r>
  <r>
    <s v="ORD2622"/>
    <d v="2023-10-31T00:00:00"/>
    <x v="2"/>
    <s v="PROD136"/>
    <n v="4427.2700000000004"/>
    <n v="979.71"/>
    <n v="2"/>
    <s v="Consumer"/>
    <s v="Evolve Innovative Web Services"/>
    <x v="2"/>
    <s v="Bush Inc"/>
    <n v="87.75"/>
    <n v="0.22128986937774292"/>
  </r>
  <r>
    <s v="ORD2623"/>
    <d v="2022-07-08T00:00:00"/>
    <x v="0"/>
    <s v="PROD112"/>
    <n v="1509.71"/>
    <n v="618.79"/>
    <n v="6"/>
    <s v="Small Business"/>
    <s v="Seize Clicks-And-Mortar Platforms"/>
    <x v="0"/>
    <s v="Owens, Campos and Wood"/>
    <n v="271.16000000000003"/>
    <n v="0.40987341939842747"/>
  </r>
  <r>
    <s v="ORD2624"/>
    <d v="2023-05-30T00:00:00"/>
    <x v="0"/>
    <s v="PROD135"/>
    <n v="2051.46"/>
    <n v="965.63"/>
    <n v="19"/>
    <s v="Small Business"/>
    <s v="Optimize 24/365 E-Services"/>
    <x v="0"/>
    <s v="Chase Ltd"/>
    <n v="100.35"/>
    <n v="0.47070379144609203"/>
  </r>
  <r>
    <s v="ORD2625"/>
    <d v="2020-09-27T00:00:00"/>
    <x v="0"/>
    <s v="PROD180"/>
    <n v="4807.4799999999996"/>
    <n v="379.33"/>
    <n v="13"/>
    <s v="Corporate"/>
    <s v="Iterate Extensible Roi"/>
    <x v="0"/>
    <s v="Hill-Kelly"/>
    <n v="180"/>
    <n v="7.8904124406133785E-2"/>
  </r>
  <r>
    <s v="ORD2626"/>
    <d v="2020-05-18T00:00:00"/>
    <x v="1"/>
    <s v="PROD144"/>
    <n v="1779.93"/>
    <n v="938.16"/>
    <n v="1"/>
    <s v="Small Business"/>
    <s v="Expedite Synergistic Web-Readiness"/>
    <x v="1"/>
    <s v="Dunlap, Carpenter and Monroe"/>
    <n v="289.66000000000003"/>
    <n v="0.52707690751883496"/>
  </r>
  <r>
    <s v="ORD2627"/>
    <d v="2024-04-05T00:00:00"/>
    <x v="3"/>
    <s v="PROD158"/>
    <n v="1130.21"/>
    <n v="902.5"/>
    <n v="8"/>
    <s v="Consumer"/>
    <s v="Brand Web-Enabled Solutions"/>
    <x v="1"/>
    <s v="Russell Group"/>
    <n v="51.67"/>
    <n v="0.79852416807495952"/>
  </r>
  <r>
    <s v="ORD2628"/>
    <d v="2022-04-03T00:00:00"/>
    <x v="0"/>
    <s v="PROD189"/>
    <n v="3441.89"/>
    <n v="122.51"/>
    <n v="11"/>
    <s v="Corporate"/>
    <s v="E-Enable Next-Generation Experiences"/>
    <x v="2"/>
    <s v="Sanchez-Quinn"/>
    <n v="266.93"/>
    <n v="3.5593816188198929E-2"/>
  </r>
  <r>
    <s v="ORD2629"/>
    <d v="2022-10-09T00:00:00"/>
    <x v="2"/>
    <s v="PROD178"/>
    <n v="1562.05"/>
    <n v="254.51"/>
    <n v="19"/>
    <s v="Consumer"/>
    <s v="Monetize Value-Added Niches"/>
    <x v="0"/>
    <s v="Foster, Velazquez and Lee"/>
    <n v="171.51"/>
    <n v="0.16293332479754169"/>
  </r>
  <r>
    <s v="ORD2630"/>
    <d v="2021-09-19T00:00:00"/>
    <x v="1"/>
    <s v="PROD171"/>
    <n v="2586.15"/>
    <n v="333.57"/>
    <n v="14"/>
    <s v="Small Business"/>
    <s v="Scale 24/365 Networks"/>
    <x v="2"/>
    <s v="Kim-Hamilton"/>
    <n v="157.55000000000001"/>
    <n v="0.12898323763122788"/>
  </r>
  <r>
    <s v="ORD2631"/>
    <d v="2021-04-19T00:00:00"/>
    <x v="3"/>
    <s v="PROD115"/>
    <n v="4264.6499999999996"/>
    <n v="532.12"/>
    <n v="7"/>
    <s v="Small Business"/>
    <s v="Morph World-Class Synergies"/>
    <x v="1"/>
    <s v="Bryant Ltd"/>
    <n v="20.69"/>
    <n v="0.12477460049476512"/>
  </r>
  <r>
    <s v="ORD2632"/>
    <d v="2024-04-29T00:00:00"/>
    <x v="1"/>
    <s v="PROD119"/>
    <n v="907.88"/>
    <n v="36.18"/>
    <n v="19"/>
    <s v="Corporate"/>
    <s v="Generate Front-End Functionalities"/>
    <x v="0"/>
    <s v="Morales-Brown"/>
    <n v="299.77"/>
    <n v="3.9851081640745474E-2"/>
  </r>
  <r>
    <s v="ORD2633"/>
    <d v="2024-02-02T00:00:00"/>
    <x v="0"/>
    <s v="PROD189"/>
    <n v="676.17"/>
    <n v="144.02000000000001"/>
    <n v="9"/>
    <s v="Consumer"/>
    <s v="E-Enable Next-Generation Experiences"/>
    <x v="2"/>
    <s v="Sanchez-Quinn"/>
    <n v="266.93"/>
    <n v="0.21299377375512077"/>
  </r>
  <r>
    <s v="ORD2634"/>
    <d v="2022-02-04T00:00:00"/>
    <x v="3"/>
    <s v="PROD115"/>
    <n v="4805.2"/>
    <n v="106.18"/>
    <n v="11"/>
    <s v="Corporate"/>
    <s v="Morph World-Class Synergies"/>
    <x v="1"/>
    <s v="Bryant Ltd"/>
    <n v="20.69"/>
    <n v="2.2096895030383753E-2"/>
  </r>
  <r>
    <s v="ORD2635"/>
    <d v="2023-07-10T00:00:00"/>
    <x v="0"/>
    <s v="PROD188"/>
    <n v="3239.64"/>
    <n v="113.9"/>
    <n v="13"/>
    <s v="Small Business"/>
    <s v="Transition Mission-Critical Interfaces"/>
    <x v="0"/>
    <s v="Weaver Ltd"/>
    <n v="34.64"/>
    <n v="3.5158227457371807E-2"/>
  </r>
  <r>
    <s v="ORD2636"/>
    <d v="2020-03-24T00:00:00"/>
    <x v="0"/>
    <s v="PROD153"/>
    <n v="3668.66"/>
    <n v="175.93"/>
    <n v="8"/>
    <s v="Small Business"/>
    <s v="Seize Plug-And-Play Web-Readiness"/>
    <x v="1"/>
    <s v="Joseph, Mayer and Carr"/>
    <n v="102.73"/>
    <n v="4.7954839096563874E-2"/>
  </r>
  <r>
    <s v="ORD2637"/>
    <d v="2023-09-28T00:00:00"/>
    <x v="2"/>
    <s v="PROD157"/>
    <n v="1124.23"/>
    <n v="564.27"/>
    <n v="6"/>
    <s v="Small Business"/>
    <s v="Implement Rich Platforms"/>
    <x v="1"/>
    <s v="Parker, Anderson and Salazar"/>
    <n v="53.59"/>
    <n v="0.50191686754489739"/>
  </r>
  <r>
    <s v="ORD2638"/>
    <d v="2021-06-15T00:00:00"/>
    <x v="0"/>
    <s v="PROD178"/>
    <n v="554.16"/>
    <n v="373.17"/>
    <n v="11"/>
    <s v="Corporate"/>
    <s v="Monetize Value-Added Niches"/>
    <x v="0"/>
    <s v="Foster, Velazquez and Lee"/>
    <n v="171.51"/>
    <n v="0.6733975747076657"/>
  </r>
  <r>
    <s v="ORD2639"/>
    <d v="2024-01-25T00:00:00"/>
    <x v="3"/>
    <s v="PROD104"/>
    <n v="3784.18"/>
    <n v="144.34"/>
    <n v="12"/>
    <s v="Corporate"/>
    <s v="Implement Clicks-And-Mortar Partnerships"/>
    <x v="1"/>
    <s v="Smith Inc"/>
    <n v="195.53"/>
    <n v="3.8143005882384035E-2"/>
  </r>
  <r>
    <s v="ORD2640"/>
    <d v="2020-04-28T00:00:00"/>
    <x v="2"/>
    <s v="PROD153"/>
    <n v="3963.24"/>
    <n v="315.35000000000002"/>
    <n v="20"/>
    <s v="Corporate"/>
    <s v="Seize Plug-And-Play Web-Readiness"/>
    <x v="1"/>
    <s v="Joseph, Mayer and Carr"/>
    <n v="102.73"/>
    <n v="7.9568736690182787E-2"/>
  </r>
  <r>
    <s v="ORD2641"/>
    <d v="2021-04-09T00:00:00"/>
    <x v="0"/>
    <s v="PROD177"/>
    <n v="4751.32"/>
    <n v="214.24"/>
    <n v="19"/>
    <s v="Corporate"/>
    <s v="Deploy Granular Channels"/>
    <x v="2"/>
    <s v="Barnes Ltd"/>
    <n v="288.99"/>
    <n v="4.5090627446688507E-2"/>
  </r>
  <r>
    <s v="ORD2642"/>
    <d v="2022-06-30T00:00:00"/>
    <x v="1"/>
    <s v="PROD102"/>
    <n v="3849.76"/>
    <n v="149.75"/>
    <n v="9"/>
    <s v="Corporate"/>
    <s v="Optimize Transparent E-Markets"/>
    <x v="0"/>
    <s v="Lee, Tyler and Blevins"/>
    <n v="111.22"/>
    <n v="3.8898528739453889E-2"/>
  </r>
  <r>
    <s v="ORD2643"/>
    <d v="2022-05-12T00:00:00"/>
    <x v="0"/>
    <s v="PROD126"/>
    <n v="3070.29"/>
    <n v="100.72"/>
    <n v="17"/>
    <s v="Consumer"/>
    <s v="Streamline Innovative Architectures"/>
    <x v="2"/>
    <s v="Price, Valentine and Lutz"/>
    <n v="291.14999999999998"/>
    <n v="3.2804718772493802E-2"/>
  </r>
  <r>
    <s v="ORD2644"/>
    <d v="2022-08-23T00:00:00"/>
    <x v="3"/>
    <s v="PROD122"/>
    <n v="3235.66"/>
    <n v="694.32"/>
    <n v="11"/>
    <s v="Consumer"/>
    <s v="Empower Dot-Com Deliverables"/>
    <x v="1"/>
    <s v="Davis LLC"/>
    <n v="250.66"/>
    <n v="0.21458373253061203"/>
  </r>
  <r>
    <s v="ORD2645"/>
    <d v="2023-04-03T00:00:00"/>
    <x v="3"/>
    <s v="PROD112"/>
    <n v="1732.52"/>
    <n v="815.38"/>
    <n v="3"/>
    <s v="Corporate"/>
    <s v="Seize Clicks-And-Mortar Platforms"/>
    <x v="0"/>
    <s v="Owens, Campos and Wood"/>
    <n v="271.16000000000003"/>
    <n v="0.47063237365225219"/>
  </r>
  <r>
    <s v="ORD2646"/>
    <d v="2024-08-21T00:00:00"/>
    <x v="0"/>
    <s v="PROD142"/>
    <n v="4202.53"/>
    <n v="259.08"/>
    <n v="6"/>
    <s v="Corporate"/>
    <s v="Target Bricks-And-Clicks Channels"/>
    <x v="1"/>
    <s v="Dunn, Christensen and Meyer"/>
    <n v="126.86"/>
    <n v="6.1648578356371046E-2"/>
  </r>
  <r>
    <s v="ORD2647"/>
    <d v="2023-08-13T00:00:00"/>
    <x v="1"/>
    <s v="PROD173"/>
    <n v="3598.83"/>
    <n v="276.49"/>
    <n v="9"/>
    <s v="Corporate"/>
    <s v="Whiteboard Sticky Content"/>
    <x v="2"/>
    <s v="Wolfe Group"/>
    <n v="82.16"/>
    <n v="7.6827746795486318E-2"/>
  </r>
  <r>
    <s v="ORD2648"/>
    <d v="2020-05-30T00:00:00"/>
    <x v="0"/>
    <s v="PROD107"/>
    <n v="503.78"/>
    <n v="503.91"/>
    <n v="14"/>
    <s v="Small Business"/>
    <s v="Utilize Back-End Models"/>
    <x v="2"/>
    <s v="Lewis-Holden"/>
    <n v="241.53"/>
    <n v="1.0002580491484379"/>
  </r>
  <r>
    <s v="ORD2649"/>
    <d v="2020-02-04T00:00:00"/>
    <x v="2"/>
    <s v="PROD127"/>
    <n v="3692.33"/>
    <n v="859.01"/>
    <n v="19"/>
    <s v="Consumer"/>
    <s v="Deliver Viral Channels"/>
    <x v="2"/>
    <s v="Parker LLC"/>
    <n v="45.41"/>
    <n v="0.23264713609021945"/>
  </r>
  <r>
    <s v="ORD2650"/>
    <d v="2021-06-22T00:00:00"/>
    <x v="3"/>
    <s v="PROD197"/>
    <n v="4170.79"/>
    <n v="591.48"/>
    <n v="1"/>
    <s v="Consumer"/>
    <s v="Leverage Rich Portals"/>
    <x v="0"/>
    <s v="Wilson PLC"/>
    <n v="46.35"/>
    <n v="0.14181486001452961"/>
  </r>
  <r>
    <s v="ORD2651"/>
    <d v="2020-03-19T00:00:00"/>
    <x v="0"/>
    <s v="PROD123"/>
    <n v="3481.6"/>
    <n v="988.37"/>
    <n v="9"/>
    <s v="Small Business"/>
    <s v="Redefine Real-Time Convergence"/>
    <x v="1"/>
    <s v="Hayes, Peters and Douglas"/>
    <n v="78.260000000000005"/>
    <n v="0.28388384650735293"/>
  </r>
  <r>
    <s v="ORD2652"/>
    <d v="2020-05-10T00:00:00"/>
    <x v="2"/>
    <s v="PROD167"/>
    <n v="1902.83"/>
    <n v="850.09"/>
    <n v="1"/>
    <s v="Corporate"/>
    <s v="Grow Synergistic Infrastructures"/>
    <x v="2"/>
    <s v="Adams-Carter"/>
    <n v="113.17"/>
    <n v="0.4467503665592828"/>
  </r>
  <r>
    <s v="ORD2653"/>
    <d v="2020-07-20T00:00:00"/>
    <x v="2"/>
    <s v="PROD168"/>
    <n v="366.98"/>
    <n v="710.02"/>
    <n v="16"/>
    <s v="Small Business"/>
    <s v="Facilitate End-To-End Experiences"/>
    <x v="0"/>
    <s v="Pierce-Goodwin"/>
    <n v="260.52999999999997"/>
    <n v="1.9347648373208348"/>
  </r>
  <r>
    <s v="ORD2654"/>
    <d v="2022-04-19T00:00:00"/>
    <x v="0"/>
    <s v="PROD169"/>
    <n v="4291.3100000000004"/>
    <n v="524.92999999999995"/>
    <n v="12"/>
    <s v="Consumer"/>
    <s v="Unleash End-To-End Web Services"/>
    <x v="0"/>
    <s v="Jones Ltd"/>
    <n v="188.02"/>
    <n v="0.12232395235953587"/>
  </r>
  <r>
    <s v="ORD2655"/>
    <d v="2023-07-01T00:00:00"/>
    <x v="2"/>
    <s v="PROD166"/>
    <n v="4382.28"/>
    <n v="616.6"/>
    <n v="11"/>
    <s v="Consumer"/>
    <s v="Monetize Wireless Functionalities"/>
    <x v="2"/>
    <s v="Robinson, Rodriguez and Hernandez"/>
    <n v="162.22"/>
    <n v="0.1407030130434386"/>
  </r>
  <r>
    <s v="ORD2656"/>
    <d v="2021-09-07T00:00:00"/>
    <x v="3"/>
    <s v="PROD187"/>
    <n v="3033.36"/>
    <n v="157.22999999999999"/>
    <n v="14"/>
    <s v="Small Business"/>
    <s v="Whiteboard Compelling Experiences"/>
    <x v="2"/>
    <s v="Carrillo, Carr and Ball"/>
    <n v="206.54"/>
    <n v="5.1833610253975787E-2"/>
  </r>
  <r>
    <s v="ORD2657"/>
    <d v="2021-05-05T00:00:00"/>
    <x v="1"/>
    <s v="PROD161"/>
    <n v="169.29"/>
    <n v="895.28"/>
    <n v="3"/>
    <s v="Small Business"/>
    <s v="Synergize E-Business Deliverables"/>
    <x v="1"/>
    <s v="Crawford, Warren and Williams"/>
    <n v="125.93"/>
    <n v="5.2884399551066217"/>
  </r>
  <r>
    <s v="ORD2658"/>
    <d v="2024-10-11T00:00:00"/>
    <x v="3"/>
    <s v="PROD155"/>
    <n v="2481.71"/>
    <n v="69.45"/>
    <n v="13"/>
    <s v="Small Business"/>
    <s v="Incentivize User-Centric Mindshare"/>
    <x v="1"/>
    <s v="Becker, Wright and Wong"/>
    <n v="38.51"/>
    <n v="2.798473633099758E-2"/>
  </r>
  <r>
    <s v="ORD2659"/>
    <d v="2020-01-24T00:00:00"/>
    <x v="1"/>
    <s v="PROD145"/>
    <n v="4473.2700000000004"/>
    <n v="237.63"/>
    <n v="11"/>
    <s v="Consumer"/>
    <s v="Innovate Strategic Systems"/>
    <x v="0"/>
    <s v="Mcfarland, Parker and Armstrong"/>
    <n v="70.239999999999995"/>
    <n v="5.3122212609567489E-2"/>
  </r>
  <r>
    <s v="ORD2660"/>
    <d v="2021-04-15T00:00:00"/>
    <x v="3"/>
    <s v="PROD133"/>
    <n v="4863.6499999999996"/>
    <n v="958.85"/>
    <n v="4"/>
    <s v="Small Business"/>
    <s v="Re-Intermediate Seamless Applications"/>
    <x v="0"/>
    <s v="Welch-Reed"/>
    <n v="45.82"/>
    <n v="0.19714617622567415"/>
  </r>
  <r>
    <s v="ORD2661"/>
    <d v="2023-12-16T00:00:00"/>
    <x v="2"/>
    <s v="PROD170"/>
    <n v="4871.8999999999996"/>
    <n v="488.3"/>
    <n v="5"/>
    <s v="Consumer"/>
    <s v="Deliver Sticky Networks"/>
    <x v="2"/>
    <s v="Massey LLC"/>
    <n v="272.33"/>
    <n v="0.10022783718877647"/>
  </r>
  <r>
    <s v="ORD2662"/>
    <d v="2020-09-27T00:00:00"/>
    <x v="0"/>
    <s v="PROD151"/>
    <n v="4213.51"/>
    <n v="332.82"/>
    <n v="19"/>
    <s v="Small Business"/>
    <s v="Re-Contextualize Viral Markets"/>
    <x v="1"/>
    <s v="Meadows-Barber"/>
    <n v="177.52"/>
    <n v="7.8988776578197264E-2"/>
  </r>
  <r>
    <s v="ORD2663"/>
    <d v="2023-12-04T00:00:00"/>
    <x v="2"/>
    <s v="PROD197"/>
    <n v="4322.72"/>
    <n v="934.69"/>
    <n v="13"/>
    <s v="Small Business"/>
    <s v="Leverage Rich Portals"/>
    <x v="0"/>
    <s v="Wilson PLC"/>
    <n v="46.35"/>
    <n v="0.21622728282192694"/>
  </r>
  <r>
    <s v="ORD2664"/>
    <d v="2021-07-23T00:00:00"/>
    <x v="1"/>
    <s v="PROD150"/>
    <n v="2730.58"/>
    <n v="377.45"/>
    <n v="4"/>
    <s v="Small Business"/>
    <s v="Evolve Intuitive Bandwidth"/>
    <x v="0"/>
    <s v="Rogers Group"/>
    <n v="131.63"/>
    <n v="0.13823070556438558"/>
  </r>
  <r>
    <s v="ORD2665"/>
    <d v="2020-07-26T00:00:00"/>
    <x v="3"/>
    <s v="PROD198"/>
    <n v="3532.83"/>
    <n v="55.98"/>
    <n v="15"/>
    <s v="Consumer"/>
    <s v="Visualize Dynamic E-Commerce"/>
    <x v="2"/>
    <s v="Jones LLC"/>
    <n v="92.61"/>
    <n v="1.5845653484600163E-2"/>
  </r>
  <r>
    <s v="ORD2666"/>
    <d v="2023-01-19T00:00:00"/>
    <x v="2"/>
    <s v="PROD198"/>
    <n v="711.2"/>
    <n v="814.98"/>
    <n v="14"/>
    <s v="Corporate"/>
    <s v="Visualize Dynamic E-Commerce"/>
    <x v="2"/>
    <s v="Jones LLC"/>
    <n v="92.61"/>
    <n v="1.1459223847019122"/>
  </r>
  <r>
    <s v="ORD2667"/>
    <d v="2022-05-31T00:00:00"/>
    <x v="0"/>
    <s v="PROD102"/>
    <n v="2120.2399999999998"/>
    <n v="103.67"/>
    <n v="5"/>
    <s v="Consumer"/>
    <s v="Optimize Transparent E-Markets"/>
    <x v="0"/>
    <s v="Lee, Tyler and Blevins"/>
    <n v="111.22"/>
    <n v="4.8895408067011287E-2"/>
  </r>
  <r>
    <s v="ORD2668"/>
    <d v="2022-10-09T00:00:00"/>
    <x v="0"/>
    <s v="PROD147"/>
    <n v="4495.75"/>
    <n v="261.26"/>
    <n v="20"/>
    <s v="Small Business"/>
    <s v="Brand B2C Info-Mediaries"/>
    <x v="0"/>
    <s v="Preston Ltd"/>
    <n v="13.46"/>
    <n v="5.8112661958516373E-2"/>
  </r>
  <r>
    <s v="ORD2669"/>
    <d v="2020-05-20T00:00:00"/>
    <x v="3"/>
    <s v="PROD168"/>
    <n v="4446.51"/>
    <n v="795.47"/>
    <n v="1"/>
    <s v="Small Business"/>
    <s v="Facilitate End-To-End Experiences"/>
    <x v="0"/>
    <s v="Pierce-Goodwin"/>
    <n v="260.52999999999997"/>
    <n v="0.17889760733699014"/>
  </r>
  <r>
    <s v="ORD2670"/>
    <d v="2022-08-11T00:00:00"/>
    <x v="1"/>
    <s v="PROD152"/>
    <n v="4456.7299999999996"/>
    <n v="252.69"/>
    <n v="5"/>
    <s v="Consumer"/>
    <s v="Reinvent Frictionless Roi"/>
    <x v="2"/>
    <s v="Bridges, Castillo and Rodriguez"/>
    <n v="253.89"/>
    <n v="5.6698521113013357E-2"/>
  </r>
  <r>
    <s v="ORD2671"/>
    <d v="2024-09-02T00:00:00"/>
    <x v="2"/>
    <s v="PROD147"/>
    <n v="4924.74"/>
    <n v="185.59"/>
    <n v="4"/>
    <s v="Consumer"/>
    <s v="Brand B2C Info-Mediaries"/>
    <x v="0"/>
    <s v="Preston Ltd"/>
    <n v="13.46"/>
    <n v="3.7685238205468714E-2"/>
  </r>
  <r>
    <s v="ORD2672"/>
    <d v="2024-06-06T00:00:00"/>
    <x v="2"/>
    <s v="PROD197"/>
    <n v="3966.13"/>
    <n v="133.59"/>
    <n v="12"/>
    <s v="Small Business"/>
    <s v="Leverage Rich Portals"/>
    <x v="0"/>
    <s v="Wilson PLC"/>
    <n v="46.35"/>
    <n v="3.3682708332808051E-2"/>
  </r>
  <r>
    <s v="ORD2673"/>
    <d v="2021-06-29T00:00:00"/>
    <x v="3"/>
    <s v="PROD144"/>
    <n v="902.5"/>
    <n v="863.08"/>
    <n v="3"/>
    <s v="Consumer"/>
    <s v="Expedite Synergistic Web-Readiness"/>
    <x v="1"/>
    <s v="Dunlap, Carpenter and Monroe"/>
    <n v="289.66000000000003"/>
    <n v="0.95632132963988925"/>
  </r>
  <r>
    <s v="ORD2674"/>
    <d v="2022-08-03T00:00:00"/>
    <x v="2"/>
    <s v="PROD135"/>
    <n v="1731.43"/>
    <n v="996.99"/>
    <n v="3"/>
    <s v="Small Business"/>
    <s v="Optimize 24/365 E-Services"/>
    <x v="0"/>
    <s v="Chase Ltd"/>
    <n v="100.35"/>
    <n v="0.57581883183264704"/>
  </r>
  <r>
    <s v="ORD2675"/>
    <d v="2023-07-31T00:00:00"/>
    <x v="2"/>
    <s v="PROD126"/>
    <n v="3994.75"/>
    <n v="261.14999999999998"/>
    <n v="3"/>
    <s v="Corporate"/>
    <s v="Streamline Innovative Architectures"/>
    <x v="2"/>
    <s v="Price, Valentine and Lutz"/>
    <n v="291.14999999999998"/>
    <n v="6.5373302459478061E-2"/>
  </r>
  <r>
    <s v="ORD2676"/>
    <d v="2020-05-27T00:00:00"/>
    <x v="0"/>
    <s v="PROD137"/>
    <n v="149.61000000000001"/>
    <n v="34.71"/>
    <n v="2"/>
    <s v="Small Business"/>
    <s v="Optimize Collaborative Initiatives"/>
    <x v="1"/>
    <s v="Adkins Ltd"/>
    <n v="34.46"/>
    <n v="0.23200320834168836"/>
  </r>
  <r>
    <s v="ORD2677"/>
    <d v="2021-12-11T00:00:00"/>
    <x v="3"/>
    <s v="PROD176"/>
    <n v="3607.01"/>
    <n v="995.04"/>
    <n v="3"/>
    <s v="Small Business"/>
    <s v="Facilitate Integrated E-Business"/>
    <x v="0"/>
    <s v="Chang-Vargas"/>
    <n v="130.33000000000001"/>
    <n v="0.27586283375981768"/>
  </r>
  <r>
    <s v="ORD2678"/>
    <d v="2020-11-09T00:00:00"/>
    <x v="3"/>
    <s v="PROD139"/>
    <n v="4484.24"/>
    <n v="831.8"/>
    <n v="20"/>
    <s v="Small Business"/>
    <s v="Re-Contextualize Viral Mindshare"/>
    <x v="1"/>
    <s v="Carter-Lane"/>
    <n v="142.25"/>
    <n v="0.18549408595436462"/>
  </r>
  <r>
    <s v="ORD2679"/>
    <d v="2021-03-27T00:00:00"/>
    <x v="2"/>
    <s v="PROD162"/>
    <n v="237.13"/>
    <n v="773"/>
    <n v="19"/>
    <s v="Consumer"/>
    <s v="Reinvent Visionary Niches"/>
    <x v="2"/>
    <s v="Huber-Richmond"/>
    <n v="219.81"/>
    <n v="3.2598152911904861"/>
  </r>
  <r>
    <s v="ORD2680"/>
    <d v="2020-08-14T00:00:00"/>
    <x v="0"/>
    <s v="PROD148"/>
    <n v="1336.79"/>
    <n v="255.44"/>
    <n v="14"/>
    <s v="Corporate"/>
    <s v="Empower Seamless Roi"/>
    <x v="0"/>
    <s v="Proctor Group"/>
    <n v="266.64999999999998"/>
    <n v="0.19108461314043343"/>
  </r>
  <r>
    <s v="ORD2681"/>
    <d v="2020-07-17T00:00:00"/>
    <x v="2"/>
    <s v="PROD145"/>
    <n v="2853.24"/>
    <n v="587.76"/>
    <n v="5"/>
    <s v="Corporate"/>
    <s v="Innovate Strategic Systems"/>
    <x v="0"/>
    <s v="Mcfarland, Parker and Armstrong"/>
    <n v="70.239999999999995"/>
    <n v="0.20599739243807041"/>
  </r>
  <r>
    <s v="ORD2682"/>
    <d v="2022-05-24T00:00:00"/>
    <x v="0"/>
    <s v="PROD153"/>
    <n v="2297.96"/>
    <n v="256.39"/>
    <n v="2"/>
    <s v="Small Business"/>
    <s v="Seize Plug-And-Play Web-Readiness"/>
    <x v="1"/>
    <s v="Joseph, Mayer and Carr"/>
    <n v="102.73"/>
    <n v="0.11157287333112847"/>
  </r>
  <r>
    <s v="ORD2683"/>
    <d v="2023-05-19T00:00:00"/>
    <x v="2"/>
    <s v="PROD196"/>
    <n v="2981"/>
    <n v="623.78"/>
    <n v="7"/>
    <s v="Consumer"/>
    <s v="Strategize E-Business Content"/>
    <x v="1"/>
    <s v="Patterson LLC"/>
    <n v="294.02"/>
    <n v="0.20925192888292518"/>
  </r>
  <r>
    <s v="ORD2684"/>
    <d v="2024-04-02T00:00:00"/>
    <x v="2"/>
    <s v="PROD110"/>
    <n v="4387.09"/>
    <n v="65.56"/>
    <n v="14"/>
    <s v="Small Business"/>
    <s v="E-Enable Holistic Supply-Chains"/>
    <x v="2"/>
    <s v="Lin-Mcdaniel"/>
    <n v="160.33000000000001"/>
    <n v="1.4943846604469022E-2"/>
  </r>
  <r>
    <s v="ORD2685"/>
    <d v="2021-03-06T00:00:00"/>
    <x v="0"/>
    <s v="PROD108"/>
    <n v="2816.78"/>
    <n v="634.98"/>
    <n v="1"/>
    <s v="Consumer"/>
    <s v="Synergize World-Class Networks"/>
    <x v="1"/>
    <s v="Gomez-Lawrence"/>
    <n v="72.37"/>
    <n v="0.22542761593024657"/>
  </r>
  <r>
    <s v="ORD2686"/>
    <d v="2021-07-08T00:00:00"/>
    <x v="3"/>
    <s v="PROD171"/>
    <n v="615.70000000000005"/>
    <n v="723.28"/>
    <n v="10"/>
    <s v="Consumer"/>
    <s v="Scale 24/365 Networks"/>
    <x v="2"/>
    <s v="Kim-Hamilton"/>
    <n v="157.55000000000001"/>
    <n v="1.1747279519246385"/>
  </r>
  <r>
    <s v="ORD2687"/>
    <d v="2024-09-12T00:00:00"/>
    <x v="1"/>
    <s v="PROD163"/>
    <n v="1892.34"/>
    <n v="635.08000000000004"/>
    <n v="7"/>
    <s v="Consumer"/>
    <s v="Grow Back-End Supply-Chains"/>
    <x v="1"/>
    <s v="Green LLC"/>
    <n v="140.08000000000001"/>
    <n v="0.33560565226122158"/>
  </r>
  <r>
    <s v="ORD2688"/>
    <d v="2024-07-14T00:00:00"/>
    <x v="2"/>
    <s v="PROD123"/>
    <n v="1501.07"/>
    <n v="381.6"/>
    <n v="3"/>
    <s v="Corporate"/>
    <s v="Redefine Real-Time Convergence"/>
    <x v="1"/>
    <s v="Hayes, Peters and Douglas"/>
    <n v="78.260000000000005"/>
    <n v="0.25421865735775151"/>
  </r>
  <r>
    <s v="ORD2689"/>
    <d v="2023-12-20T00:00:00"/>
    <x v="1"/>
    <s v="PROD136"/>
    <n v="3146.95"/>
    <n v="97.38"/>
    <n v="2"/>
    <s v="Corporate"/>
    <s v="Evolve Innovative Web Services"/>
    <x v="2"/>
    <s v="Bush Inc"/>
    <n v="87.75"/>
    <n v="3.094424760482372E-2"/>
  </r>
  <r>
    <s v="ORD2690"/>
    <d v="2023-11-12T00:00:00"/>
    <x v="2"/>
    <s v="PROD120"/>
    <n v="4052.89"/>
    <n v="719.77"/>
    <n v="12"/>
    <s v="Consumer"/>
    <s v="Mesh B2B Platforms"/>
    <x v="2"/>
    <s v="Stevens, Walton and Riddle"/>
    <n v="236.57"/>
    <n v="0.1775942598984922"/>
  </r>
  <r>
    <s v="ORD2691"/>
    <d v="2024-09-29T00:00:00"/>
    <x v="3"/>
    <s v="PROD125"/>
    <n v="3897.31"/>
    <n v="23.8"/>
    <n v="17"/>
    <s v="Corporate"/>
    <s v="Leverage Cutting-Edge Vortals"/>
    <x v="1"/>
    <s v="Robinson, Garrett and Chavez"/>
    <n v="117.3"/>
    <n v="6.1067762123105428E-3"/>
  </r>
  <r>
    <s v="ORD2692"/>
    <d v="2021-01-24T00:00:00"/>
    <x v="2"/>
    <s v="PROD139"/>
    <n v="4720.1099999999997"/>
    <n v="637.99"/>
    <n v="2"/>
    <s v="Small Business"/>
    <s v="Re-Contextualize Viral Mindshare"/>
    <x v="1"/>
    <s v="Carter-Lane"/>
    <n v="142.25"/>
    <n v="0.13516422286768742"/>
  </r>
  <r>
    <s v="ORD2693"/>
    <d v="2023-07-08T00:00:00"/>
    <x v="1"/>
    <s v="PROD192"/>
    <n v="2803.72"/>
    <n v="619.20000000000005"/>
    <n v="6"/>
    <s v="Corporate"/>
    <s v="Drive Compelling E-Services"/>
    <x v="0"/>
    <s v="Morris-Villanueva"/>
    <n v="27.22"/>
    <n v="0.22084944288302688"/>
  </r>
  <r>
    <s v="ORD2694"/>
    <d v="2021-04-22T00:00:00"/>
    <x v="2"/>
    <s v="PROD132"/>
    <n v="3875.56"/>
    <n v="145.93"/>
    <n v="9"/>
    <s v="Consumer"/>
    <s v="Synergize End-To-End Roi"/>
    <x v="1"/>
    <s v="Evans-Smith"/>
    <n v="159.85"/>
    <n v="3.7653913240925187E-2"/>
  </r>
  <r>
    <s v="ORD2695"/>
    <d v="2022-07-20T00:00:00"/>
    <x v="0"/>
    <s v="PROD150"/>
    <n v="3796.69"/>
    <n v="580.12"/>
    <n v="11"/>
    <s v="Small Business"/>
    <s v="Evolve Intuitive Bandwidth"/>
    <x v="0"/>
    <s v="Rogers Group"/>
    <n v="131.63"/>
    <n v="0.15279625147167664"/>
  </r>
  <r>
    <s v="ORD2696"/>
    <d v="2020-08-16T00:00:00"/>
    <x v="2"/>
    <s v="PROD175"/>
    <n v="1737.74"/>
    <n v="135.84"/>
    <n v="2"/>
    <s v="Corporate"/>
    <s v="Empower Bleeding-Edge Action-Items"/>
    <x v="2"/>
    <s v="Gray, Hayes and Banks"/>
    <n v="204.26"/>
    <n v="7.8170497312601422E-2"/>
  </r>
  <r>
    <s v="ORD2697"/>
    <d v="2023-02-22T00:00:00"/>
    <x v="0"/>
    <s v="PROD148"/>
    <n v="2882.82"/>
    <n v="986.52"/>
    <n v="7"/>
    <s v="Corporate"/>
    <s v="Empower Seamless Roi"/>
    <x v="0"/>
    <s v="Proctor Group"/>
    <n v="266.64999999999998"/>
    <n v="0.34220658938123083"/>
  </r>
  <r>
    <s v="ORD2698"/>
    <d v="2022-12-13T00:00:00"/>
    <x v="3"/>
    <s v="PROD168"/>
    <n v="3871.64"/>
    <n v="998.09"/>
    <n v="3"/>
    <s v="Corporate"/>
    <s v="Facilitate End-To-End Experiences"/>
    <x v="0"/>
    <s v="Pierce-Goodwin"/>
    <n v="260.52999999999997"/>
    <n v="0.25779514624293581"/>
  </r>
  <r>
    <s v="ORD2699"/>
    <d v="2024-07-01T00:00:00"/>
    <x v="0"/>
    <s v="PROD168"/>
    <n v="2310.54"/>
    <n v="355.1"/>
    <n v="9"/>
    <s v="Consumer"/>
    <s v="Facilitate End-To-End Experiences"/>
    <x v="0"/>
    <s v="Pierce-Goodwin"/>
    <n v="260.52999999999997"/>
    <n v="0.1536870168878271"/>
  </r>
  <r>
    <s v="ORD2700"/>
    <d v="2023-06-25T00:00:00"/>
    <x v="0"/>
    <s v="PROD173"/>
    <n v="2591.56"/>
    <n v="69.040000000000006"/>
    <n v="3"/>
    <s v="Small Business"/>
    <s v="Whiteboard Sticky Content"/>
    <x v="2"/>
    <s v="Wolfe Group"/>
    <n v="82.16"/>
    <n v="2.6640324746484745E-2"/>
  </r>
  <r>
    <s v="ORD2701"/>
    <d v="2020-12-31T00:00:00"/>
    <x v="0"/>
    <s v="PROD127"/>
    <n v="4933.93"/>
    <n v="291.33999999999997"/>
    <n v="16"/>
    <s v="Corporate"/>
    <s v="Deliver Viral Channels"/>
    <x v="2"/>
    <s v="Parker LLC"/>
    <n v="45.41"/>
    <n v="5.9048263757288805E-2"/>
  </r>
  <r>
    <s v="ORD2702"/>
    <d v="2020-10-12T00:00:00"/>
    <x v="2"/>
    <s v="PROD173"/>
    <n v="2439.9299999999998"/>
    <n v="253.1"/>
    <n v="6"/>
    <s v="Consumer"/>
    <s v="Whiteboard Sticky Content"/>
    <x v="2"/>
    <s v="Wolfe Group"/>
    <n v="82.16"/>
    <n v="0.10373248412864304"/>
  </r>
  <r>
    <s v="ORD2703"/>
    <d v="2021-09-26T00:00:00"/>
    <x v="1"/>
    <s v="PROD158"/>
    <n v="684.27"/>
    <n v="527.77"/>
    <n v="11"/>
    <s v="Small Business"/>
    <s v="Brand Web-Enabled Solutions"/>
    <x v="1"/>
    <s v="Russell Group"/>
    <n v="51.67"/>
    <n v="0.77128911102342645"/>
  </r>
  <r>
    <s v="ORD2704"/>
    <d v="2022-06-09T00:00:00"/>
    <x v="0"/>
    <s v="PROD156"/>
    <n v="3090.4"/>
    <n v="96.19"/>
    <n v="13"/>
    <s v="Consumer"/>
    <s v="Empower Killer Info-Mediaries"/>
    <x v="2"/>
    <s v="Jones Ltd"/>
    <n v="213.24"/>
    <n v="3.112542065752006E-2"/>
  </r>
  <r>
    <s v="ORD2705"/>
    <d v="2023-10-02T00:00:00"/>
    <x v="3"/>
    <s v="PROD160"/>
    <n v="3501.77"/>
    <n v="184.29"/>
    <n v="6"/>
    <s v="Small Business"/>
    <s v="Deliver Extensible Partnerships"/>
    <x v="2"/>
    <s v="Martin, Paul and Salazar"/>
    <n v="43.76"/>
    <n v="5.2627671149161705E-2"/>
  </r>
  <r>
    <s v="ORD2706"/>
    <d v="2022-07-11T00:00:00"/>
    <x v="3"/>
    <s v="PROD174"/>
    <n v="2985.88"/>
    <n v="390"/>
    <n v="3"/>
    <s v="Consumer"/>
    <s v="Disintermediate Scalable Bandwidth"/>
    <x v="1"/>
    <s v="Levy PLC"/>
    <n v="19.86"/>
    <n v="0.13061476013771484"/>
  </r>
  <r>
    <s v="ORD2707"/>
    <d v="2024-01-07T00:00:00"/>
    <x v="3"/>
    <s v="PROD114"/>
    <n v="1779.81"/>
    <n v="113.44"/>
    <n v="6"/>
    <s v="Small Business"/>
    <s v="Orchestrate User-Centric Platforms"/>
    <x v="2"/>
    <s v="Wells Ltd"/>
    <n v="201.87"/>
    <n v="6.3737140481287327E-2"/>
  </r>
  <r>
    <s v="ORD2708"/>
    <d v="2021-12-12T00:00:00"/>
    <x v="0"/>
    <s v="PROD169"/>
    <n v="2139.89"/>
    <n v="125.27"/>
    <n v="7"/>
    <s v="Consumer"/>
    <s v="Unleash End-To-End Web Services"/>
    <x v="0"/>
    <s v="Jones Ltd"/>
    <n v="188.02"/>
    <n v="5.8540392263153718E-2"/>
  </r>
  <r>
    <s v="ORD2709"/>
    <d v="2022-09-09T00:00:00"/>
    <x v="1"/>
    <s v="PROD127"/>
    <n v="4419.8599999999997"/>
    <n v="562.59"/>
    <n v="12"/>
    <s v="Small Business"/>
    <s v="Deliver Viral Channels"/>
    <x v="2"/>
    <s v="Parker LLC"/>
    <n v="45.41"/>
    <n v="0.12728683713963793"/>
  </r>
  <r>
    <s v="ORD2710"/>
    <d v="2021-01-09T00:00:00"/>
    <x v="3"/>
    <s v="PROD171"/>
    <n v="1231.8699999999999"/>
    <n v="18.649999999999999"/>
    <n v="1"/>
    <s v="Small Business"/>
    <s v="Scale 24/365 Networks"/>
    <x v="2"/>
    <s v="Kim-Hamilton"/>
    <n v="157.55000000000001"/>
    <n v="1.513958453408233E-2"/>
  </r>
  <r>
    <s v="ORD2711"/>
    <d v="2024-03-08T00:00:00"/>
    <x v="1"/>
    <s v="PROD114"/>
    <n v="998.99"/>
    <n v="331.66"/>
    <n v="16"/>
    <s v="Consumer"/>
    <s v="Orchestrate User-Centric Platforms"/>
    <x v="2"/>
    <s v="Wells Ltd"/>
    <n v="201.87"/>
    <n v="0.33199531526842113"/>
  </r>
  <r>
    <s v="ORD2712"/>
    <d v="2023-03-14T00:00:00"/>
    <x v="0"/>
    <s v="PROD165"/>
    <n v="2718.02"/>
    <n v="217.75"/>
    <n v="3"/>
    <s v="Small Business"/>
    <s v="Benchmark Cross-Platform Markets"/>
    <x v="2"/>
    <s v="Murphy, Mathews and Wilson"/>
    <n v="78.88"/>
    <n v="8.0113464948749463E-2"/>
  </r>
  <r>
    <s v="ORD2713"/>
    <d v="2024-04-20T00:00:00"/>
    <x v="0"/>
    <s v="PROD165"/>
    <n v="4880.6000000000004"/>
    <n v="317.56"/>
    <n v="2"/>
    <s v="Small Business"/>
    <s v="Benchmark Cross-Platform Markets"/>
    <x v="2"/>
    <s v="Murphy, Mathews and Wilson"/>
    <n v="78.88"/>
    <n v="6.5065770601975159E-2"/>
  </r>
  <r>
    <s v="ORD2714"/>
    <d v="2023-01-21T00:00:00"/>
    <x v="2"/>
    <s v="PROD107"/>
    <n v="2648.59"/>
    <n v="820.79"/>
    <n v="17"/>
    <s v="Corporate"/>
    <s v="Utilize Back-End Models"/>
    <x v="2"/>
    <s v="Lewis-Holden"/>
    <n v="241.53"/>
    <n v="0.30989696404502015"/>
  </r>
  <r>
    <s v="ORD2715"/>
    <d v="2021-06-16T00:00:00"/>
    <x v="3"/>
    <s v="PROD171"/>
    <n v="3371.06"/>
    <n v="219.8"/>
    <n v="8"/>
    <s v="Small Business"/>
    <s v="Scale 24/365 Networks"/>
    <x v="2"/>
    <s v="Kim-Hamilton"/>
    <n v="157.55000000000001"/>
    <n v="6.5202043274222354E-2"/>
  </r>
  <r>
    <s v="ORD2716"/>
    <d v="2020-04-17T00:00:00"/>
    <x v="1"/>
    <s v="PROD135"/>
    <n v="4831.76"/>
    <n v="786.21"/>
    <n v="1"/>
    <s v="Corporate"/>
    <s v="Optimize 24/365 E-Services"/>
    <x v="0"/>
    <s v="Chase Ltd"/>
    <n v="100.35"/>
    <n v="0.16271710515422952"/>
  </r>
  <r>
    <s v="ORD2717"/>
    <d v="2022-03-26T00:00:00"/>
    <x v="2"/>
    <s v="PROD100"/>
    <n v="65.53"/>
    <n v="430.5"/>
    <n v="6"/>
    <s v="Consumer"/>
    <s v="Synthesize Scalable Portals"/>
    <x v="2"/>
    <s v="Singh, Villa and Flynn"/>
    <n v="298.57"/>
    <n v="6.5695101480238058"/>
  </r>
  <r>
    <s v="ORD2718"/>
    <d v="2021-04-29T00:00:00"/>
    <x v="1"/>
    <s v="PROD139"/>
    <n v="1701.54"/>
    <n v="170.12"/>
    <n v="1"/>
    <s v="Consumer"/>
    <s v="Re-Contextualize Viral Mindshare"/>
    <x v="1"/>
    <s v="Carter-Lane"/>
    <n v="142.25"/>
    <n v="9.9980018101249457E-2"/>
  </r>
  <r>
    <s v="ORD2719"/>
    <d v="2024-03-18T00:00:00"/>
    <x v="0"/>
    <s v="PROD164"/>
    <n v="4642.29"/>
    <n v="198.17"/>
    <n v="19"/>
    <s v="Consumer"/>
    <s v="Transition Compelling Web-Readiness"/>
    <x v="2"/>
    <s v="Wood-Beck"/>
    <n v="88.34"/>
    <n v="4.2687983732166666E-2"/>
  </r>
  <r>
    <s v="ORD2720"/>
    <d v="2023-01-13T00:00:00"/>
    <x v="1"/>
    <s v="PROD189"/>
    <n v="2073.88"/>
    <n v="589.66999999999996"/>
    <n v="20"/>
    <s v="Corporate"/>
    <s v="E-Enable Next-Generation Experiences"/>
    <x v="2"/>
    <s v="Sanchez-Quinn"/>
    <n v="266.93"/>
    <n v="0.28433178390263658"/>
  </r>
  <r>
    <s v="ORD2721"/>
    <d v="2024-03-18T00:00:00"/>
    <x v="2"/>
    <s v="PROD182"/>
    <n v="2989.8"/>
    <n v="221.48"/>
    <n v="6"/>
    <s v="Corporate"/>
    <s v="Strategize Best-Of-Breed Web-Readiness"/>
    <x v="0"/>
    <s v="Morris, King and Ayers"/>
    <n v="220.16"/>
    <n v="7.4078533681182682E-2"/>
  </r>
  <r>
    <s v="ORD2722"/>
    <d v="2024-07-14T00:00:00"/>
    <x v="3"/>
    <s v="PROD109"/>
    <n v="2368"/>
    <n v="750.05"/>
    <n v="13"/>
    <s v="Small Business"/>
    <s v="Orchestrate E-Business Niches"/>
    <x v="2"/>
    <s v="Johnson LLC"/>
    <n v="198.99"/>
    <n v="0.31674408783783781"/>
  </r>
  <r>
    <s v="ORD2723"/>
    <d v="2022-08-22T00:00:00"/>
    <x v="3"/>
    <s v="PROD182"/>
    <n v="3257.13"/>
    <n v="803.09"/>
    <n v="19"/>
    <s v="Consumer"/>
    <s v="Strategize Best-Of-Breed Web-Readiness"/>
    <x v="0"/>
    <s v="Morris, King and Ayers"/>
    <n v="220.16"/>
    <n v="0.24656369257597946"/>
  </r>
  <r>
    <s v="ORD2724"/>
    <d v="2020-05-23T00:00:00"/>
    <x v="2"/>
    <s v="PROD102"/>
    <n v="3908.95"/>
    <n v="880.84"/>
    <n v="16"/>
    <s v="Corporate"/>
    <s v="Optimize Transparent E-Markets"/>
    <x v="0"/>
    <s v="Lee, Tyler and Blevins"/>
    <n v="111.22"/>
    <n v="0.22533928548587218"/>
  </r>
  <r>
    <s v="ORD2725"/>
    <d v="2022-09-19T00:00:00"/>
    <x v="0"/>
    <s v="PROD144"/>
    <n v="3433.05"/>
    <n v="660.47"/>
    <n v="15"/>
    <s v="Small Business"/>
    <s v="Expedite Synergistic Web-Readiness"/>
    <x v="1"/>
    <s v="Dunlap, Carpenter and Monroe"/>
    <n v="289.66000000000003"/>
    <n v="0.19238577940898036"/>
  </r>
  <r>
    <s v="ORD2726"/>
    <d v="2023-11-11T00:00:00"/>
    <x v="3"/>
    <s v="PROD107"/>
    <n v="4532.8999999999996"/>
    <n v="593.87"/>
    <n v="20"/>
    <s v="Small Business"/>
    <s v="Utilize Back-End Models"/>
    <x v="2"/>
    <s v="Lewis-Holden"/>
    <n v="241.53"/>
    <n v="0.1310132586203093"/>
  </r>
  <r>
    <s v="ORD2727"/>
    <d v="2022-11-16T00:00:00"/>
    <x v="2"/>
    <s v="PROD169"/>
    <n v="4266.01"/>
    <n v="766.26"/>
    <n v="8"/>
    <s v="Corporate"/>
    <s v="Unleash End-To-End Web Services"/>
    <x v="0"/>
    <s v="Jones Ltd"/>
    <n v="188.02"/>
    <n v="0.17961983211478641"/>
  </r>
  <r>
    <s v="ORD2728"/>
    <d v="2024-06-10T00:00:00"/>
    <x v="2"/>
    <s v="PROD174"/>
    <n v="1502.02"/>
    <n v="121"/>
    <n v="19"/>
    <s v="Small Business"/>
    <s v="Disintermediate Scalable Bandwidth"/>
    <x v="1"/>
    <s v="Levy PLC"/>
    <n v="19.86"/>
    <n v="8.0558181648713062E-2"/>
  </r>
  <r>
    <s v="ORD2729"/>
    <d v="2020-10-05T00:00:00"/>
    <x v="3"/>
    <s v="PROD196"/>
    <n v="4679.42"/>
    <n v="944.95"/>
    <n v="7"/>
    <s v="Consumer"/>
    <s v="Strategize E-Business Content"/>
    <x v="1"/>
    <s v="Patterson LLC"/>
    <n v="294.02"/>
    <n v="0.2019374195947361"/>
  </r>
  <r>
    <s v="ORD2730"/>
    <d v="2024-04-14T00:00:00"/>
    <x v="2"/>
    <s v="PROD194"/>
    <n v="2435.73"/>
    <n v="808.97"/>
    <n v="5"/>
    <s v="Small Business"/>
    <s v="Leverage Scalable Interfaces"/>
    <x v="0"/>
    <s v="Kaufman-Jones"/>
    <n v="73.33"/>
    <n v="0.33212630299745866"/>
  </r>
  <r>
    <s v="ORD2731"/>
    <d v="2023-04-22T00:00:00"/>
    <x v="2"/>
    <s v="PROD197"/>
    <n v="4860.5"/>
    <n v="737.36"/>
    <n v="15"/>
    <s v="Small Business"/>
    <s v="Leverage Rich Portals"/>
    <x v="0"/>
    <s v="Wilson PLC"/>
    <n v="46.35"/>
    <n v="0.15170455714432671"/>
  </r>
  <r>
    <s v="ORD2732"/>
    <d v="2023-07-16T00:00:00"/>
    <x v="1"/>
    <s v="PROD185"/>
    <n v="2756.17"/>
    <n v="241.62"/>
    <n v="2"/>
    <s v="Consumer"/>
    <s v="Generate End-To-End Functionalities"/>
    <x v="1"/>
    <s v="Sanchez-Stewart"/>
    <n v="196.15"/>
    <n v="8.7665129509427939E-2"/>
  </r>
  <r>
    <s v="ORD2733"/>
    <d v="2021-07-01T00:00:00"/>
    <x v="1"/>
    <s v="PROD158"/>
    <n v="2356.71"/>
    <n v="587.19000000000005"/>
    <n v="14"/>
    <s v="Corporate"/>
    <s v="Brand Web-Enabled Solutions"/>
    <x v="1"/>
    <s v="Russell Group"/>
    <n v="51.67"/>
    <n v="0.24915666331453595"/>
  </r>
  <r>
    <s v="ORD2734"/>
    <d v="2020-05-24T00:00:00"/>
    <x v="2"/>
    <s v="PROD129"/>
    <n v="2743.81"/>
    <n v="298.04000000000002"/>
    <n v="16"/>
    <s v="Consumer"/>
    <s v="Scale Vertical Networks"/>
    <x v="2"/>
    <s v="Lam, Wood and Jacobs"/>
    <n v="133.24"/>
    <n v="0.10862268159967346"/>
  </r>
  <r>
    <s v="ORD2735"/>
    <d v="2024-07-18T00:00:00"/>
    <x v="1"/>
    <s v="PROD133"/>
    <n v="1245.8800000000001"/>
    <n v="353.83"/>
    <n v="19"/>
    <s v="Corporate"/>
    <s v="Re-Intermediate Seamless Applications"/>
    <x v="0"/>
    <s v="Welch-Reed"/>
    <n v="45.82"/>
    <n v="0.28400006421164153"/>
  </r>
  <r>
    <s v="ORD2736"/>
    <d v="2024-10-04T00:00:00"/>
    <x v="2"/>
    <s v="PROD114"/>
    <n v="3429.45"/>
    <n v="508.69"/>
    <n v="8"/>
    <s v="Small Business"/>
    <s v="Orchestrate User-Centric Platforms"/>
    <x v="2"/>
    <s v="Wells Ltd"/>
    <n v="201.87"/>
    <n v="0.14832990712796512"/>
  </r>
  <r>
    <s v="ORD2737"/>
    <d v="2021-01-30T00:00:00"/>
    <x v="1"/>
    <s v="PROD112"/>
    <n v="1458.51"/>
    <n v="941.69"/>
    <n v="6"/>
    <s v="Consumer"/>
    <s v="Seize Clicks-And-Mortar Platforms"/>
    <x v="0"/>
    <s v="Owens, Campos and Wood"/>
    <n v="271.16000000000003"/>
    <n v="0.64565206957785692"/>
  </r>
  <r>
    <s v="ORD2738"/>
    <d v="2020-06-13T00:00:00"/>
    <x v="0"/>
    <s v="PROD180"/>
    <n v="1563.89"/>
    <n v="904.37"/>
    <n v="3"/>
    <s v="Small Business"/>
    <s v="Iterate Extensible Roi"/>
    <x v="0"/>
    <s v="Hill-Kelly"/>
    <n v="180"/>
    <n v="0.57828236001253286"/>
  </r>
  <r>
    <s v="ORD2739"/>
    <d v="2021-10-13T00:00:00"/>
    <x v="2"/>
    <s v="PROD153"/>
    <n v="227.22"/>
    <n v="686.88"/>
    <n v="20"/>
    <s v="Small Business"/>
    <s v="Seize Plug-And-Play Web-Readiness"/>
    <x v="1"/>
    <s v="Joseph, Mayer and Carr"/>
    <n v="102.73"/>
    <n v="3.0229733298125163"/>
  </r>
  <r>
    <s v="ORD2740"/>
    <d v="2024-08-29T00:00:00"/>
    <x v="2"/>
    <s v="PROD189"/>
    <n v="326.60000000000002"/>
    <n v="201.85"/>
    <n v="18"/>
    <s v="Small Business"/>
    <s v="E-Enable Next-Generation Experiences"/>
    <x v="2"/>
    <s v="Sanchez-Quinn"/>
    <n v="266.93"/>
    <n v="0.61803429271279842"/>
  </r>
  <r>
    <s v="ORD2741"/>
    <d v="2021-10-07T00:00:00"/>
    <x v="0"/>
    <s v="PROD167"/>
    <n v="4540.8999999999996"/>
    <n v="195.61"/>
    <n v="14"/>
    <s v="Consumer"/>
    <s v="Grow Synergistic Infrastructures"/>
    <x v="2"/>
    <s v="Adams-Carter"/>
    <n v="113.17"/>
    <n v="4.3077363518245287E-2"/>
  </r>
  <r>
    <s v="ORD2742"/>
    <d v="2024-05-16T00:00:00"/>
    <x v="3"/>
    <s v="PROD146"/>
    <n v="3642.9"/>
    <n v="479.77"/>
    <n v="11"/>
    <s v="Corporate"/>
    <s v="Engage Rich Web-Readiness"/>
    <x v="0"/>
    <s v="Turner Inc"/>
    <n v="81.069999999999993"/>
    <n v="0.13170001921546021"/>
  </r>
  <r>
    <s v="ORD2743"/>
    <d v="2022-01-10T00:00:00"/>
    <x v="2"/>
    <s v="PROD134"/>
    <n v="1941.46"/>
    <n v="570.03"/>
    <n v="11"/>
    <s v="Small Business"/>
    <s v="Utilize Ubiquitous Synergies"/>
    <x v="1"/>
    <s v="Kramer, Huang and Shaw"/>
    <n v="295.89999999999998"/>
    <n v="0.29360893348304884"/>
  </r>
  <r>
    <s v="ORD2744"/>
    <d v="2024-02-01T00:00:00"/>
    <x v="0"/>
    <s v="PROD135"/>
    <n v="4188.9799999999996"/>
    <n v="666.02"/>
    <n v="15"/>
    <s v="Corporate"/>
    <s v="Optimize 24/365 E-Services"/>
    <x v="0"/>
    <s v="Chase Ltd"/>
    <n v="100.35"/>
    <n v="0.15899335876514092"/>
  </r>
  <r>
    <s v="ORD2745"/>
    <d v="2020-07-03T00:00:00"/>
    <x v="1"/>
    <s v="PROD122"/>
    <n v="676.6"/>
    <n v="648.82000000000005"/>
    <n v="6"/>
    <s v="Consumer"/>
    <s v="Empower Dot-Com Deliverables"/>
    <x v="1"/>
    <s v="Davis LLC"/>
    <n v="250.66"/>
    <n v="0.9589417676618387"/>
  </r>
  <r>
    <s v="ORD2746"/>
    <d v="2022-05-02T00:00:00"/>
    <x v="2"/>
    <s v="PROD104"/>
    <n v="783.74"/>
    <n v="490.76"/>
    <n v="2"/>
    <s v="Corporate"/>
    <s v="Implement Clicks-And-Mortar Partnerships"/>
    <x v="1"/>
    <s v="Smith Inc"/>
    <n v="195.53"/>
    <n v="0.62617704851098577"/>
  </r>
  <r>
    <s v="ORD2747"/>
    <d v="2023-09-24T00:00:00"/>
    <x v="0"/>
    <s v="PROD199"/>
    <n v="3144.31"/>
    <n v="541.48"/>
    <n v="4"/>
    <s v="Consumer"/>
    <s v="Scale Cross-Platform Web Services"/>
    <x v="2"/>
    <s v="Morrow, Brock and Lewis"/>
    <n v="115.21"/>
    <n v="0.17220948316164755"/>
  </r>
  <r>
    <s v="ORD2748"/>
    <d v="2022-03-04T00:00:00"/>
    <x v="1"/>
    <s v="PROD112"/>
    <n v="3524.13"/>
    <n v="121.93"/>
    <n v="7"/>
    <s v="Small Business"/>
    <s v="Seize Clicks-And-Mortar Platforms"/>
    <x v="0"/>
    <s v="Owens, Campos and Wood"/>
    <n v="271.16000000000003"/>
    <n v="3.4598610153427939E-2"/>
  </r>
  <r>
    <s v="ORD2749"/>
    <d v="2024-03-29T00:00:00"/>
    <x v="3"/>
    <s v="PROD106"/>
    <n v="3539.11"/>
    <n v="307.45999999999998"/>
    <n v="18"/>
    <s v="Consumer"/>
    <s v="Synergize End-To-End Supply-Chains"/>
    <x v="0"/>
    <s v="Higgins-Espinoza"/>
    <n v="279.8"/>
    <n v="8.6874948786559325E-2"/>
  </r>
  <r>
    <s v="ORD2750"/>
    <d v="2021-10-26T00:00:00"/>
    <x v="2"/>
    <s v="PROD158"/>
    <n v="4649.3900000000003"/>
    <n v="757.22"/>
    <n v="4"/>
    <s v="Consumer"/>
    <s v="Brand Web-Enabled Solutions"/>
    <x v="1"/>
    <s v="Russell Group"/>
    <n v="51.67"/>
    <n v="0.1628643757568197"/>
  </r>
  <r>
    <s v="ORD2751"/>
    <d v="2023-01-01T00:00:00"/>
    <x v="3"/>
    <s v="PROD111"/>
    <n v="2090.59"/>
    <n v="117.88"/>
    <n v="14"/>
    <s v="Consumer"/>
    <s v="Harness Revolutionary Interfaces"/>
    <x v="2"/>
    <s v="Davis, Short and Nguyen"/>
    <n v="26.49"/>
    <n v="5.6385996297695862E-2"/>
  </r>
  <r>
    <s v="ORD2752"/>
    <d v="2023-04-09T00:00:00"/>
    <x v="3"/>
    <s v="PROD121"/>
    <n v="1101.43"/>
    <n v="747.47"/>
    <n v="18"/>
    <s v="Corporate"/>
    <s v="Whiteboard B2B Content"/>
    <x v="0"/>
    <s v="Romero PLC"/>
    <n v="93.81"/>
    <n v="0.67863595507658225"/>
  </r>
  <r>
    <s v="ORD2753"/>
    <d v="2024-05-13T00:00:00"/>
    <x v="1"/>
    <s v="PROD111"/>
    <n v="4544.6099999999997"/>
    <n v="692.03"/>
    <n v="4"/>
    <s v="Corporate"/>
    <s v="Harness Revolutionary Interfaces"/>
    <x v="2"/>
    <s v="Davis, Short and Nguyen"/>
    <n v="26.49"/>
    <n v="0.15227489267505903"/>
  </r>
  <r>
    <s v="ORD2754"/>
    <d v="2021-08-19T00:00:00"/>
    <x v="2"/>
    <s v="PROD170"/>
    <n v="3014.19"/>
    <n v="47.4"/>
    <n v="17"/>
    <s v="Consumer"/>
    <s v="Deliver Sticky Networks"/>
    <x v="2"/>
    <s v="Massey LLC"/>
    <n v="272.33"/>
    <n v="1.5725617827675096E-2"/>
  </r>
  <r>
    <s v="ORD2755"/>
    <d v="2022-10-20T00:00:00"/>
    <x v="3"/>
    <s v="PROD146"/>
    <n v="2707.41"/>
    <n v="391.24"/>
    <n v="14"/>
    <s v="Small Business"/>
    <s v="Engage Rich Web-Readiness"/>
    <x v="0"/>
    <s v="Turner Inc"/>
    <n v="81.069999999999993"/>
    <n v="0.1445071119630939"/>
  </r>
  <r>
    <s v="ORD2756"/>
    <d v="2023-04-26T00:00:00"/>
    <x v="2"/>
    <s v="PROD159"/>
    <n v="3831"/>
    <n v="584.22"/>
    <n v="13"/>
    <s v="Corporate"/>
    <s v="Mesh Intuitive Supply-Chains"/>
    <x v="1"/>
    <s v="Soto, Barnett and Heath"/>
    <n v="281"/>
    <n v="0.15249804228660924"/>
  </r>
  <r>
    <s v="ORD2757"/>
    <d v="2020-04-27T00:00:00"/>
    <x v="3"/>
    <s v="PROD197"/>
    <n v="855.79"/>
    <n v="775.41"/>
    <n v="6"/>
    <s v="Consumer"/>
    <s v="Leverage Rich Portals"/>
    <x v="0"/>
    <s v="Wilson PLC"/>
    <n v="46.35"/>
    <n v="0.90607508851470575"/>
  </r>
  <r>
    <s v="ORD2758"/>
    <d v="2022-09-02T00:00:00"/>
    <x v="0"/>
    <s v="PROD102"/>
    <n v="3323.41"/>
    <n v="190.06"/>
    <n v="14"/>
    <s v="Corporate"/>
    <s v="Optimize Transparent E-Markets"/>
    <x v="0"/>
    <s v="Lee, Tyler and Blevins"/>
    <n v="111.22"/>
    <n v="5.7188249418518931E-2"/>
  </r>
  <r>
    <s v="ORD2759"/>
    <d v="2020-05-04T00:00:00"/>
    <x v="2"/>
    <s v="PROD106"/>
    <n v="4770.3500000000004"/>
    <n v="611.58000000000004"/>
    <n v="7"/>
    <s v="Consumer"/>
    <s v="Synergize End-To-End Supply-Chains"/>
    <x v="0"/>
    <s v="Higgins-Espinoza"/>
    <n v="279.8"/>
    <n v="0.1282044294443804"/>
  </r>
  <r>
    <s v="ORD2760"/>
    <d v="2021-05-30T00:00:00"/>
    <x v="2"/>
    <s v="PROD170"/>
    <n v="4279.1099999999997"/>
    <n v="640.98"/>
    <n v="9"/>
    <s v="Corporate"/>
    <s v="Deliver Sticky Networks"/>
    <x v="2"/>
    <s v="Massey LLC"/>
    <n v="272.33"/>
    <n v="0.14979283075218913"/>
  </r>
  <r>
    <s v="ORD2761"/>
    <d v="2023-10-16T00:00:00"/>
    <x v="1"/>
    <s v="PROD171"/>
    <n v="2342.0700000000002"/>
    <n v="644.73"/>
    <n v="14"/>
    <s v="Corporate"/>
    <s v="Scale 24/365 Networks"/>
    <x v="2"/>
    <s v="Kim-Hamilton"/>
    <n v="157.55000000000001"/>
    <n v="0.27528212222521103"/>
  </r>
  <r>
    <s v="ORD2762"/>
    <d v="2022-04-18T00:00:00"/>
    <x v="0"/>
    <s v="PROD137"/>
    <n v="3913.87"/>
    <n v="457.99"/>
    <n v="19"/>
    <s v="Small Business"/>
    <s v="Optimize Collaborative Initiatives"/>
    <x v="1"/>
    <s v="Adkins Ltd"/>
    <n v="34.46"/>
    <n v="0.11701717226172562"/>
  </r>
  <r>
    <s v="ORD2763"/>
    <d v="2020-06-14T00:00:00"/>
    <x v="2"/>
    <s v="PROD174"/>
    <n v="4052.73"/>
    <n v="322.06"/>
    <n v="10"/>
    <s v="Consumer"/>
    <s v="Disintermediate Scalable Bandwidth"/>
    <x v="1"/>
    <s v="Levy PLC"/>
    <n v="19.86"/>
    <n v="7.946742072627587E-2"/>
  </r>
  <r>
    <s v="ORD2764"/>
    <d v="2020-03-10T00:00:00"/>
    <x v="2"/>
    <s v="PROD144"/>
    <n v="1161.8900000000001"/>
    <n v="952.79"/>
    <n v="17"/>
    <s v="Corporate"/>
    <s v="Expedite Synergistic Web-Readiness"/>
    <x v="1"/>
    <s v="Dunlap, Carpenter and Monroe"/>
    <n v="289.66000000000003"/>
    <n v="0.82003459880023055"/>
  </r>
  <r>
    <s v="ORD2765"/>
    <d v="2022-09-20T00:00:00"/>
    <x v="1"/>
    <s v="PROD137"/>
    <n v="1780.87"/>
    <n v="612.16999999999996"/>
    <n v="16"/>
    <s v="Small Business"/>
    <s v="Optimize Collaborative Initiatives"/>
    <x v="1"/>
    <s v="Adkins Ltd"/>
    <n v="34.46"/>
    <n v="0.34374771881159211"/>
  </r>
  <r>
    <s v="ORD2766"/>
    <d v="2023-06-28T00:00:00"/>
    <x v="3"/>
    <s v="PROD125"/>
    <n v="3797.54"/>
    <n v="419.23"/>
    <n v="8"/>
    <s v="Consumer"/>
    <s v="Leverage Cutting-Edge Vortals"/>
    <x v="1"/>
    <s v="Robinson, Garrett and Chavez"/>
    <n v="117.3"/>
    <n v="0.11039515054482639"/>
  </r>
  <r>
    <s v="ORD2767"/>
    <d v="2023-11-04T00:00:00"/>
    <x v="0"/>
    <s v="PROD164"/>
    <n v="393.2"/>
    <n v="884.21"/>
    <n v="13"/>
    <s v="Small Business"/>
    <s v="Transition Compelling Web-Readiness"/>
    <x v="2"/>
    <s v="Wood-Beck"/>
    <n v="88.34"/>
    <n v="2.2487538148524924"/>
  </r>
  <r>
    <s v="ORD2768"/>
    <d v="2023-09-09T00:00:00"/>
    <x v="2"/>
    <s v="PROD119"/>
    <n v="2365.12"/>
    <n v="150.97"/>
    <n v="19"/>
    <s v="Consumer"/>
    <s v="Generate Front-End Functionalities"/>
    <x v="0"/>
    <s v="Morales-Brown"/>
    <n v="299.77"/>
    <n v="6.3831856311730481E-2"/>
  </r>
  <r>
    <s v="ORD2769"/>
    <d v="2024-02-04T00:00:00"/>
    <x v="3"/>
    <s v="PROD104"/>
    <n v="96.66"/>
    <n v="75.63"/>
    <n v="3"/>
    <s v="Consumer"/>
    <s v="Implement Clicks-And-Mortar Partnerships"/>
    <x v="1"/>
    <s v="Smith Inc"/>
    <n v="195.53"/>
    <n v="0.78243327126008688"/>
  </r>
  <r>
    <s v="ORD2770"/>
    <d v="2020-02-19T00:00:00"/>
    <x v="2"/>
    <s v="PROD171"/>
    <n v="3804.46"/>
    <n v="463.42"/>
    <n v="18"/>
    <s v="Consumer"/>
    <s v="Scale 24/365 Networks"/>
    <x v="2"/>
    <s v="Kim-Hamilton"/>
    <n v="157.55000000000001"/>
    <n v="0.12180966549786304"/>
  </r>
  <r>
    <s v="ORD2771"/>
    <d v="2022-08-01T00:00:00"/>
    <x v="3"/>
    <s v="PROD148"/>
    <n v="2834"/>
    <n v="358.9"/>
    <n v="8"/>
    <s v="Corporate"/>
    <s v="Empower Seamless Roi"/>
    <x v="0"/>
    <s v="Proctor Group"/>
    <n v="266.64999999999998"/>
    <n v="0.12664079040225829"/>
  </r>
  <r>
    <s v="ORD2772"/>
    <d v="2024-05-18T00:00:00"/>
    <x v="1"/>
    <s v="PROD155"/>
    <n v="4812.7299999999996"/>
    <n v="631.33000000000004"/>
    <n v="15"/>
    <s v="Consumer"/>
    <s v="Incentivize User-Centric Mindshare"/>
    <x v="1"/>
    <s v="Becker, Wright and Wong"/>
    <n v="38.51"/>
    <n v="0.13117918520257735"/>
  </r>
  <r>
    <s v="ORD2773"/>
    <d v="2024-02-10T00:00:00"/>
    <x v="1"/>
    <s v="PROD101"/>
    <n v="1891.95"/>
    <n v="282.39"/>
    <n v="7"/>
    <s v="Small Business"/>
    <s v="Harness Proactive Eyeballs"/>
    <x v="1"/>
    <s v="Moran and Sons"/>
    <n v="58.01"/>
    <n v="0.14925870133988742"/>
  </r>
  <r>
    <s v="ORD2774"/>
    <d v="2023-05-10T00:00:00"/>
    <x v="2"/>
    <s v="PROD187"/>
    <n v="1445.59"/>
    <n v="140.6"/>
    <n v="13"/>
    <s v="Consumer"/>
    <s v="Whiteboard Compelling Experiences"/>
    <x v="2"/>
    <s v="Carrillo, Carr and Ball"/>
    <n v="206.54"/>
    <n v="9.7261325825441516E-2"/>
  </r>
  <r>
    <s v="ORD2775"/>
    <d v="2022-01-29T00:00:00"/>
    <x v="3"/>
    <s v="PROD192"/>
    <n v="1981.19"/>
    <n v="36.39"/>
    <n v="11"/>
    <s v="Small Business"/>
    <s v="Drive Compelling E-Services"/>
    <x v="0"/>
    <s v="Morris-Villanueva"/>
    <n v="27.22"/>
    <n v="1.8367748676300606E-2"/>
  </r>
  <r>
    <s v="ORD2776"/>
    <d v="2022-10-08T00:00:00"/>
    <x v="2"/>
    <s v="PROD197"/>
    <n v="4231.82"/>
    <n v="743.04"/>
    <n v="13"/>
    <s v="Consumer"/>
    <s v="Leverage Rich Portals"/>
    <x v="0"/>
    <s v="Wilson PLC"/>
    <n v="46.35"/>
    <n v="0.17558402767603537"/>
  </r>
  <r>
    <s v="ORD2777"/>
    <d v="2024-03-28T00:00:00"/>
    <x v="3"/>
    <s v="PROD115"/>
    <n v="889.47"/>
    <n v="612.52"/>
    <n v="10"/>
    <s v="Corporate"/>
    <s v="Morph World-Class Synergies"/>
    <x v="1"/>
    <s v="Bryant Ltd"/>
    <n v="20.69"/>
    <n v="0.68863480499623364"/>
  </r>
  <r>
    <s v="ORD2778"/>
    <d v="2023-06-14T00:00:00"/>
    <x v="3"/>
    <s v="PROD151"/>
    <n v="4019.33"/>
    <n v="389.25"/>
    <n v="11"/>
    <s v="Consumer"/>
    <s v="Re-Contextualize Viral Markets"/>
    <x v="1"/>
    <s v="Meadows-Barber"/>
    <n v="177.52"/>
    <n v="9.6844498958781694E-2"/>
  </r>
  <r>
    <s v="ORD2779"/>
    <d v="2021-07-22T00:00:00"/>
    <x v="1"/>
    <s v="PROD166"/>
    <n v="1643.26"/>
    <n v="337.67"/>
    <n v="1"/>
    <s v="Consumer"/>
    <s v="Monetize Wireless Functionalities"/>
    <x v="2"/>
    <s v="Robinson, Rodriguez and Hernandez"/>
    <n v="162.22"/>
    <n v="0.2054878716697297"/>
  </r>
  <r>
    <s v="ORD2780"/>
    <d v="2024-04-28T00:00:00"/>
    <x v="0"/>
    <s v="PROD175"/>
    <n v="2555.06"/>
    <n v="435.44"/>
    <n v="13"/>
    <s v="Consumer"/>
    <s v="Empower Bleeding-Edge Action-Items"/>
    <x v="2"/>
    <s v="Gray, Hayes and Banks"/>
    <n v="204.26"/>
    <n v="0.17042261238483636"/>
  </r>
  <r>
    <s v="ORD2781"/>
    <d v="2024-04-25T00:00:00"/>
    <x v="1"/>
    <s v="PROD186"/>
    <n v="2700.72"/>
    <n v="985.4"/>
    <n v="3"/>
    <s v="Small Business"/>
    <s v="Reinvent Mission-Critical Markets"/>
    <x v="2"/>
    <s v="Gilbert-Sanders"/>
    <n v="154.21"/>
    <n v="0.36486566545217575"/>
  </r>
  <r>
    <s v="ORD2782"/>
    <d v="2024-04-06T00:00:00"/>
    <x v="1"/>
    <s v="PROD118"/>
    <n v="3131.73"/>
    <n v="81.33"/>
    <n v="3"/>
    <s v="Consumer"/>
    <s v="Engineer Real-Time Architectures"/>
    <x v="2"/>
    <s v="James and Sons"/>
    <n v="127.23"/>
    <n v="2.5969671714994588E-2"/>
  </r>
  <r>
    <s v="ORD2783"/>
    <d v="2020-05-03T00:00:00"/>
    <x v="1"/>
    <s v="PROD132"/>
    <n v="2875.73"/>
    <n v="287.58"/>
    <n v="7"/>
    <s v="Small Business"/>
    <s v="Synergize End-To-End Roi"/>
    <x v="1"/>
    <s v="Evans-Smith"/>
    <n v="159.85"/>
    <n v="0.10000243416454256"/>
  </r>
  <r>
    <s v="ORD2784"/>
    <d v="2022-07-30T00:00:00"/>
    <x v="2"/>
    <s v="PROD146"/>
    <n v="4347.08"/>
    <n v="538.94000000000005"/>
    <n v="14"/>
    <s v="Consumer"/>
    <s v="Engage Rich Web-Readiness"/>
    <x v="0"/>
    <s v="Turner Inc"/>
    <n v="81.069999999999993"/>
    <n v="0.12397747453463016"/>
  </r>
  <r>
    <s v="ORD2785"/>
    <d v="2022-02-21T00:00:00"/>
    <x v="1"/>
    <s v="PROD116"/>
    <n v="4503.2700000000004"/>
    <n v="528.16999999999996"/>
    <n v="13"/>
    <s v="Small Business"/>
    <s v="Synergize Cross-Platform Vortals"/>
    <x v="2"/>
    <s v="Edwards Group"/>
    <n v="87.18"/>
    <n v="0.11728588336919614"/>
  </r>
  <r>
    <s v="ORD2786"/>
    <d v="2023-01-19T00:00:00"/>
    <x v="1"/>
    <s v="PROD138"/>
    <n v="1022.64"/>
    <n v="949.41"/>
    <n v="7"/>
    <s v="Consumer"/>
    <s v="Deliver Viral Eyeballs"/>
    <x v="0"/>
    <s v="Estes, Chan and Thomas"/>
    <n v="16.89"/>
    <n v="0.92839122271767194"/>
  </r>
  <r>
    <s v="ORD2787"/>
    <d v="2022-04-16T00:00:00"/>
    <x v="1"/>
    <s v="PROD176"/>
    <n v="1183.22"/>
    <n v="534.4"/>
    <n v="16"/>
    <s v="Small Business"/>
    <s v="Facilitate Integrated E-Business"/>
    <x v="0"/>
    <s v="Chang-Vargas"/>
    <n v="130.33000000000001"/>
    <n v="0.4516488903162556"/>
  </r>
  <r>
    <s v="ORD2788"/>
    <d v="2024-09-21T00:00:00"/>
    <x v="2"/>
    <s v="PROD138"/>
    <n v="3653.58"/>
    <n v="332.95"/>
    <n v="19"/>
    <s v="Consumer"/>
    <s v="Deliver Viral Eyeballs"/>
    <x v="0"/>
    <s v="Estes, Chan and Thomas"/>
    <n v="16.89"/>
    <n v="9.1129795980928296E-2"/>
  </r>
  <r>
    <s v="ORD2789"/>
    <d v="2022-02-14T00:00:00"/>
    <x v="1"/>
    <s v="PROD128"/>
    <n v="3156.9"/>
    <n v="903.63"/>
    <n v="20"/>
    <s v="Corporate"/>
    <s v="Brand Distributed Info-Mediaries"/>
    <x v="2"/>
    <s v="Garcia Ltd"/>
    <n v="114.48"/>
    <n v="0.28623966549463081"/>
  </r>
  <r>
    <s v="ORD2790"/>
    <d v="2020-11-19T00:00:00"/>
    <x v="1"/>
    <s v="PROD100"/>
    <n v="4217.9399999999996"/>
    <n v="569.85"/>
    <n v="1"/>
    <s v="Small Business"/>
    <s v="Synthesize Scalable Portals"/>
    <x v="2"/>
    <s v="Singh, Villa and Flynn"/>
    <n v="298.57"/>
    <n v="0.13510149504260374"/>
  </r>
  <r>
    <s v="ORD2791"/>
    <d v="2020-07-10T00:00:00"/>
    <x v="2"/>
    <s v="PROD170"/>
    <n v="4941.1899999999996"/>
    <n v="253"/>
    <n v="15"/>
    <s v="Corporate"/>
    <s v="Deliver Sticky Networks"/>
    <x v="2"/>
    <s v="Massey LLC"/>
    <n v="272.33"/>
    <n v="5.1202240755769367E-2"/>
  </r>
  <r>
    <s v="ORD2792"/>
    <d v="2023-12-10T00:00:00"/>
    <x v="0"/>
    <s v="PROD168"/>
    <n v="4020.81"/>
    <n v="758.92"/>
    <n v="5"/>
    <s v="Small Business"/>
    <s v="Facilitate End-To-End Experiences"/>
    <x v="0"/>
    <s v="Pierce-Goodwin"/>
    <n v="260.52999999999997"/>
    <n v="0.18874803833058512"/>
  </r>
  <r>
    <s v="ORD2793"/>
    <d v="2020-12-05T00:00:00"/>
    <x v="2"/>
    <s v="PROD106"/>
    <n v="4450.84"/>
    <n v="588.79"/>
    <n v="17"/>
    <s v="Corporate"/>
    <s v="Synergize End-To-End Supply-Chains"/>
    <x v="0"/>
    <s v="Higgins-Espinoza"/>
    <n v="279.8"/>
    <n v="0.13228738844802329"/>
  </r>
  <r>
    <s v="ORD2794"/>
    <d v="2023-07-28T00:00:00"/>
    <x v="3"/>
    <s v="PROD105"/>
    <n v="4925.8599999999997"/>
    <n v="14.41"/>
    <n v="19"/>
    <s v="Corporate"/>
    <s v="Transform Holistic Functionalities"/>
    <x v="0"/>
    <s v="Ruiz Ltd"/>
    <n v="179.27"/>
    <n v="2.9253774975334258E-3"/>
  </r>
  <r>
    <s v="ORD2795"/>
    <d v="2023-12-13T00:00:00"/>
    <x v="2"/>
    <s v="PROD125"/>
    <n v="2448.12"/>
    <n v="258.3"/>
    <n v="18"/>
    <s v="Consumer"/>
    <s v="Leverage Cutting-Edge Vortals"/>
    <x v="1"/>
    <s v="Robinson, Garrett and Chavez"/>
    <n v="117.3"/>
    <n v="0.10550953384638009"/>
  </r>
  <r>
    <s v="ORD2796"/>
    <d v="2023-03-29T00:00:00"/>
    <x v="1"/>
    <s v="PROD139"/>
    <n v="707.44"/>
    <n v="99.74"/>
    <n v="16"/>
    <s v="Consumer"/>
    <s v="Re-Contextualize Viral Mindshare"/>
    <x v="1"/>
    <s v="Carter-Lane"/>
    <n v="142.25"/>
    <n v="0.14098722153115456"/>
  </r>
  <r>
    <s v="ORD2797"/>
    <d v="2024-06-10T00:00:00"/>
    <x v="0"/>
    <s v="PROD168"/>
    <n v="1066.25"/>
    <n v="56.6"/>
    <n v="15"/>
    <s v="Small Business"/>
    <s v="Facilitate End-To-End Experiences"/>
    <x v="0"/>
    <s v="Pierce-Goodwin"/>
    <n v="260.52999999999997"/>
    <n v="5.3083235638921457E-2"/>
  </r>
  <r>
    <s v="ORD2798"/>
    <d v="2020-03-04T00:00:00"/>
    <x v="1"/>
    <s v="PROD178"/>
    <n v="4180.13"/>
    <n v="418.87"/>
    <n v="4"/>
    <s v="Small Business"/>
    <s v="Monetize Value-Added Niches"/>
    <x v="0"/>
    <s v="Foster, Velazquez and Lee"/>
    <n v="171.51"/>
    <n v="0.10020501754730116"/>
  </r>
  <r>
    <s v="ORD2799"/>
    <d v="2020-03-03T00:00:00"/>
    <x v="0"/>
    <s v="PROD129"/>
    <n v="2964.22"/>
    <n v="975.28"/>
    <n v="4"/>
    <s v="Consumer"/>
    <s v="Scale Vertical Networks"/>
    <x v="2"/>
    <s v="Lam, Wood and Jacobs"/>
    <n v="133.24"/>
    <n v="0.32901741436195697"/>
  </r>
  <r>
    <s v="ORD2800"/>
    <d v="2021-10-01T00:00:00"/>
    <x v="1"/>
    <s v="PROD184"/>
    <n v="1600.71"/>
    <n v="274.22000000000003"/>
    <n v="6"/>
    <s v="Small Business"/>
    <s v="Embrace 24/365 Functionalities"/>
    <x v="0"/>
    <s v="Smith LLC"/>
    <n v="204.04"/>
    <n v="0.17131148053051459"/>
  </r>
  <r>
    <s v="ORD2801"/>
    <d v="2022-09-21T00:00:00"/>
    <x v="2"/>
    <s v="PROD173"/>
    <n v="3299.85"/>
    <n v="467.91"/>
    <n v="12"/>
    <s v="Small Business"/>
    <s v="Whiteboard Sticky Content"/>
    <x v="2"/>
    <s v="Wolfe Group"/>
    <n v="82.16"/>
    <n v="0.14179735442520117"/>
  </r>
  <r>
    <s v="ORD2802"/>
    <d v="2024-06-26T00:00:00"/>
    <x v="1"/>
    <s v="PROD168"/>
    <n v="659.18"/>
    <n v="639.9"/>
    <n v="6"/>
    <s v="Small Business"/>
    <s v="Facilitate End-To-End Experiences"/>
    <x v="0"/>
    <s v="Pierce-Goodwin"/>
    <n v="260.52999999999997"/>
    <n v="0.97075153979186268"/>
  </r>
  <r>
    <s v="ORD2803"/>
    <d v="2020-01-11T00:00:00"/>
    <x v="2"/>
    <s v="PROD198"/>
    <n v="2923.28"/>
    <n v="558.9"/>
    <n v="18"/>
    <s v="Consumer"/>
    <s v="Visualize Dynamic E-Commerce"/>
    <x v="2"/>
    <s v="Jones LLC"/>
    <n v="92.61"/>
    <n v="0.19118934895049394"/>
  </r>
  <r>
    <s v="ORD2804"/>
    <d v="2023-07-22T00:00:00"/>
    <x v="3"/>
    <s v="PROD156"/>
    <n v="3206.96"/>
    <n v="992.19"/>
    <n v="1"/>
    <s v="Corporate"/>
    <s v="Empower Killer Info-Mediaries"/>
    <x v="2"/>
    <s v="Jones Ltd"/>
    <n v="213.24"/>
    <n v="0.30938645945069476"/>
  </r>
  <r>
    <s v="ORD2805"/>
    <d v="2020-02-11T00:00:00"/>
    <x v="0"/>
    <s v="PROD139"/>
    <n v="3638.53"/>
    <n v="401.01"/>
    <n v="7"/>
    <s v="Consumer"/>
    <s v="Re-Contextualize Viral Mindshare"/>
    <x v="1"/>
    <s v="Carter-Lane"/>
    <n v="142.25"/>
    <n v="0.11021209114669935"/>
  </r>
  <r>
    <s v="ORD2806"/>
    <d v="2020-07-05T00:00:00"/>
    <x v="1"/>
    <s v="PROD156"/>
    <n v="3071.59"/>
    <n v="763.83"/>
    <n v="2"/>
    <s v="Consumer"/>
    <s v="Empower Killer Info-Mediaries"/>
    <x v="2"/>
    <s v="Jones Ltd"/>
    <n v="213.24"/>
    <n v="0.248675767273627"/>
  </r>
  <r>
    <s v="ORD2807"/>
    <d v="2023-12-08T00:00:00"/>
    <x v="0"/>
    <s v="PROD104"/>
    <n v="4794.3500000000004"/>
    <n v="836.18"/>
    <n v="1"/>
    <s v="Corporate"/>
    <s v="Implement Clicks-And-Mortar Partnerships"/>
    <x v="1"/>
    <s v="Smith Inc"/>
    <n v="195.53"/>
    <n v="0.17440946113654612"/>
  </r>
  <r>
    <s v="ORD2808"/>
    <d v="2022-10-06T00:00:00"/>
    <x v="2"/>
    <s v="PROD150"/>
    <n v="537.89"/>
    <n v="663.63"/>
    <n v="6"/>
    <s v="Consumer"/>
    <s v="Evolve Intuitive Bandwidth"/>
    <x v="0"/>
    <s v="Rogers Group"/>
    <n v="131.63"/>
    <n v="1.2337652679915969"/>
  </r>
  <r>
    <s v="ORD2809"/>
    <d v="2020-01-17T00:00:00"/>
    <x v="3"/>
    <s v="PROD137"/>
    <n v="4469.6499999999996"/>
    <n v="244.77"/>
    <n v="20"/>
    <s v="Consumer"/>
    <s v="Optimize Collaborative Initiatives"/>
    <x v="1"/>
    <s v="Adkins Ltd"/>
    <n v="34.46"/>
    <n v="5.4762677167115997E-2"/>
  </r>
  <r>
    <s v="ORD2810"/>
    <d v="2024-04-11T00:00:00"/>
    <x v="1"/>
    <s v="PROD106"/>
    <n v="4060.98"/>
    <n v="825.62"/>
    <n v="14"/>
    <s v="Consumer"/>
    <s v="Synergize End-To-End Supply-Chains"/>
    <x v="0"/>
    <s v="Higgins-Espinoza"/>
    <n v="279.8"/>
    <n v="0.20330560603598147"/>
  </r>
  <r>
    <s v="ORD2811"/>
    <d v="2020-05-06T00:00:00"/>
    <x v="2"/>
    <s v="PROD162"/>
    <n v="3945.56"/>
    <n v="320.31"/>
    <n v="3"/>
    <s v="Corporate"/>
    <s v="Reinvent Visionary Niches"/>
    <x v="2"/>
    <s v="Huber-Richmond"/>
    <n v="219.81"/>
    <n v="8.1182392360019867E-2"/>
  </r>
  <r>
    <s v="ORD2812"/>
    <d v="2024-09-14T00:00:00"/>
    <x v="0"/>
    <s v="PROD116"/>
    <n v="3189.26"/>
    <n v="431.62"/>
    <n v="2"/>
    <s v="Small Business"/>
    <s v="Synergize Cross-Platform Vortals"/>
    <x v="2"/>
    <s v="Edwards Group"/>
    <n v="87.18"/>
    <n v="0.1353354696700802"/>
  </r>
  <r>
    <s v="ORD2813"/>
    <d v="2021-03-13T00:00:00"/>
    <x v="1"/>
    <s v="PROD184"/>
    <n v="1600.06"/>
    <n v="797.56"/>
    <n v="7"/>
    <s v="Corporate"/>
    <s v="Embrace 24/365 Functionalities"/>
    <x v="0"/>
    <s v="Smith LLC"/>
    <n v="204.04"/>
    <n v="0.49845630788845419"/>
  </r>
  <r>
    <s v="ORD2814"/>
    <d v="2022-11-30T00:00:00"/>
    <x v="2"/>
    <s v="PROD148"/>
    <n v="4611.1099999999997"/>
    <n v="628.63"/>
    <n v="20"/>
    <s v="Consumer"/>
    <s v="Empower Seamless Roi"/>
    <x v="0"/>
    <s v="Proctor Group"/>
    <n v="266.64999999999998"/>
    <n v="0.13632943044082663"/>
  </r>
  <r>
    <s v="ORD2815"/>
    <d v="2022-11-20T00:00:00"/>
    <x v="1"/>
    <s v="PROD159"/>
    <n v="889.89"/>
    <n v="757.14"/>
    <n v="12"/>
    <s v="Small Business"/>
    <s v="Mesh Intuitive Supply-Chains"/>
    <x v="1"/>
    <s v="Soto, Barnett and Heath"/>
    <n v="281"/>
    <n v="0.85082425917810067"/>
  </r>
  <r>
    <s v="ORD2816"/>
    <d v="2020-05-30T00:00:00"/>
    <x v="2"/>
    <s v="PROD160"/>
    <n v="2980.32"/>
    <n v="72.37"/>
    <n v="4"/>
    <s v="Corporate"/>
    <s v="Deliver Extensible Partnerships"/>
    <x v="2"/>
    <s v="Martin, Paul and Salazar"/>
    <n v="43.76"/>
    <n v="2.4282627368873141E-2"/>
  </r>
  <r>
    <s v="ORD2817"/>
    <d v="2020-12-29T00:00:00"/>
    <x v="1"/>
    <s v="PROD192"/>
    <n v="3183.97"/>
    <n v="150.97"/>
    <n v="17"/>
    <s v="Consumer"/>
    <s v="Drive Compelling E-Services"/>
    <x v="0"/>
    <s v="Morris-Villanueva"/>
    <n v="27.22"/>
    <n v="4.7415647760500258E-2"/>
  </r>
  <r>
    <s v="ORD2818"/>
    <d v="2022-09-13T00:00:00"/>
    <x v="3"/>
    <s v="PROD177"/>
    <n v="2809.11"/>
    <n v="764.44"/>
    <n v="20"/>
    <s v="Corporate"/>
    <s v="Deploy Granular Channels"/>
    <x v="2"/>
    <s v="Barnes Ltd"/>
    <n v="288.99"/>
    <n v="0.2721288949168954"/>
  </r>
  <r>
    <s v="ORD2819"/>
    <d v="2022-12-14T00:00:00"/>
    <x v="0"/>
    <s v="PROD133"/>
    <n v="2428.87"/>
    <n v="224.14"/>
    <n v="15"/>
    <s v="Small Business"/>
    <s v="Re-Intermediate Seamless Applications"/>
    <x v="0"/>
    <s v="Welch-Reed"/>
    <n v="45.82"/>
    <n v="9.2281595968495639E-2"/>
  </r>
  <r>
    <s v="ORD2820"/>
    <d v="2023-06-25T00:00:00"/>
    <x v="3"/>
    <s v="PROD116"/>
    <n v="3140.74"/>
    <n v="704.35"/>
    <n v="11"/>
    <s v="Small Business"/>
    <s v="Synergize Cross-Platform Vortals"/>
    <x v="2"/>
    <s v="Edwards Group"/>
    <n v="87.18"/>
    <n v="0.22426243496755544"/>
  </r>
  <r>
    <s v="ORD2821"/>
    <d v="2021-11-05T00:00:00"/>
    <x v="2"/>
    <s v="PROD111"/>
    <n v="1410.99"/>
    <n v="37.18"/>
    <n v="15"/>
    <s v="Consumer"/>
    <s v="Harness Revolutionary Interfaces"/>
    <x v="2"/>
    <s v="Davis, Short and Nguyen"/>
    <n v="26.49"/>
    <n v="2.6350293056648169E-2"/>
  </r>
  <r>
    <s v="ORD2822"/>
    <d v="2022-11-11T00:00:00"/>
    <x v="1"/>
    <s v="PROD188"/>
    <n v="1078.1199999999999"/>
    <n v="583.45000000000005"/>
    <n v="8"/>
    <s v="Small Business"/>
    <s v="Transition Mission-Critical Interfaces"/>
    <x v="0"/>
    <s v="Weaver Ltd"/>
    <n v="34.64"/>
    <n v="0.54117352428301124"/>
  </r>
  <r>
    <s v="ORD2823"/>
    <d v="2021-03-05T00:00:00"/>
    <x v="2"/>
    <s v="PROD187"/>
    <n v="3064.26"/>
    <n v="955.36"/>
    <n v="11"/>
    <s v="Consumer"/>
    <s v="Whiteboard Compelling Experiences"/>
    <x v="2"/>
    <s v="Carrillo, Carr and Ball"/>
    <n v="206.54"/>
    <n v="0.31177511046712747"/>
  </r>
  <r>
    <s v="ORD2824"/>
    <d v="2021-12-08T00:00:00"/>
    <x v="0"/>
    <s v="PROD113"/>
    <n v="4747.28"/>
    <n v="649.02"/>
    <n v="18"/>
    <s v="Corporate"/>
    <s v="Envisioneer B2B Users"/>
    <x v="0"/>
    <s v="Rogers Group"/>
    <n v="239.16"/>
    <n v="0.13671407627104362"/>
  </r>
  <r>
    <s v="ORD2825"/>
    <d v="2024-05-16T00:00:00"/>
    <x v="2"/>
    <s v="PROD137"/>
    <n v="2467.5100000000002"/>
    <n v="297.25"/>
    <n v="3"/>
    <s v="Consumer"/>
    <s v="Optimize Collaborative Initiatives"/>
    <x v="1"/>
    <s v="Adkins Ltd"/>
    <n v="34.46"/>
    <n v="0.12046557055493189"/>
  </r>
  <r>
    <s v="ORD2826"/>
    <d v="2022-05-15T00:00:00"/>
    <x v="2"/>
    <s v="PROD175"/>
    <n v="4675.03"/>
    <n v="25.8"/>
    <n v="18"/>
    <s v="Small Business"/>
    <s v="Empower Bleeding-Edge Action-Items"/>
    <x v="2"/>
    <s v="Gray, Hayes and Banks"/>
    <n v="204.26"/>
    <n v="5.5186811635433361E-3"/>
  </r>
  <r>
    <s v="ORD2827"/>
    <d v="2024-06-29T00:00:00"/>
    <x v="0"/>
    <s v="PROD133"/>
    <n v="2462.86"/>
    <n v="863.51"/>
    <n v="16"/>
    <s v="Small Business"/>
    <s v="Re-Intermediate Seamless Applications"/>
    <x v="0"/>
    <s v="Welch-Reed"/>
    <n v="45.82"/>
    <n v="0.35061270230544972"/>
  </r>
  <r>
    <s v="ORD2828"/>
    <d v="2021-05-23T00:00:00"/>
    <x v="2"/>
    <s v="PROD148"/>
    <n v="3768.17"/>
    <n v="459.07"/>
    <n v="15"/>
    <s v="Small Business"/>
    <s v="Empower Seamless Roi"/>
    <x v="0"/>
    <s v="Proctor Group"/>
    <n v="266.64999999999998"/>
    <n v="0.12182836761611074"/>
  </r>
  <r>
    <s v="ORD2829"/>
    <d v="2023-07-16T00:00:00"/>
    <x v="3"/>
    <s v="PROD106"/>
    <n v="2093.63"/>
    <n v="524.30999999999995"/>
    <n v="8"/>
    <s v="Corporate"/>
    <s v="Synergize End-To-End Supply-Chains"/>
    <x v="0"/>
    <s v="Higgins-Espinoza"/>
    <n v="279.8"/>
    <n v="0.25043106948219118"/>
  </r>
  <r>
    <s v="ORD2830"/>
    <d v="2024-10-14T00:00:00"/>
    <x v="2"/>
    <s v="PROD198"/>
    <n v="4408.28"/>
    <n v="862.94"/>
    <n v="1"/>
    <s v="Small Business"/>
    <s v="Visualize Dynamic E-Commerce"/>
    <x v="2"/>
    <s v="Jones LLC"/>
    <n v="92.61"/>
    <n v="0.19575435317175863"/>
  </r>
  <r>
    <s v="ORD2831"/>
    <d v="2024-08-09T00:00:00"/>
    <x v="3"/>
    <s v="PROD193"/>
    <n v="328.21"/>
    <n v="837.79"/>
    <n v="12"/>
    <s v="Corporate"/>
    <s v="Innovate Sticky Web Services"/>
    <x v="1"/>
    <s v="Friedman, Sanders and Adams"/>
    <n v="125.85"/>
    <n v="2.5526035160415588"/>
  </r>
  <r>
    <s v="ORD2832"/>
    <d v="2022-09-16T00:00:00"/>
    <x v="1"/>
    <s v="PROD116"/>
    <n v="1797.91"/>
    <n v="339.13"/>
    <n v="19"/>
    <s v="Corporate"/>
    <s v="Synergize Cross-Platform Vortals"/>
    <x v="2"/>
    <s v="Edwards Group"/>
    <n v="87.18"/>
    <n v="0.18862456963919216"/>
  </r>
  <r>
    <s v="ORD2833"/>
    <d v="2021-06-14T00:00:00"/>
    <x v="0"/>
    <s v="PROD115"/>
    <n v="4100.82"/>
    <n v="961.25"/>
    <n v="9"/>
    <s v="Consumer"/>
    <s v="Morph World-Class Synergies"/>
    <x v="1"/>
    <s v="Bryant Ltd"/>
    <n v="20.69"/>
    <n v="0.23440433864446625"/>
  </r>
  <r>
    <s v="ORD2834"/>
    <d v="2021-08-26T00:00:00"/>
    <x v="1"/>
    <s v="PROD121"/>
    <n v="4589.1099999999997"/>
    <n v="71.73"/>
    <n v="2"/>
    <s v="Consumer"/>
    <s v="Whiteboard B2B Content"/>
    <x v="0"/>
    <s v="Romero PLC"/>
    <n v="93.81"/>
    <n v="1.5630481727393768E-2"/>
  </r>
  <r>
    <s v="ORD2835"/>
    <d v="2022-04-25T00:00:00"/>
    <x v="0"/>
    <s v="PROD130"/>
    <n v="4655.37"/>
    <n v="895.65"/>
    <n v="15"/>
    <s v="Small Business"/>
    <s v="Synthesize Wireless Initiatives"/>
    <x v="1"/>
    <s v="Mosley Ltd"/>
    <n v="162.69999999999999"/>
    <n v="0.19239072297153609"/>
  </r>
  <r>
    <s v="ORD2836"/>
    <d v="2021-03-08T00:00:00"/>
    <x v="2"/>
    <s v="PROD189"/>
    <n v="1739.85"/>
    <n v="713.77"/>
    <n v="9"/>
    <s v="Consumer"/>
    <s v="E-Enable Next-Generation Experiences"/>
    <x v="2"/>
    <s v="Sanchez-Quinn"/>
    <n v="266.93"/>
    <n v="0.4102480098859097"/>
  </r>
  <r>
    <s v="ORD2837"/>
    <d v="2022-03-29T00:00:00"/>
    <x v="2"/>
    <s v="PROD152"/>
    <n v="582.08000000000004"/>
    <n v="547.04999999999995"/>
    <n v="6"/>
    <s v="Corporate"/>
    <s v="Reinvent Frictionless Roi"/>
    <x v="2"/>
    <s v="Bridges, Castillo and Rodriguez"/>
    <n v="253.89"/>
    <n v="0.93981926882902678"/>
  </r>
  <r>
    <s v="ORD2838"/>
    <d v="2024-02-23T00:00:00"/>
    <x v="0"/>
    <s v="PROD127"/>
    <n v="2699.34"/>
    <n v="156.54"/>
    <n v="2"/>
    <s v="Small Business"/>
    <s v="Deliver Viral Channels"/>
    <x v="2"/>
    <s v="Parker LLC"/>
    <n v="45.41"/>
    <n v="5.7991953588654999E-2"/>
  </r>
  <r>
    <s v="ORD2839"/>
    <d v="2020-11-10T00:00:00"/>
    <x v="3"/>
    <s v="PROD143"/>
    <n v="2573.94"/>
    <n v="34.32"/>
    <n v="14"/>
    <s v="Consumer"/>
    <s v="E-Enable Synergistic Vortals"/>
    <x v="1"/>
    <s v="Guzman Group"/>
    <n v="278.43"/>
    <n v="1.3333644140889065E-2"/>
  </r>
  <r>
    <s v="ORD2840"/>
    <d v="2022-04-29T00:00:00"/>
    <x v="2"/>
    <s v="PROD143"/>
    <n v="1712.23"/>
    <n v="880.42"/>
    <n v="2"/>
    <s v="Corporate"/>
    <s v="E-Enable Synergistic Vortals"/>
    <x v="1"/>
    <s v="Guzman Group"/>
    <n v="278.43"/>
    <n v="0.51419493876406785"/>
  </r>
  <r>
    <s v="ORD2841"/>
    <d v="2020-12-16T00:00:00"/>
    <x v="0"/>
    <s v="PROD107"/>
    <n v="146.31"/>
    <n v="124.36"/>
    <n v="15"/>
    <s v="Corporate"/>
    <s v="Utilize Back-End Models"/>
    <x v="2"/>
    <s v="Lewis-Holden"/>
    <n v="241.53"/>
    <n v="0.8499760781901442"/>
  </r>
  <r>
    <s v="ORD2842"/>
    <d v="2024-02-26T00:00:00"/>
    <x v="2"/>
    <s v="PROD137"/>
    <n v="1672.93"/>
    <n v="222.09"/>
    <n v="8"/>
    <s v="Corporate"/>
    <s v="Optimize Collaborative Initiatives"/>
    <x v="1"/>
    <s v="Adkins Ltd"/>
    <n v="34.46"/>
    <n v="0.1327551063104852"/>
  </r>
  <r>
    <s v="ORD2843"/>
    <d v="2023-05-25T00:00:00"/>
    <x v="0"/>
    <s v="PROD117"/>
    <n v="1475.54"/>
    <n v="69.09"/>
    <n v="12"/>
    <s v="Corporate"/>
    <s v="Revolutionize Efficient Niches"/>
    <x v="1"/>
    <s v="Lopez-Torres"/>
    <n v="23.02"/>
    <n v="4.6823535790286946E-2"/>
  </r>
  <r>
    <s v="ORD2844"/>
    <d v="2020-05-28T00:00:00"/>
    <x v="1"/>
    <s v="PROD101"/>
    <n v="3469.63"/>
    <n v="870.71"/>
    <n v="9"/>
    <s v="Consumer"/>
    <s v="Harness Proactive Eyeballs"/>
    <x v="1"/>
    <s v="Moran and Sons"/>
    <n v="58.01"/>
    <n v="0.25095183059865173"/>
  </r>
  <r>
    <s v="ORD2845"/>
    <d v="2021-03-21T00:00:00"/>
    <x v="0"/>
    <s v="PROD184"/>
    <n v="3198.73"/>
    <n v="709.45"/>
    <n v="8"/>
    <s v="Consumer"/>
    <s v="Embrace 24/365 Functionalities"/>
    <x v="0"/>
    <s v="Smith LLC"/>
    <n v="204.04"/>
    <n v="0.2217911483620062"/>
  </r>
  <r>
    <s v="ORD2846"/>
    <d v="2022-08-20T00:00:00"/>
    <x v="3"/>
    <s v="PROD112"/>
    <n v="2764.3"/>
    <n v="633.59"/>
    <n v="20"/>
    <s v="Small Business"/>
    <s v="Seize Clicks-And-Mortar Platforms"/>
    <x v="0"/>
    <s v="Owens, Campos and Wood"/>
    <n v="271.16000000000003"/>
    <n v="0.22920450023514091"/>
  </r>
  <r>
    <s v="ORD2847"/>
    <d v="2022-06-13T00:00:00"/>
    <x v="1"/>
    <s v="PROD153"/>
    <n v="421.17"/>
    <n v="724.74"/>
    <n v="20"/>
    <s v="Small Business"/>
    <s v="Seize Plug-And-Play Web-Readiness"/>
    <x v="1"/>
    <s v="Joseph, Mayer and Carr"/>
    <n v="102.73"/>
    <n v="1.7207778331790013"/>
  </r>
  <r>
    <s v="ORD2848"/>
    <d v="2022-03-26T00:00:00"/>
    <x v="0"/>
    <s v="PROD196"/>
    <n v="3903.64"/>
    <n v="898.03"/>
    <n v="11"/>
    <s v="Small Business"/>
    <s v="Strategize E-Business Content"/>
    <x v="1"/>
    <s v="Patterson LLC"/>
    <n v="294.02"/>
    <n v="0.23004938980028897"/>
  </r>
  <r>
    <s v="ORD2849"/>
    <d v="2020-03-04T00:00:00"/>
    <x v="3"/>
    <s v="PROD117"/>
    <n v="2878.83"/>
    <n v="475.88"/>
    <n v="12"/>
    <s v="Corporate"/>
    <s v="Revolutionize Efficient Niches"/>
    <x v="1"/>
    <s v="Lopez-Torres"/>
    <n v="23.02"/>
    <n v="0.16530326556274597"/>
  </r>
  <r>
    <s v="ORD2850"/>
    <d v="2021-12-14T00:00:00"/>
    <x v="2"/>
    <s v="PROD199"/>
    <n v="3470.41"/>
    <n v="856.48"/>
    <n v="13"/>
    <s v="Corporate"/>
    <s v="Scale Cross-Platform Web Services"/>
    <x v="2"/>
    <s v="Morrow, Brock and Lewis"/>
    <n v="115.21"/>
    <n v="0.24679504727107174"/>
  </r>
  <r>
    <s v="ORD2851"/>
    <d v="2023-06-03T00:00:00"/>
    <x v="3"/>
    <s v="PROD172"/>
    <n v="4019.74"/>
    <n v="115.52"/>
    <n v="17"/>
    <s v="Corporate"/>
    <s v="E-Enable Virtual Methodologies"/>
    <x v="0"/>
    <s v="Floyd-Love"/>
    <n v="283.64999999999998"/>
    <n v="2.8738177096031086E-2"/>
  </r>
  <r>
    <s v="ORD2852"/>
    <d v="2021-11-25T00:00:00"/>
    <x v="2"/>
    <s v="PROD182"/>
    <n v="3228.31"/>
    <n v="675.83"/>
    <n v="20"/>
    <s v="Small Business"/>
    <s v="Strategize Best-Of-Breed Web-Readiness"/>
    <x v="0"/>
    <s v="Morris, King and Ayers"/>
    <n v="220.16"/>
    <n v="0.20934482747939326"/>
  </r>
  <r>
    <s v="ORD2853"/>
    <d v="2020-04-24T00:00:00"/>
    <x v="0"/>
    <s v="PROD105"/>
    <n v="3503.73"/>
    <n v="408.46"/>
    <n v="17"/>
    <s v="Small Business"/>
    <s v="Transform Holistic Functionalities"/>
    <x v="0"/>
    <s v="Ruiz Ltd"/>
    <n v="179.27"/>
    <n v="0.11657861764462443"/>
  </r>
  <r>
    <s v="ORD2854"/>
    <d v="2020-09-22T00:00:00"/>
    <x v="2"/>
    <s v="PROD164"/>
    <n v="4294.7700000000004"/>
    <n v="327.16000000000003"/>
    <n v="13"/>
    <s v="Consumer"/>
    <s v="Transition Compelling Web-Readiness"/>
    <x v="2"/>
    <s v="Wood-Beck"/>
    <n v="88.34"/>
    <n v="7.6176372657907179E-2"/>
  </r>
  <r>
    <s v="ORD2855"/>
    <d v="2020-12-07T00:00:00"/>
    <x v="2"/>
    <s v="PROD112"/>
    <n v="2671.69"/>
    <n v="897.08"/>
    <n v="11"/>
    <s v="Corporate"/>
    <s v="Seize Clicks-And-Mortar Platforms"/>
    <x v="0"/>
    <s v="Owens, Campos and Wood"/>
    <n v="271.16000000000003"/>
    <n v="0.33577248857464753"/>
  </r>
  <r>
    <s v="ORD2856"/>
    <d v="2020-10-29T00:00:00"/>
    <x v="2"/>
    <s v="PROD103"/>
    <n v="3299.82"/>
    <n v="668.39"/>
    <n v="6"/>
    <s v="Consumer"/>
    <s v="Monetize Collaborative Metrics"/>
    <x v="1"/>
    <s v="Ramirez-Brown"/>
    <n v="286.04000000000002"/>
    <n v="0.20255347261365769"/>
  </r>
  <r>
    <s v="ORD2857"/>
    <d v="2024-10-05T00:00:00"/>
    <x v="1"/>
    <s v="PROD176"/>
    <n v="4038.5"/>
    <n v="957.43"/>
    <n v="20"/>
    <s v="Consumer"/>
    <s v="Facilitate Integrated E-Business"/>
    <x v="0"/>
    <s v="Chang-Vargas"/>
    <n v="130.33000000000001"/>
    <n v="0.23707564689860094"/>
  </r>
  <r>
    <s v="ORD2858"/>
    <d v="2020-03-29T00:00:00"/>
    <x v="2"/>
    <s v="PROD192"/>
    <n v="1947.91"/>
    <n v="989.42"/>
    <n v="3"/>
    <s v="Small Business"/>
    <s v="Drive Compelling E-Services"/>
    <x v="0"/>
    <s v="Morris-Villanueva"/>
    <n v="27.22"/>
    <n v="0.50793927850876064"/>
  </r>
  <r>
    <s v="ORD2859"/>
    <d v="2020-07-26T00:00:00"/>
    <x v="1"/>
    <s v="PROD138"/>
    <n v="1316.69"/>
    <n v="252.66"/>
    <n v="13"/>
    <s v="Small Business"/>
    <s v="Deliver Viral Eyeballs"/>
    <x v="0"/>
    <s v="Estes, Chan and Thomas"/>
    <n v="16.89"/>
    <n v="0.19189027029900735"/>
  </r>
  <r>
    <s v="ORD2860"/>
    <d v="2020-01-14T00:00:00"/>
    <x v="0"/>
    <s v="PROD156"/>
    <n v="1936.05"/>
    <n v="386.8"/>
    <n v="8"/>
    <s v="Corporate"/>
    <s v="Empower Killer Info-Mediaries"/>
    <x v="2"/>
    <s v="Jones Ltd"/>
    <n v="213.24"/>
    <n v="0.19978822860979831"/>
  </r>
  <r>
    <s v="ORD2861"/>
    <d v="2022-04-19T00:00:00"/>
    <x v="2"/>
    <s v="PROD150"/>
    <n v="1119.47"/>
    <n v="289.98"/>
    <n v="9"/>
    <s v="Corporate"/>
    <s v="Evolve Intuitive Bandwidth"/>
    <x v="0"/>
    <s v="Rogers Group"/>
    <n v="131.63"/>
    <n v="0.25903329254021995"/>
  </r>
  <r>
    <s v="ORD2862"/>
    <d v="2021-07-14T00:00:00"/>
    <x v="0"/>
    <s v="PROD147"/>
    <n v="1278.28"/>
    <n v="117.47"/>
    <n v="2"/>
    <s v="Consumer"/>
    <s v="Brand B2C Info-Mediaries"/>
    <x v="0"/>
    <s v="Preston Ltd"/>
    <n v="13.46"/>
    <n v="9.1896923991613727E-2"/>
  </r>
  <r>
    <s v="ORD2863"/>
    <d v="2021-04-14T00:00:00"/>
    <x v="3"/>
    <s v="PROD128"/>
    <n v="1814.21"/>
    <n v="832.58"/>
    <n v="11"/>
    <s v="Corporate"/>
    <s v="Brand Distributed Info-Mediaries"/>
    <x v="2"/>
    <s v="Garcia Ltd"/>
    <n v="114.48"/>
    <n v="0.45892151404743664"/>
  </r>
  <r>
    <s v="ORD2864"/>
    <d v="2020-10-04T00:00:00"/>
    <x v="2"/>
    <s v="PROD169"/>
    <n v="79.83"/>
    <n v="112.67"/>
    <n v="11"/>
    <s v="Corporate"/>
    <s v="Unleash End-To-End Web Services"/>
    <x v="0"/>
    <s v="Jones Ltd"/>
    <n v="188.02"/>
    <n v="1.411374170111487"/>
  </r>
  <r>
    <s v="ORD2865"/>
    <d v="2021-10-31T00:00:00"/>
    <x v="3"/>
    <s v="PROD163"/>
    <n v="3093.7"/>
    <n v="379.87"/>
    <n v="18"/>
    <s v="Consumer"/>
    <s v="Grow Back-End Supply-Chains"/>
    <x v="1"/>
    <s v="Green LLC"/>
    <n v="140.08000000000001"/>
    <n v="0.12278824708278115"/>
  </r>
  <r>
    <s v="ORD2866"/>
    <d v="2022-10-22T00:00:00"/>
    <x v="0"/>
    <s v="PROD106"/>
    <n v="4593.71"/>
    <n v="58.14"/>
    <n v="8"/>
    <s v="Consumer"/>
    <s v="Synergize End-To-End Supply-Chains"/>
    <x v="0"/>
    <s v="Higgins-Espinoza"/>
    <n v="279.8"/>
    <n v="1.265643673631988E-2"/>
  </r>
  <r>
    <s v="ORD2867"/>
    <d v="2023-01-29T00:00:00"/>
    <x v="0"/>
    <s v="PROD164"/>
    <n v="1427.37"/>
    <n v="415.94"/>
    <n v="3"/>
    <s v="Small Business"/>
    <s v="Transition Compelling Web-Readiness"/>
    <x v="2"/>
    <s v="Wood-Beck"/>
    <n v="88.34"/>
    <n v="0.29140306998185478"/>
  </r>
  <r>
    <s v="ORD2868"/>
    <d v="2024-04-27T00:00:00"/>
    <x v="3"/>
    <s v="PROD116"/>
    <n v="2050.88"/>
    <n v="255.39"/>
    <n v="16"/>
    <s v="Small Business"/>
    <s v="Synergize Cross-Platform Vortals"/>
    <x v="2"/>
    <s v="Edwards Group"/>
    <n v="87.18"/>
    <n v="0.12452703229833045"/>
  </r>
  <r>
    <s v="ORD2869"/>
    <d v="2023-06-14T00:00:00"/>
    <x v="2"/>
    <s v="PROD189"/>
    <n v="3327.05"/>
    <n v="279.52999999999997"/>
    <n v="9"/>
    <s v="Consumer"/>
    <s v="E-Enable Next-Generation Experiences"/>
    <x v="2"/>
    <s v="Sanchez-Quinn"/>
    <n v="266.93"/>
    <n v="8.4017372747629271E-2"/>
  </r>
  <r>
    <s v="ORD2870"/>
    <d v="2024-01-18T00:00:00"/>
    <x v="2"/>
    <s v="PROD118"/>
    <n v="971.74"/>
    <n v="829.75"/>
    <n v="19"/>
    <s v="Small Business"/>
    <s v="Engineer Real-Time Architectures"/>
    <x v="2"/>
    <s v="James and Sons"/>
    <n v="127.23"/>
    <n v="0.85388066766830628"/>
  </r>
  <r>
    <s v="ORD2871"/>
    <d v="2020-12-05T00:00:00"/>
    <x v="0"/>
    <s v="PROD148"/>
    <n v="2802.73"/>
    <n v="566.23"/>
    <n v="3"/>
    <s v="Small Business"/>
    <s v="Empower Seamless Roi"/>
    <x v="0"/>
    <s v="Proctor Group"/>
    <n v="266.64999999999998"/>
    <n v="0.20202802267788905"/>
  </r>
  <r>
    <s v="ORD2872"/>
    <d v="2024-05-23T00:00:00"/>
    <x v="1"/>
    <s v="PROD185"/>
    <n v="2274.8000000000002"/>
    <n v="449.25"/>
    <n v="2"/>
    <s v="Consumer"/>
    <s v="Generate End-To-End Functionalities"/>
    <x v="1"/>
    <s v="Sanchez-Stewart"/>
    <n v="196.15"/>
    <n v="0.19748988922103042"/>
  </r>
  <r>
    <s v="ORD2873"/>
    <d v="2023-03-26T00:00:00"/>
    <x v="3"/>
    <s v="PROD111"/>
    <n v="4220.12"/>
    <n v="573.80999999999995"/>
    <n v="20"/>
    <s v="Small Business"/>
    <s v="Harness Revolutionary Interfaces"/>
    <x v="2"/>
    <s v="Davis, Short and Nguyen"/>
    <n v="26.49"/>
    <n v="0.13597006720188051"/>
  </r>
  <r>
    <s v="ORD2874"/>
    <d v="2022-08-28T00:00:00"/>
    <x v="2"/>
    <s v="PROD198"/>
    <n v="2628.44"/>
    <n v="745.34"/>
    <n v="2"/>
    <s v="Corporate"/>
    <s v="Visualize Dynamic E-Commerce"/>
    <x v="2"/>
    <s v="Jones LLC"/>
    <n v="92.61"/>
    <n v="0.28356743924152727"/>
  </r>
  <r>
    <s v="ORD2875"/>
    <d v="2022-04-02T00:00:00"/>
    <x v="2"/>
    <s v="PROD167"/>
    <n v="4519.01"/>
    <n v="369.67"/>
    <n v="3"/>
    <s v="Consumer"/>
    <s v="Grow Synergistic Infrastructures"/>
    <x v="2"/>
    <s v="Adams-Carter"/>
    <n v="113.17"/>
    <n v="8.1803315327914738E-2"/>
  </r>
  <r>
    <s v="ORD2876"/>
    <d v="2020-03-30T00:00:00"/>
    <x v="3"/>
    <s v="PROD184"/>
    <n v="3115.74"/>
    <n v="136.55000000000001"/>
    <n v="10"/>
    <s v="Consumer"/>
    <s v="Embrace 24/365 Functionalities"/>
    <x v="0"/>
    <s v="Smith LLC"/>
    <n v="204.04"/>
    <n v="4.382586480258302E-2"/>
  </r>
  <r>
    <s v="ORD2877"/>
    <d v="2021-11-03T00:00:00"/>
    <x v="0"/>
    <s v="PROD128"/>
    <n v="2110.23"/>
    <n v="820.61"/>
    <n v="3"/>
    <s v="Small Business"/>
    <s v="Brand Distributed Info-Mediaries"/>
    <x v="2"/>
    <s v="Garcia Ltd"/>
    <n v="114.48"/>
    <n v="0.38887230301910219"/>
  </r>
  <r>
    <s v="ORD2878"/>
    <d v="2021-07-06T00:00:00"/>
    <x v="1"/>
    <s v="PROD192"/>
    <n v="4766.03"/>
    <n v="137.43"/>
    <n v="18"/>
    <s v="Consumer"/>
    <s v="Drive Compelling E-Services"/>
    <x v="0"/>
    <s v="Morris-Villanueva"/>
    <n v="27.22"/>
    <n v="2.8835319962316648E-2"/>
  </r>
  <r>
    <s v="ORD2879"/>
    <d v="2022-12-01T00:00:00"/>
    <x v="2"/>
    <s v="PROD149"/>
    <n v="2943.31"/>
    <n v="110.8"/>
    <n v="20"/>
    <s v="Corporate"/>
    <s v="Envisioneer B2C Web-Readiness"/>
    <x v="1"/>
    <s v="Kemp Group"/>
    <n v="97.23"/>
    <n v="3.7644692540031457E-2"/>
  </r>
  <r>
    <s v="ORD2880"/>
    <d v="2023-10-31T00:00:00"/>
    <x v="2"/>
    <s v="PROD198"/>
    <n v="518.73"/>
    <n v="293.81"/>
    <n v="11"/>
    <s v="Consumer"/>
    <s v="Visualize Dynamic E-Commerce"/>
    <x v="2"/>
    <s v="Jones LLC"/>
    <n v="92.61"/>
    <n v="0.5664025600987026"/>
  </r>
  <r>
    <s v="ORD2881"/>
    <d v="2021-11-27T00:00:00"/>
    <x v="0"/>
    <s v="PROD104"/>
    <n v="594.9"/>
    <n v="552.28"/>
    <n v="17"/>
    <s v="Consumer"/>
    <s v="Implement Clicks-And-Mortar Partnerships"/>
    <x v="1"/>
    <s v="Smith Inc"/>
    <n v="195.53"/>
    <n v="0.92835770717767696"/>
  </r>
  <r>
    <s v="ORD2882"/>
    <d v="2020-12-11T00:00:00"/>
    <x v="1"/>
    <s v="PROD195"/>
    <n v="359.26"/>
    <n v="237.21"/>
    <n v="12"/>
    <s v="Consumer"/>
    <s v="Reinvent Out-Of-The-Box Models"/>
    <x v="0"/>
    <s v="Wagner-Curtis"/>
    <n v="172.34"/>
    <n v="0.66027389634248179"/>
  </r>
  <r>
    <s v="ORD2883"/>
    <d v="2022-08-22T00:00:00"/>
    <x v="2"/>
    <s v="PROD159"/>
    <n v="1259.74"/>
    <n v="798.14"/>
    <n v="20"/>
    <s v="Corporate"/>
    <s v="Mesh Intuitive Supply-Chains"/>
    <x v="1"/>
    <s v="Soto, Barnett and Heath"/>
    <n v="281"/>
    <n v="0.63357518218044995"/>
  </r>
  <r>
    <s v="ORD2884"/>
    <d v="2020-01-07T00:00:00"/>
    <x v="0"/>
    <s v="PROD166"/>
    <n v="293.23"/>
    <n v="420.97"/>
    <n v="1"/>
    <s v="Consumer"/>
    <s v="Monetize Wireless Functionalities"/>
    <x v="2"/>
    <s v="Robinson, Rodriguez and Hernandez"/>
    <n v="162.22"/>
    <n v="1.4356307335538656"/>
  </r>
  <r>
    <s v="ORD2885"/>
    <d v="2021-05-13T00:00:00"/>
    <x v="1"/>
    <s v="PROD160"/>
    <n v="2489.85"/>
    <n v="63.5"/>
    <n v="13"/>
    <s v="Consumer"/>
    <s v="Deliver Extensible Partnerships"/>
    <x v="2"/>
    <s v="Martin, Paul and Salazar"/>
    <n v="43.76"/>
    <n v="2.5503544390224311E-2"/>
  </r>
  <r>
    <s v="ORD2886"/>
    <d v="2024-09-17T00:00:00"/>
    <x v="2"/>
    <s v="PROD114"/>
    <n v="4596.5200000000004"/>
    <n v="514.59"/>
    <n v="9"/>
    <s v="Small Business"/>
    <s v="Orchestrate User-Centric Platforms"/>
    <x v="2"/>
    <s v="Wells Ltd"/>
    <n v="201.87"/>
    <n v="0.11195208549076258"/>
  </r>
  <r>
    <s v="ORD2887"/>
    <d v="2021-04-06T00:00:00"/>
    <x v="1"/>
    <s v="PROD114"/>
    <n v="3035.86"/>
    <n v="328.21"/>
    <n v="14"/>
    <s v="Corporate"/>
    <s v="Orchestrate User-Centric Platforms"/>
    <x v="2"/>
    <s v="Wells Ltd"/>
    <n v="201.87"/>
    <n v="0.10811104596391137"/>
  </r>
  <r>
    <s v="ORD2888"/>
    <d v="2024-08-12T00:00:00"/>
    <x v="3"/>
    <s v="PROD100"/>
    <n v="1006.26"/>
    <n v="143.88999999999999"/>
    <n v="6"/>
    <s v="Corporate"/>
    <s v="Synthesize Scalable Portals"/>
    <x v="2"/>
    <s v="Singh, Villa and Flynn"/>
    <n v="298.57"/>
    <n v="0.14299485222507105"/>
  </r>
  <r>
    <s v="ORD2889"/>
    <d v="2022-09-19T00:00:00"/>
    <x v="3"/>
    <s v="PROD189"/>
    <n v="1405.9"/>
    <n v="466.05"/>
    <n v="5"/>
    <s v="Small Business"/>
    <s v="E-Enable Next-Generation Experiences"/>
    <x v="2"/>
    <s v="Sanchez-Quinn"/>
    <n v="266.93"/>
    <n v="0.33149583896436446"/>
  </r>
  <r>
    <s v="ORD2890"/>
    <d v="2020-07-03T00:00:00"/>
    <x v="3"/>
    <s v="PROD103"/>
    <n v="4048.81"/>
    <n v="295.77999999999997"/>
    <n v="12"/>
    <s v="Consumer"/>
    <s v="Monetize Collaborative Metrics"/>
    <x v="1"/>
    <s v="Ramirez-Brown"/>
    <n v="286.04000000000002"/>
    <n v="7.3053563886672862E-2"/>
  </r>
  <r>
    <s v="ORD2891"/>
    <d v="2024-06-10T00:00:00"/>
    <x v="1"/>
    <s v="PROD135"/>
    <n v="506.21"/>
    <n v="551.74"/>
    <n v="13"/>
    <s v="Small Business"/>
    <s v="Optimize 24/365 E-Services"/>
    <x v="0"/>
    <s v="Chase Ltd"/>
    <n v="100.35"/>
    <n v="1.0899429090693586"/>
  </r>
  <r>
    <s v="ORD2892"/>
    <d v="2022-12-30T00:00:00"/>
    <x v="0"/>
    <s v="PROD175"/>
    <n v="3513.19"/>
    <n v="707.62"/>
    <n v="16"/>
    <s v="Small Business"/>
    <s v="Empower Bleeding-Edge Action-Items"/>
    <x v="2"/>
    <s v="Gray, Hayes and Banks"/>
    <n v="204.26"/>
    <n v="0.2014180844190038"/>
  </r>
  <r>
    <s v="ORD2893"/>
    <d v="2023-12-22T00:00:00"/>
    <x v="3"/>
    <s v="PROD180"/>
    <n v="795.49"/>
    <n v="128.37"/>
    <n v="8"/>
    <s v="Corporate"/>
    <s v="Iterate Extensible Roi"/>
    <x v="0"/>
    <s v="Hill-Kelly"/>
    <n v="180"/>
    <n v="0.16137223598033917"/>
  </r>
  <r>
    <s v="ORD2894"/>
    <d v="2020-02-07T00:00:00"/>
    <x v="2"/>
    <s v="PROD182"/>
    <n v="2817.44"/>
    <n v="784.14"/>
    <n v="16"/>
    <s v="Small Business"/>
    <s v="Strategize Best-Of-Breed Web-Readiness"/>
    <x v="0"/>
    <s v="Morris, King and Ayers"/>
    <n v="220.16"/>
    <n v="0.2783164858878982"/>
  </r>
  <r>
    <s v="ORD2895"/>
    <d v="2024-07-12T00:00:00"/>
    <x v="0"/>
    <s v="PROD167"/>
    <n v="1884.47"/>
    <n v="733.32"/>
    <n v="17"/>
    <s v="Consumer"/>
    <s v="Grow Synergistic Infrastructures"/>
    <x v="2"/>
    <s v="Adams-Carter"/>
    <n v="113.17"/>
    <n v="0.38913859069128193"/>
  </r>
  <r>
    <s v="ORD2896"/>
    <d v="2021-09-15T00:00:00"/>
    <x v="0"/>
    <s v="PROD132"/>
    <n v="557.22"/>
    <n v="455.32"/>
    <n v="4"/>
    <s v="Consumer"/>
    <s v="Synergize End-To-End Roi"/>
    <x v="1"/>
    <s v="Evans-Smith"/>
    <n v="159.85"/>
    <n v="0.81712788485696852"/>
  </r>
  <r>
    <s v="ORD2897"/>
    <d v="2020-05-09T00:00:00"/>
    <x v="2"/>
    <s v="PROD107"/>
    <n v="2354.5100000000002"/>
    <n v="617.19000000000005"/>
    <n v="14"/>
    <s v="Corporate"/>
    <s v="Utilize Back-End Models"/>
    <x v="2"/>
    <s v="Lewis-Holden"/>
    <n v="241.53"/>
    <n v="0.26213097417297015"/>
  </r>
  <r>
    <s v="ORD2898"/>
    <d v="2024-08-25T00:00:00"/>
    <x v="3"/>
    <s v="PROD129"/>
    <n v="3156.57"/>
    <n v="948.82"/>
    <n v="15"/>
    <s v="Small Business"/>
    <s v="Scale Vertical Networks"/>
    <x v="2"/>
    <s v="Lam, Wood and Jacobs"/>
    <n v="133.24"/>
    <n v="0.30058576239399093"/>
  </r>
  <r>
    <s v="ORD2899"/>
    <d v="2021-09-23T00:00:00"/>
    <x v="2"/>
    <s v="PROD160"/>
    <n v="4175.41"/>
    <n v="586.09"/>
    <n v="18"/>
    <s v="Small Business"/>
    <s v="Deliver Extensible Partnerships"/>
    <x v="2"/>
    <s v="Martin, Paul and Salazar"/>
    <n v="43.76"/>
    <n v="0.1403670537743599"/>
  </r>
  <r>
    <s v="ORD2900"/>
    <d v="2024-05-18T00:00:00"/>
    <x v="3"/>
    <s v="PROD151"/>
    <n v="3801.53"/>
    <n v="352.53"/>
    <n v="9"/>
    <s v="Corporate"/>
    <s v="Re-Contextualize Viral Markets"/>
    <x v="1"/>
    <s v="Meadows-Barber"/>
    <n v="177.52"/>
    <n v="9.2733715109442769E-2"/>
  </r>
  <r>
    <s v="ORD2901"/>
    <d v="2022-08-20T00:00:00"/>
    <x v="0"/>
    <s v="PROD189"/>
    <n v="2028.64"/>
    <n v="857.37"/>
    <n v="17"/>
    <s v="Consumer"/>
    <s v="E-Enable Next-Generation Experiences"/>
    <x v="2"/>
    <s v="Sanchez-Quinn"/>
    <n v="266.93"/>
    <n v="0.42263289691616057"/>
  </r>
  <r>
    <s v="ORD2902"/>
    <d v="2023-05-19T00:00:00"/>
    <x v="2"/>
    <s v="PROD108"/>
    <n v="1683.28"/>
    <n v="910.6"/>
    <n v="12"/>
    <s v="Consumer"/>
    <s v="Synergize World-Class Networks"/>
    <x v="1"/>
    <s v="Gomez-Lawrence"/>
    <n v="72.37"/>
    <n v="0.54096763461812658"/>
  </r>
  <r>
    <s v="ORD2903"/>
    <d v="2021-03-20T00:00:00"/>
    <x v="2"/>
    <s v="PROD105"/>
    <n v="1139.94"/>
    <n v="923.62"/>
    <n v="13"/>
    <s v="Consumer"/>
    <s v="Transform Holistic Functionalities"/>
    <x v="0"/>
    <s v="Ruiz Ltd"/>
    <n v="179.27"/>
    <n v="0.81023562643647906"/>
  </r>
  <r>
    <s v="ORD2904"/>
    <d v="2023-03-07T00:00:00"/>
    <x v="2"/>
    <s v="PROD150"/>
    <n v="3129.77"/>
    <n v="926.89"/>
    <n v="10"/>
    <s v="Small Business"/>
    <s v="Evolve Intuitive Bandwidth"/>
    <x v="0"/>
    <s v="Rogers Group"/>
    <n v="131.63"/>
    <n v="0.29615275243867761"/>
  </r>
  <r>
    <s v="ORD2905"/>
    <d v="2022-04-28T00:00:00"/>
    <x v="3"/>
    <s v="PROD168"/>
    <n v="2029.65"/>
    <n v="995.66"/>
    <n v="11"/>
    <s v="Corporate"/>
    <s v="Facilitate End-To-End Experiences"/>
    <x v="0"/>
    <s v="Pierce-Goodwin"/>
    <n v="260.52999999999997"/>
    <n v="0.49055748528071341"/>
  </r>
  <r>
    <s v="ORD2906"/>
    <d v="2021-11-03T00:00:00"/>
    <x v="1"/>
    <s v="PROD109"/>
    <n v="342.54"/>
    <n v="939.88"/>
    <n v="19"/>
    <s v="Consumer"/>
    <s v="Orchestrate E-Business Niches"/>
    <x v="2"/>
    <s v="Johnson LLC"/>
    <n v="198.99"/>
    <n v="2.7438547322940385"/>
  </r>
  <r>
    <s v="ORD2907"/>
    <d v="2021-06-08T00:00:00"/>
    <x v="0"/>
    <s v="PROD184"/>
    <n v="2915.52"/>
    <n v="751.86"/>
    <n v="2"/>
    <s v="Corporate"/>
    <s v="Embrace 24/365 Functionalities"/>
    <x v="0"/>
    <s v="Smith LLC"/>
    <n v="204.04"/>
    <n v="0.25788195587751073"/>
  </r>
  <r>
    <s v="ORD2908"/>
    <d v="2021-10-20T00:00:00"/>
    <x v="3"/>
    <s v="PROD146"/>
    <n v="1694.71"/>
    <n v="88.01"/>
    <n v="16"/>
    <s v="Corporate"/>
    <s v="Engage Rich Web-Readiness"/>
    <x v="0"/>
    <s v="Turner Inc"/>
    <n v="81.069999999999993"/>
    <n v="5.1932188988086457E-2"/>
  </r>
  <r>
    <s v="ORD2909"/>
    <d v="2022-08-04T00:00:00"/>
    <x v="3"/>
    <s v="PROD135"/>
    <n v="890.05"/>
    <n v="692.94"/>
    <n v="3"/>
    <s v="Consumer"/>
    <s v="Optimize 24/365 E-Services"/>
    <x v="0"/>
    <s v="Chase Ltd"/>
    <n v="100.35"/>
    <n v="0.77854053143081858"/>
  </r>
  <r>
    <s v="ORD2910"/>
    <d v="2020-09-03T00:00:00"/>
    <x v="2"/>
    <s v="PROD177"/>
    <n v="4680.13"/>
    <n v="546.1"/>
    <n v="7"/>
    <s v="Consumer"/>
    <s v="Deploy Granular Channels"/>
    <x v="2"/>
    <s v="Barnes Ltd"/>
    <n v="288.99"/>
    <n v="0.11668479294378575"/>
  </r>
  <r>
    <s v="ORD2911"/>
    <d v="2021-08-01T00:00:00"/>
    <x v="2"/>
    <s v="PROD112"/>
    <n v="1593.5"/>
    <n v="821.32"/>
    <n v="20"/>
    <s v="Small Business"/>
    <s v="Seize Clicks-And-Mortar Platforms"/>
    <x v="0"/>
    <s v="Owens, Campos and Wood"/>
    <n v="271.16000000000003"/>
    <n v="0.51541888923752743"/>
  </r>
  <r>
    <s v="ORD2912"/>
    <d v="2021-11-17T00:00:00"/>
    <x v="3"/>
    <s v="PROD138"/>
    <n v="4203.2"/>
    <n v="378.33"/>
    <n v="6"/>
    <s v="Corporate"/>
    <s v="Deliver Viral Eyeballs"/>
    <x v="0"/>
    <s v="Estes, Chan and Thomas"/>
    <n v="16.89"/>
    <n v="9.0009992386752946E-2"/>
  </r>
  <r>
    <s v="ORD2913"/>
    <d v="2020-09-14T00:00:00"/>
    <x v="2"/>
    <s v="PROD129"/>
    <n v="975.86"/>
    <n v="397.62"/>
    <n v="19"/>
    <s v="Corporate"/>
    <s v="Scale Vertical Networks"/>
    <x v="2"/>
    <s v="Lam, Wood and Jacobs"/>
    <n v="133.24"/>
    <n v="0.40745598753919621"/>
  </r>
  <r>
    <s v="ORD2914"/>
    <d v="2024-01-28T00:00:00"/>
    <x v="0"/>
    <s v="PROD106"/>
    <n v="2662.08"/>
    <n v="22.23"/>
    <n v="9"/>
    <s v="Corporate"/>
    <s v="Synergize End-To-End Supply-Chains"/>
    <x v="0"/>
    <s v="Higgins-Espinoza"/>
    <n v="279.8"/>
    <n v="8.3506130544536601E-3"/>
  </r>
  <r>
    <s v="ORD2915"/>
    <d v="2022-10-20T00:00:00"/>
    <x v="1"/>
    <s v="PROD158"/>
    <n v="3694.76"/>
    <n v="675.04"/>
    <n v="20"/>
    <s v="Corporate"/>
    <s v="Brand Web-Enabled Solutions"/>
    <x v="1"/>
    <s v="Russell Group"/>
    <n v="51.67"/>
    <n v="0.18270198876246357"/>
  </r>
  <r>
    <s v="ORD2916"/>
    <d v="2020-07-26T00:00:00"/>
    <x v="2"/>
    <s v="PROD112"/>
    <n v="2772.79"/>
    <n v="164.93"/>
    <n v="7"/>
    <s v="Corporate"/>
    <s v="Seize Clicks-And-Mortar Platforms"/>
    <x v="0"/>
    <s v="Owens, Campos and Wood"/>
    <n v="271.16000000000003"/>
    <n v="5.9481605170243694E-2"/>
  </r>
  <r>
    <s v="ORD2917"/>
    <d v="2023-04-03T00:00:00"/>
    <x v="1"/>
    <s v="PROD157"/>
    <n v="2786.62"/>
    <n v="323.52"/>
    <n v="2"/>
    <s v="Corporate"/>
    <s v="Implement Rich Platforms"/>
    <x v="1"/>
    <s v="Parker, Anderson and Salazar"/>
    <n v="53.59"/>
    <n v="0.11609763799872247"/>
  </r>
  <r>
    <s v="ORD2918"/>
    <d v="2023-01-31T00:00:00"/>
    <x v="0"/>
    <s v="PROD144"/>
    <n v="523.36"/>
    <n v="193.82"/>
    <n v="13"/>
    <s v="Small Business"/>
    <s v="Expedite Synergistic Web-Readiness"/>
    <x v="1"/>
    <s v="Dunlap, Carpenter and Monroe"/>
    <n v="289.66000000000003"/>
    <n v="0.37033781718129011"/>
  </r>
  <r>
    <s v="ORD2919"/>
    <d v="2020-03-11T00:00:00"/>
    <x v="1"/>
    <s v="PROD127"/>
    <n v="3926.31"/>
    <n v="455.81"/>
    <n v="15"/>
    <s v="Consumer"/>
    <s v="Deliver Viral Channels"/>
    <x v="2"/>
    <s v="Parker LLC"/>
    <n v="45.41"/>
    <n v="0.11609118994679483"/>
  </r>
  <r>
    <s v="ORD2920"/>
    <d v="2021-08-03T00:00:00"/>
    <x v="0"/>
    <s v="PROD165"/>
    <n v="2196.1"/>
    <n v="747.3"/>
    <n v="15"/>
    <s v="Small Business"/>
    <s v="Benchmark Cross-Platform Markets"/>
    <x v="2"/>
    <s v="Murphy, Mathews and Wilson"/>
    <n v="78.88"/>
    <n v="0.34028505077182275"/>
  </r>
  <r>
    <s v="ORD2921"/>
    <d v="2021-12-06T00:00:00"/>
    <x v="1"/>
    <s v="PROD127"/>
    <n v="2121.96"/>
    <n v="297.11"/>
    <n v="18"/>
    <s v="Corporate"/>
    <s v="Deliver Viral Channels"/>
    <x v="2"/>
    <s v="Parker LLC"/>
    <n v="45.41"/>
    <n v="0.14001677694207243"/>
  </r>
  <r>
    <s v="ORD2922"/>
    <d v="2020-03-29T00:00:00"/>
    <x v="1"/>
    <s v="PROD124"/>
    <n v="2540.15"/>
    <n v="478.16"/>
    <n v="3"/>
    <s v="Corporate"/>
    <s v="Incubate Real-Time E-Tailers"/>
    <x v="1"/>
    <s v="Johnson-Riley"/>
    <n v="86.67"/>
    <n v="0.18824085191819381"/>
  </r>
  <r>
    <s v="ORD2923"/>
    <d v="2020-06-21T00:00:00"/>
    <x v="2"/>
    <s v="PROD101"/>
    <n v="4157.67"/>
    <n v="147.09"/>
    <n v="6"/>
    <s v="Consumer"/>
    <s v="Harness Proactive Eyeballs"/>
    <x v="1"/>
    <s v="Moran and Sons"/>
    <n v="58.01"/>
    <n v="3.5377988152017835E-2"/>
  </r>
  <r>
    <s v="ORD2924"/>
    <d v="2021-09-06T00:00:00"/>
    <x v="3"/>
    <s v="PROD104"/>
    <n v="1398.25"/>
    <n v="337.64"/>
    <n v="20"/>
    <s v="Corporate"/>
    <s v="Implement Clicks-And-Mortar Partnerships"/>
    <x v="1"/>
    <s v="Smith Inc"/>
    <n v="195.53"/>
    <n v="0.24147327015912748"/>
  </r>
  <r>
    <s v="ORD2925"/>
    <d v="2022-04-16T00:00:00"/>
    <x v="1"/>
    <s v="PROD174"/>
    <n v="3158.07"/>
    <n v="441.92"/>
    <n v="8"/>
    <s v="Small Business"/>
    <s v="Disintermediate Scalable Bandwidth"/>
    <x v="1"/>
    <s v="Levy PLC"/>
    <n v="19.86"/>
    <n v="0.13993356702036369"/>
  </r>
  <r>
    <s v="ORD2926"/>
    <d v="2024-07-30T00:00:00"/>
    <x v="3"/>
    <s v="PROD142"/>
    <n v="596.84"/>
    <n v="891.82"/>
    <n v="3"/>
    <s v="Small Business"/>
    <s v="Target Bricks-And-Clicks Channels"/>
    <x v="1"/>
    <s v="Dunn, Christensen and Meyer"/>
    <n v="126.86"/>
    <n v="1.494236311239193"/>
  </r>
  <r>
    <s v="ORD2927"/>
    <d v="2020-06-01T00:00:00"/>
    <x v="3"/>
    <s v="PROD140"/>
    <n v="2628.97"/>
    <n v="313.51"/>
    <n v="18"/>
    <s v="Small Business"/>
    <s v="Extend Bricks-And-Clicks Architectures"/>
    <x v="2"/>
    <s v="Fuller PLC"/>
    <n v="202.99"/>
    <n v="0.11925202645903149"/>
  </r>
  <r>
    <s v="ORD2928"/>
    <d v="2024-08-16T00:00:00"/>
    <x v="0"/>
    <s v="PROD197"/>
    <n v="3511.28"/>
    <n v="756.63"/>
    <n v="13"/>
    <s v="Corporate"/>
    <s v="Leverage Rich Portals"/>
    <x v="0"/>
    <s v="Wilson PLC"/>
    <n v="46.35"/>
    <n v="0.2154855209496252"/>
  </r>
  <r>
    <s v="ORD2929"/>
    <d v="2023-01-11T00:00:00"/>
    <x v="1"/>
    <s v="PROD197"/>
    <n v="1771.8"/>
    <n v="707.01"/>
    <n v="17"/>
    <s v="Small Business"/>
    <s v="Leverage Rich Portals"/>
    <x v="0"/>
    <s v="Wilson PLC"/>
    <n v="46.35"/>
    <n v="0.39903487978327123"/>
  </r>
  <r>
    <s v="ORD2930"/>
    <d v="2024-07-12T00:00:00"/>
    <x v="2"/>
    <s v="PROD172"/>
    <n v="3566.35"/>
    <n v="695.21"/>
    <n v="18"/>
    <s v="Small Business"/>
    <s v="E-Enable Virtual Methodologies"/>
    <x v="0"/>
    <s v="Floyd-Love"/>
    <n v="283.64999999999998"/>
    <n v="0.1949359989905646"/>
  </r>
  <r>
    <s v="ORD2931"/>
    <d v="2024-06-27T00:00:00"/>
    <x v="2"/>
    <s v="PROD121"/>
    <n v="3678.21"/>
    <n v="332.25"/>
    <n v="19"/>
    <s v="Corporate"/>
    <s v="Whiteboard B2B Content"/>
    <x v="0"/>
    <s v="Romero PLC"/>
    <n v="93.81"/>
    <n v="9.0329263418891248E-2"/>
  </r>
  <r>
    <s v="ORD2932"/>
    <d v="2020-08-14T00:00:00"/>
    <x v="0"/>
    <s v="PROD122"/>
    <n v="4290.25"/>
    <n v="36.200000000000003"/>
    <n v="9"/>
    <s v="Corporate"/>
    <s v="Empower Dot-Com Deliverables"/>
    <x v="1"/>
    <s v="Davis LLC"/>
    <n v="250.66"/>
    <n v="8.4377367286288685E-3"/>
  </r>
  <r>
    <s v="ORD2933"/>
    <d v="2022-09-06T00:00:00"/>
    <x v="3"/>
    <s v="PROD171"/>
    <n v="2254.09"/>
    <n v="677.01"/>
    <n v="1"/>
    <s v="Corporate"/>
    <s v="Scale 24/365 Networks"/>
    <x v="2"/>
    <s v="Kim-Hamilton"/>
    <n v="157.55000000000001"/>
    <n v="0.3003473685611488"/>
  </r>
  <r>
    <s v="ORD2934"/>
    <d v="2023-11-22T00:00:00"/>
    <x v="1"/>
    <s v="PROD134"/>
    <n v="3606.48"/>
    <n v="689.27"/>
    <n v="7"/>
    <s v="Corporate"/>
    <s v="Utilize Ubiquitous Synergies"/>
    <x v="1"/>
    <s v="Kramer, Huang and Shaw"/>
    <n v="295.89999999999998"/>
    <n v="0.19111987311727779"/>
  </r>
  <r>
    <s v="ORD2935"/>
    <d v="2023-06-11T00:00:00"/>
    <x v="3"/>
    <s v="PROD140"/>
    <n v="3247.43"/>
    <n v="707.72"/>
    <n v="12"/>
    <s v="Corporate"/>
    <s v="Extend Bricks-And-Clicks Architectures"/>
    <x v="2"/>
    <s v="Fuller PLC"/>
    <n v="202.99"/>
    <n v="0.21793233418426264"/>
  </r>
  <r>
    <s v="ORD2936"/>
    <d v="2023-09-19T00:00:00"/>
    <x v="3"/>
    <s v="PROD100"/>
    <n v="3952.28"/>
    <n v="414.14"/>
    <n v="9"/>
    <s v="Corporate"/>
    <s v="Synthesize Scalable Portals"/>
    <x v="2"/>
    <s v="Singh, Villa and Flynn"/>
    <n v="298.57"/>
    <n v="0.10478508607689738"/>
  </r>
  <r>
    <s v="ORD2937"/>
    <d v="2022-06-12T00:00:00"/>
    <x v="3"/>
    <s v="PROD153"/>
    <n v="2024.81"/>
    <n v="860.63"/>
    <n v="16"/>
    <s v="Small Business"/>
    <s v="Seize Plug-And-Play Web-Readiness"/>
    <x v="1"/>
    <s v="Joseph, Mayer and Carr"/>
    <n v="102.73"/>
    <n v="0.42504234965255999"/>
  </r>
  <r>
    <s v="ORD2938"/>
    <d v="2021-01-05T00:00:00"/>
    <x v="3"/>
    <s v="PROD157"/>
    <n v="314.83999999999997"/>
    <n v="350.2"/>
    <n v="5"/>
    <s v="Small Business"/>
    <s v="Implement Rich Platforms"/>
    <x v="1"/>
    <s v="Parker, Anderson and Salazar"/>
    <n v="53.59"/>
    <n v="1.1123110151187905"/>
  </r>
  <r>
    <s v="ORD2939"/>
    <d v="2021-04-08T00:00:00"/>
    <x v="3"/>
    <s v="PROD192"/>
    <n v="2940.85"/>
    <n v="870.77"/>
    <n v="1"/>
    <s v="Corporate"/>
    <s v="Drive Compelling E-Services"/>
    <x v="0"/>
    <s v="Morris-Villanueva"/>
    <n v="27.22"/>
    <n v="0.29609466650798238"/>
  </r>
  <r>
    <s v="ORD2940"/>
    <d v="2021-07-24T00:00:00"/>
    <x v="0"/>
    <s v="PROD146"/>
    <n v="4213.17"/>
    <n v="386"/>
    <n v="3"/>
    <s v="Corporate"/>
    <s v="Engage Rich Web-Readiness"/>
    <x v="0"/>
    <s v="Turner Inc"/>
    <n v="81.069999999999993"/>
    <n v="9.1617475677459009E-2"/>
  </r>
  <r>
    <s v="ORD2941"/>
    <d v="2021-02-16T00:00:00"/>
    <x v="0"/>
    <s v="PROD124"/>
    <n v="1889.48"/>
    <n v="196.01"/>
    <n v="9"/>
    <s v="Consumer"/>
    <s v="Incubate Real-Time E-Tailers"/>
    <x v="1"/>
    <s v="Johnson-Riley"/>
    <n v="86.67"/>
    <n v="0.10373753625336071"/>
  </r>
  <r>
    <s v="ORD2942"/>
    <d v="2022-11-28T00:00:00"/>
    <x v="1"/>
    <s v="PROD105"/>
    <n v="2647.84"/>
    <n v="332.03"/>
    <n v="9"/>
    <s v="Corporate"/>
    <s v="Transform Holistic Functionalities"/>
    <x v="0"/>
    <s v="Ruiz Ltd"/>
    <n v="179.27"/>
    <n v="0.12539654964046165"/>
  </r>
  <r>
    <s v="ORD2943"/>
    <d v="2022-08-10T00:00:00"/>
    <x v="0"/>
    <s v="PROD197"/>
    <n v="2795.2"/>
    <n v="909.87"/>
    <n v="14"/>
    <s v="Consumer"/>
    <s v="Leverage Rich Portals"/>
    <x v="0"/>
    <s v="Wilson PLC"/>
    <n v="46.35"/>
    <n v="0.32551159129937035"/>
  </r>
  <r>
    <s v="ORD2944"/>
    <d v="2021-08-20T00:00:00"/>
    <x v="0"/>
    <s v="PROD171"/>
    <n v="4422.2700000000004"/>
    <n v="675.29"/>
    <n v="7"/>
    <s v="Corporate"/>
    <s v="Scale 24/365 Networks"/>
    <x v="2"/>
    <s v="Kim-Hamilton"/>
    <n v="157.55000000000001"/>
    <n v="0.15270211904745751"/>
  </r>
  <r>
    <s v="ORD2945"/>
    <d v="2020-09-01T00:00:00"/>
    <x v="3"/>
    <s v="PROD197"/>
    <n v="4777.13"/>
    <n v="172.08"/>
    <n v="12"/>
    <s v="Consumer"/>
    <s v="Leverage Rich Portals"/>
    <x v="0"/>
    <s v="Wilson PLC"/>
    <n v="46.35"/>
    <n v="3.6021628048640085E-2"/>
  </r>
  <r>
    <s v="ORD2946"/>
    <d v="2023-03-08T00:00:00"/>
    <x v="1"/>
    <s v="PROD177"/>
    <n v="3562.4"/>
    <n v="955.45"/>
    <n v="2"/>
    <s v="Consumer"/>
    <s v="Deploy Granular Channels"/>
    <x v="2"/>
    <s v="Barnes Ltd"/>
    <n v="288.99"/>
    <n v="0.26820401976195823"/>
  </r>
  <r>
    <s v="ORD2947"/>
    <d v="2022-11-23T00:00:00"/>
    <x v="1"/>
    <s v="PROD118"/>
    <n v="154.06"/>
    <n v="280.10000000000002"/>
    <n v="8"/>
    <s v="Consumer"/>
    <s v="Engineer Real-Time Architectures"/>
    <x v="2"/>
    <s v="James and Sons"/>
    <n v="127.23"/>
    <n v="1.8181228092950799"/>
  </r>
  <r>
    <s v="ORD2948"/>
    <d v="2020-04-22T00:00:00"/>
    <x v="3"/>
    <s v="PROD173"/>
    <n v="1626.9"/>
    <n v="433.9"/>
    <n v="14"/>
    <s v="Corporate"/>
    <s v="Whiteboard Sticky Content"/>
    <x v="2"/>
    <s v="Wolfe Group"/>
    <n v="82.16"/>
    <n v="0.26670354662241069"/>
  </r>
  <r>
    <s v="ORD2949"/>
    <d v="2020-08-26T00:00:00"/>
    <x v="0"/>
    <s v="PROD190"/>
    <n v="304.55"/>
    <n v="276.43"/>
    <n v="11"/>
    <s v="Corporate"/>
    <s v="Repurpose End-To-End Networks"/>
    <x v="0"/>
    <s v="Torres-Rush"/>
    <n v="97.02"/>
    <n v="0.90766704974552614"/>
  </r>
  <r>
    <s v="ORD2950"/>
    <d v="2024-06-27T00:00:00"/>
    <x v="0"/>
    <s v="PROD127"/>
    <n v="4165.26"/>
    <n v="901.42"/>
    <n v="14"/>
    <s v="Consumer"/>
    <s v="Deliver Viral Channels"/>
    <x v="2"/>
    <s v="Parker LLC"/>
    <n v="45.41"/>
    <n v="0.21641386131958146"/>
  </r>
  <r>
    <s v="ORD2951"/>
    <d v="2021-01-12T00:00:00"/>
    <x v="1"/>
    <s v="PROD100"/>
    <n v="1318.69"/>
    <n v="990.14"/>
    <n v="2"/>
    <s v="Corporate"/>
    <s v="Synthesize Scalable Portals"/>
    <x v="2"/>
    <s v="Singh, Villa and Flynn"/>
    <n v="298.57"/>
    <n v="0.75085122356277822"/>
  </r>
  <r>
    <s v="ORD2952"/>
    <d v="2023-08-13T00:00:00"/>
    <x v="1"/>
    <s v="PROD183"/>
    <n v="844.3"/>
    <n v="230.49"/>
    <n v="14"/>
    <s v="Corporate"/>
    <s v="Incentivize Front-End Mindshare"/>
    <x v="1"/>
    <s v="Phillips-Tran"/>
    <n v="196.86"/>
    <n v="0.27299538078881919"/>
  </r>
  <r>
    <s v="ORD2953"/>
    <d v="2021-08-28T00:00:00"/>
    <x v="0"/>
    <s v="PROD165"/>
    <n v="1535.98"/>
    <n v="755.48"/>
    <n v="13"/>
    <s v="Small Business"/>
    <s v="Benchmark Cross-Platform Markets"/>
    <x v="2"/>
    <s v="Murphy, Mathews and Wilson"/>
    <n v="78.88"/>
    <n v="0.49185536270003516"/>
  </r>
  <r>
    <s v="ORD2954"/>
    <d v="2021-07-23T00:00:00"/>
    <x v="1"/>
    <s v="PROD154"/>
    <n v="4984.25"/>
    <n v="751.13"/>
    <n v="18"/>
    <s v="Consumer"/>
    <s v="Utilize Virtual Partnerships"/>
    <x v="2"/>
    <s v="Smith, Diaz and Heath"/>
    <n v="193.02"/>
    <n v="0.15070070722776746"/>
  </r>
  <r>
    <s v="ORD2955"/>
    <d v="2022-01-05T00:00:00"/>
    <x v="1"/>
    <s v="PROD101"/>
    <n v="2757.26"/>
    <n v="35.81"/>
    <n v="7"/>
    <s v="Consumer"/>
    <s v="Harness Proactive Eyeballs"/>
    <x v="1"/>
    <s v="Moran and Sons"/>
    <n v="58.01"/>
    <n v="1.2987531099714934E-2"/>
  </r>
  <r>
    <s v="ORD2956"/>
    <d v="2023-09-05T00:00:00"/>
    <x v="1"/>
    <s v="PROD175"/>
    <n v="3957.46"/>
    <n v="85.06"/>
    <n v="20"/>
    <s v="Small Business"/>
    <s v="Empower Bleeding-Edge Action-Items"/>
    <x v="2"/>
    <s v="Gray, Hayes and Banks"/>
    <n v="204.26"/>
    <n v="2.1493584268697598E-2"/>
  </r>
  <r>
    <s v="ORD2957"/>
    <d v="2022-08-26T00:00:00"/>
    <x v="0"/>
    <s v="PROD101"/>
    <n v="3930.55"/>
    <n v="886.25"/>
    <n v="6"/>
    <s v="Small Business"/>
    <s v="Harness Proactive Eyeballs"/>
    <x v="1"/>
    <s v="Moran and Sons"/>
    <n v="58.01"/>
    <n v="0.22547735049802189"/>
  </r>
  <r>
    <s v="ORD2958"/>
    <d v="2022-02-14T00:00:00"/>
    <x v="0"/>
    <s v="PROD173"/>
    <n v="2950.39"/>
    <n v="710.09"/>
    <n v="6"/>
    <s v="Small Business"/>
    <s v="Whiteboard Sticky Content"/>
    <x v="2"/>
    <s v="Wolfe Group"/>
    <n v="82.16"/>
    <n v="0.24067665630645443"/>
  </r>
  <r>
    <s v="ORD2959"/>
    <d v="2022-07-07T00:00:00"/>
    <x v="1"/>
    <s v="PROD126"/>
    <n v="1164.29"/>
    <n v="152.26"/>
    <n v="8"/>
    <s v="Consumer"/>
    <s v="Streamline Innovative Architectures"/>
    <x v="2"/>
    <s v="Price, Valentine and Lutz"/>
    <n v="291.14999999999998"/>
    <n v="0.13077497874240954"/>
  </r>
  <r>
    <s v="ORD2960"/>
    <d v="2023-11-01T00:00:00"/>
    <x v="2"/>
    <s v="PROD167"/>
    <n v="2161.09"/>
    <n v="65.59"/>
    <n v="8"/>
    <s v="Small Business"/>
    <s v="Grow Synergistic Infrastructures"/>
    <x v="2"/>
    <s v="Adams-Carter"/>
    <n v="113.17"/>
    <n v="3.0350425017005307E-2"/>
  </r>
  <r>
    <s v="ORD2961"/>
    <d v="2021-12-19T00:00:00"/>
    <x v="0"/>
    <s v="PROD118"/>
    <n v="1188.77"/>
    <n v="347.54"/>
    <n v="10"/>
    <s v="Consumer"/>
    <s v="Engineer Real-Time Architectures"/>
    <x v="2"/>
    <s v="James and Sons"/>
    <n v="127.23"/>
    <n v="0.2923525997459559"/>
  </r>
  <r>
    <s v="ORD2962"/>
    <d v="2021-11-08T00:00:00"/>
    <x v="3"/>
    <s v="PROD133"/>
    <n v="532.24"/>
    <n v="937.39"/>
    <n v="12"/>
    <s v="Small Business"/>
    <s v="Re-Intermediate Seamless Applications"/>
    <x v="0"/>
    <s v="Welch-Reed"/>
    <n v="45.82"/>
    <n v="1.7612167443258679"/>
  </r>
  <r>
    <s v="ORD2963"/>
    <d v="2023-12-03T00:00:00"/>
    <x v="0"/>
    <s v="PROD109"/>
    <n v="4051.48"/>
    <n v="624.01"/>
    <n v="16"/>
    <s v="Consumer"/>
    <s v="Orchestrate E-Business Niches"/>
    <x v="2"/>
    <s v="Johnson LLC"/>
    <n v="198.99"/>
    <n v="0.15402025926328156"/>
  </r>
  <r>
    <s v="ORD2964"/>
    <d v="2021-03-06T00:00:00"/>
    <x v="3"/>
    <s v="PROD167"/>
    <n v="4557.45"/>
    <n v="855.18"/>
    <n v="13"/>
    <s v="Corporate"/>
    <s v="Grow Synergistic Infrastructures"/>
    <x v="2"/>
    <s v="Adams-Carter"/>
    <n v="113.17"/>
    <n v="0.18764440641148011"/>
  </r>
  <r>
    <s v="ORD2965"/>
    <d v="2020-07-18T00:00:00"/>
    <x v="1"/>
    <s v="PROD107"/>
    <n v="3048.38"/>
    <n v="354.25"/>
    <n v="12"/>
    <s v="Small Business"/>
    <s v="Utilize Back-End Models"/>
    <x v="2"/>
    <s v="Lewis-Holden"/>
    <n v="241.53"/>
    <n v="0.11620926524908312"/>
  </r>
  <r>
    <s v="ORD2966"/>
    <d v="2024-09-17T00:00:00"/>
    <x v="1"/>
    <s v="PROD126"/>
    <n v="1744.91"/>
    <n v="901.62"/>
    <n v="13"/>
    <s v="Consumer"/>
    <s v="Streamline Innovative Architectures"/>
    <x v="2"/>
    <s v="Price, Valentine and Lutz"/>
    <n v="291.14999999999998"/>
    <n v="0.51671432910579917"/>
  </r>
  <r>
    <s v="ORD2967"/>
    <d v="2020-12-28T00:00:00"/>
    <x v="2"/>
    <s v="PROD185"/>
    <n v="4268.3599999999997"/>
    <n v="289.67"/>
    <n v="7"/>
    <s v="Small Business"/>
    <s v="Generate End-To-End Functionalities"/>
    <x v="1"/>
    <s v="Sanchez-Stewart"/>
    <n v="196.15"/>
    <n v="6.7864472537461709E-2"/>
  </r>
  <r>
    <s v="ORD2968"/>
    <d v="2024-04-14T00:00:00"/>
    <x v="1"/>
    <s v="PROD164"/>
    <n v="247.96"/>
    <n v="455.08"/>
    <n v="11"/>
    <s v="Corporate"/>
    <s v="Transition Compelling Web-Readiness"/>
    <x v="2"/>
    <s v="Wood-Beck"/>
    <n v="88.34"/>
    <n v="1.8352960154863687"/>
  </r>
  <r>
    <s v="ORD2969"/>
    <d v="2020-07-06T00:00:00"/>
    <x v="0"/>
    <s v="PROD124"/>
    <n v="3641.35"/>
    <n v="456.18"/>
    <n v="7"/>
    <s v="Small Business"/>
    <s v="Incubate Real-Time E-Tailers"/>
    <x v="1"/>
    <s v="Johnson-Riley"/>
    <n v="86.67"/>
    <n v="0.12527771293613632"/>
  </r>
  <r>
    <s v="ORD2970"/>
    <d v="2024-02-19T00:00:00"/>
    <x v="1"/>
    <s v="PROD180"/>
    <n v="2620.06"/>
    <n v="638.98"/>
    <n v="6"/>
    <s v="Small Business"/>
    <s v="Iterate Extensible Roi"/>
    <x v="0"/>
    <s v="Hill-Kelly"/>
    <n v="180"/>
    <n v="0.24387991114707297"/>
  </r>
  <r>
    <s v="ORD2971"/>
    <d v="2023-03-26T00:00:00"/>
    <x v="2"/>
    <s v="PROD143"/>
    <n v="4778.53"/>
    <n v="371.08"/>
    <n v="8"/>
    <s v="Corporate"/>
    <s v="E-Enable Synergistic Vortals"/>
    <x v="1"/>
    <s v="Guzman Group"/>
    <n v="278.43"/>
    <n v="7.7655680721895645E-2"/>
  </r>
  <r>
    <s v="ORD2972"/>
    <d v="2024-06-07T00:00:00"/>
    <x v="2"/>
    <s v="PROD114"/>
    <n v="4489.5"/>
    <n v="73.91"/>
    <n v="10"/>
    <s v="Small Business"/>
    <s v="Orchestrate User-Centric Platforms"/>
    <x v="2"/>
    <s v="Wells Ltd"/>
    <n v="201.87"/>
    <n v="1.6462857779262725E-2"/>
  </r>
  <r>
    <s v="ORD2973"/>
    <d v="2023-08-15T00:00:00"/>
    <x v="3"/>
    <s v="PROD168"/>
    <n v="3344.17"/>
    <n v="722.23"/>
    <n v="5"/>
    <s v="Consumer"/>
    <s v="Facilitate End-To-End Experiences"/>
    <x v="0"/>
    <s v="Pierce-Goodwin"/>
    <n v="260.52999999999997"/>
    <n v="0.21596689163529367"/>
  </r>
  <r>
    <s v="ORD2974"/>
    <d v="2022-12-22T00:00:00"/>
    <x v="3"/>
    <s v="PROD181"/>
    <n v="109.25"/>
    <n v="316.64999999999998"/>
    <n v="7"/>
    <s v="Small Business"/>
    <s v="Extend Bricks-And-Clicks Niches"/>
    <x v="0"/>
    <s v="Hernandez-Rios"/>
    <n v="65.989999999999995"/>
    <n v="2.8983981693363843"/>
  </r>
  <r>
    <s v="ORD2975"/>
    <d v="2023-06-22T00:00:00"/>
    <x v="3"/>
    <s v="PROD114"/>
    <n v="1325.26"/>
    <n v="56.57"/>
    <n v="12"/>
    <s v="Consumer"/>
    <s v="Orchestrate User-Centric Platforms"/>
    <x v="2"/>
    <s v="Wells Ltd"/>
    <n v="201.87"/>
    <n v="4.2685963509047284E-2"/>
  </r>
  <r>
    <s v="ORD2976"/>
    <d v="2022-01-01T00:00:00"/>
    <x v="3"/>
    <s v="PROD150"/>
    <n v="3576.2"/>
    <n v="758.38"/>
    <n v="4"/>
    <s v="Small Business"/>
    <s v="Evolve Intuitive Bandwidth"/>
    <x v="0"/>
    <s v="Rogers Group"/>
    <n v="131.63"/>
    <n v="0.2120630837201499"/>
  </r>
  <r>
    <s v="ORD2977"/>
    <d v="2021-08-23T00:00:00"/>
    <x v="1"/>
    <s v="PROD172"/>
    <n v="2955.71"/>
    <n v="505.04"/>
    <n v="12"/>
    <s v="Corporate"/>
    <s v="E-Enable Virtual Methodologies"/>
    <x v="0"/>
    <s v="Floyd-Love"/>
    <n v="283.64999999999998"/>
    <n v="0.17086926660599314"/>
  </r>
  <r>
    <s v="ORD2978"/>
    <d v="2023-06-04T00:00:00"/>
    <x v="2"/>
    <s v="PROD106"/>
    <n v="4214.6499999999996"/>
    <n v="800.14"/>
    <n v="20"/>
    <s v="Small Business"/>
    <s v="Synergize End-To-End Supply-Chains"/>
    <x v="0"/>
    <s v="Higgins-Espinoza"/>
    <n v="279.8"/>
    <n v="0.18984731828265694"/>
  </r>
  <r>
    <s v="ORD2979"/>
    <d v="2021-03-28T00:00:00"/>
    <x v="3"/>
    <s v="PROD177"/>
    <n v="2702.14"/>
    <n v="560.71"/>
    <n v="7"/>
    <s v="Consumer"/>
    <s v="Deploy Granular Channels"/>
    <x v="2"/>
    <s v="Barnes Ltd"/>
    <n v="288.99"/>
    <n v="0.2075059027289482"/>
  </r>
  <r>
    <s v="ORD2980"/>
    <d v="2022-12-12T00:00:00"/>
    <x v="3"/>
    <s v="PROD184"/>
    <n v="2784.87"/>
    <n v="571.86"/>
    <n v="7"/>
    <s v="Corporate"/>
    <s v="Embrace 24/365 Functionalities"/>
    <x v="0"/>
    <s v="Smith LLC"/>
    <n v="204.04"/>
    <n v="0.2053453123485118"/>
  </r>
  <r>
    <s v="ORD2981"/>
    <d v="2021-02-23T00:00:00"/>
    <x v="1"/>
    <s v="PROD131"/>
    <n v="745.65"/>
    <n v="943.42"/>
    <n v="11"/>
    <s v="Corporate"/>
    <s v="Scale Bleeding-Edge Schemas"/>
    <x v="1"/>
    <s v="Frazier-Schneider"/>
    <n v="54.8"/>
    <n v="1.2652316770602829"/>
  </r>
  <r>
    <s v="ORD2982"/>
    <d v="2024-03-12T00:00:00"/>
    <x v="3"/>
    <s v="PROD130"/>
    <n v="3339.8"/>
    <n v="850.02"/>
    <n v="10"/>
    <s v="Consumer"/>
    <s v="Synthesize Wireless Initiatives"/>
    <x v="1"/>
    <s v="Mosley Ltd"/>
    <n v="162.69999999999999"/>
    <n v="0.25451224624228996"/>
  </r>
  <r>
    <s v="ORD2983"/>
    <d v="2020-03-12T00:00:00"/>
    <x v="0"/>
    <s v="PROD147"/>
    <n v="1855.42"/>
    <n v="279.48"/>
    <n v="12"/>
    <s v="Corporate"/>
    <s v="Brand B2C Info-Mediaries"/>
    <x v="0"/>
    <s v="Preston Ltd"/>
    <n v="13.46"/>
    <n v="0.15062896810425672"/>
  </r>
  <r>
    <s v="ORD2984"/>
    <d v="2021-09-18T00:00:00"/>
    <x v="0"/>
    <s v="PROD176"/>
    <n v="3172.36"/>
    <n v="424.08"/>
    <n v="16"/>
    <s v="Corporate"/>
    <s v="Facilitate Integrated E-Business"/>
    <x v="0"/>
    <s v="Chang-Vargas"/>
    <n v="130.33000000000001"/>
    <n v="0.13367965804637555"/>
  </r>
  <r>
    <s v="ORD2985"/>
    <d v="2023-07-20T00:00:00"/>
    <x v="3"/>
    <s v="PROD171"/>
    <n v="257.31"/>
    <n v="750.59"/>
    <n v="12"/>
    <s v="Consumer"/>
    <s v="Scale 24/365 Networks"/>
    <x v="2"/>
    <s v="Kim-Hamilton"/>
    <n v="157.55000000000001"/>
    <n v="2.9170650188488594"/>
  </r>
  <r>
    <s v="ORD2986"/>
    <d v="2022-12-03T00:00:00"/>
    <x v="1"/>
    <s v="PROD111"/>
    <n v="4972.79"/>
    <n v="575.76"/>
    <n v="5"/>
    <s v="Corporate"/>
    <s v="Harness Revolutionary Interfaces"/>
    <x v="2"/>
    <s v="Davis, Short and Nguyen"/>
    <n v="26.49"/>
    <n v="0.1157820861126249"/>
  </r>
  <r>
    <s v="ORD2987"/>
    <d v="2021-12-16T00:00:00"/>
    <x v="0"/>
    <s v="PROD171"/>
    <n v="4660.82"/>
    <n v="601.11"/>
    <n v="16"/>
    <s v="Small Business"/>
    <s v="Scale 24/365 Networks"/>
    <x v="2"/>
    <s v="Kim-Hamilton"/>
    <n v="157.55000000000001"/>
    <n v="0.12897086778721342"/>
  </r>
  <r>
    <s v="ORD2988"/>
    <d v="2022-04-14T00:00:00"/>
    <x v="0"/>
    <s v="PROD160"/>
    <n v="2668.48"/>
    <n v="190.88"/>
    <n v="4"/>
    <s v="Small Business"/>
    <s v="Deliver Extensible Partnerships"/>
    <x v="2"/>
    <s v="Martin, Paul and Salazar"/>
    <n v="43.76"/>
    <n v="7.1531358676100248E-2"/>
  </r>
  <r>
    <s v="ORD2989"/>
    <d v="2021-05-30T00:00:00"/>
    <x v="2"/>
    <s v="PROD183"/>
    <n v="765.73"/>
    <n v="215.81"/>
    <n v="13"/>
    <s v="Small Business"/>
    <s v="Incentivize Front-End Mindshare"/>
    <x v="1"/>
    <s v="Phillips-Tran"/>
    <n v="196.86"/>
    <n v="0.2818356339701984"/>
  </r>
  <r>
    <s v="ORD2990"/>
    <d v="2022-12-14T00:00:00"/>
    <x v="3"/>
    <s v="PROD148"/>
    <n v="890.32"/>
    <n v="340.99"/>
    <n v="7"/>
    <s v="Small Business"/>
    <s v="Empower Seamless Roi"/>
    <x v="0"/>
    <s v="Proctor Group"/>
    <n v="266.64999999999998"/>
    <n v="0.38299712462934676"/>
  </r>
  <r>
    <s v="ORD2991"/>
    <d v="2024-09-09T00:00:00"/>
    <x v="0"/>
    <s v="PROD194"/>
    <n v="522.13"/>
    <n v="409.89"/>
    <n v="16"/>
    <s v="Consumer"/>
    <s v="Leverage Scalable Interfaces"/>
    <x v="0"/>
    <s v="Kaufman-Jones"/>
    <n v="73.33"/>
    <n v="0.78503437841150669"/>
  </r>
  <r>
    <s v="ORD2992"/>
    <d v="2020-11-18T00:00:00"/>
    <x v="2"/>
    <s v="PROD123"/>
    <n v="2718.17"/>
    <n v="807.78"/>
    <n v="11"/>
    <s v="Corporate"/>
    <s v="Redefine Real-Time Convergence"/>
    <x v="1"/>
    <s v="Hayes, Peters and Douglas"/>
    <n v="78.260000000000005"/>
    <n v="0.29717788070650475"/>
  </r>
  <r>
    <s v="ORD2993"/>
    <d v="2021-07-29T00:00:00"/>
    <x v="2"/>
    <s v="PROD156"/>
    <n v="3224.94"/>
    <n v="19.62"/>
    <n v="6"/>
    <s v="Consumer"/>
    <s v="Empower Killer Info-Mediaries"/>
    <x v="2"/>
    <s v="Jones Ltd"/>
    <n v="213.24"/>
    <n v="6.0838341178440529E-3"/>
  </r>
  <r>
    <s v="ORD2994"/>
    <d v="2022-04-13T00:00:00"/>
    <x v="3"/>
    <s v="PROD141"/>
    <n v="2379.9699999999998"/>
    <n v="233.39"/>
    <n v="14"/>
    <s v="Consumer"/>
    <s v="Re-Contextualize Integrated Info-Mediaries"/>
    <x v="1"/>
    <s v="Jones-Schroeder"/>
    <n v="26.02"/>
    <n v="9.8064261314218248E-2"/>
  </r>
  <r>
    <s v="ORD2995"/>
    <d v="2022-05-21T00:00:00"/>
    <x v="3"/>
    <s v="PROD127"/>
    <n v="3146.83"/>
    <n v="357.86"/>
    <n v="17"/>
    <s v="Corporate"/>
    <s v="Deliver Viral Channels"/>
    <x v="2"/>
    <s v="Parker LLC"/>
    <n v="45.41"/>
    <n v="0.1137207920351592"/>
  </r>
  <r>
    <s v="ORD2996"/>
    <d v="2022-02-26T00:00:00"/>
    <x v="0"/>
    <s v="PROD183"/>
    <n v="287.77999999999997"/>
    <n v="52.98"/>
    <n v="2"/>
    <s v="Consumer"/>
    <s v="Incentivize Front-End Mindshare"/>
    <x v="1"/>
    <s v="Phillips-Tran"/>
    <n v="196.86"/>
    <n v="0.18409896448676072"/>
  </r>
  <r>
    <s v="ORD2997"/>
    <d v="2021-12-21T00:00:00"/>
    <x v="3"/>
    <s v="PROD185"/>
    <n v="4109.25"/>
    <n v="712.09"/>
    <n v="6"/>
    <s v="Consumer"/>
    <s v="Generate End-To-End Functionalities"/>
    <x v="1"/>
    <s v="Sanchez-Stewart"/>
    <n v="196.15"/>
    <n v="0.17328952971953521"/>
  </r>
  <r>
    <s v="ORD2998"/>
    <d v="2023-11-21T00:00:00"/>
    <x v="0"/>
    <s v="PROD119"/>
    <n v="4388.8999999999996"/>
    <n v="310.08999999999997"/>
    <n v="19"/>
    <s v="Corporate"/>
    <s v="Generate Front-End Functionalities"/>
    <x v="0"/>
    <s v="Morales-Brown"/>
    <n v="299.77"/>
    <n v="7.0653238852559863E-2"/>
  </r>
  <r>
    <s v="ORD2999"/>
    <d v="2024-05-16T00:00:00"/>
    <x v="2"/>
    <s v="PROD184"/>
    <n v="2705.93"/>
    <n v="242.37"/>
    <n v="1"/>
    <s v="Corporate"/>
    <s v="Embrace 24/365 Functionalities"/>
    <x v="0"/>
    <s v="Smith LLC"/>
    <n v="204.04"/>
    <n v="8.956994452923763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14280-886B-4BAB-B2D2-03FC7E0010C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H12" firstHeaderRow="1" firstDataRow="2" firstDataCol="1"/>
  <pivotFields count="13">
    <pivotField showAll="0"/>
    <pivotField numFmtId="164" showAll="0"/>
    <pivotField axis="axisCol" showAll="0">
      <items count="5">
        <item x="0"/>
        <item x="2"/>
        <item x="3"/>
        <item x="1"/>
        <item t="default"/>
      </items>
    </pivotField>
    <pivotField showAll="0"/>
    <pivotField dataField="1" numFmtId="165" showAll="0"/>
    <pivotField numFmtId="165" showAll="0"/>
    <pivotField numFmtId="1" showAll="0"/>
    <pivotField showAll="0"/>
    <pivotField showAll="0"/>
    <pivotField axis="axisRow" showAll="0">
      <items count="4">
        <item x="1"/>
        <item x="2"/>
        <item x="0"/>
        <item t="default"/>
      </items>
    </pivotField>
    <pivotField showAll="0"/>
    <pivotField showAll="0"/>
    <pivotField numFmtId="10" showAll="0"/>
  </pivotFields>
  <rowFields count="1">
    <field x="9"/>
  </rowFields>
  <rowItems count="4">
    <i>
      <x/>
    </i>
    <i>
      <x v="1"/>
    </i>
    <i>
      <x v="2"/>
    </i>
    <i t="grand">
      <x/>
    </i>
  </rowItems>
  <colFields count="1">
    <field x="2"/>
  </colFields>
  <colItems count="5">
    <i>
      <x/>
    </i>
    <i>
      <x v="1"/>
    </i>
    <i>
      <x v="2"/>
    </i>
    <i>
      <x v="3"/>
    </i>
    <i t="grand">
      <x/>
    </i>
  </colItems>
  <dataFields count="1">
    <dataField name="Sum of Sales Amount"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C0575-6A93-486F-8673-D468911F144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10" firstHeaderRow="1" firstDataRow="1" firstDataCol="1"/>
  <pivotFields count="13">
    <pivotField showAll="0"/>
    <pivotField numFmtId="164" showAll="0"/>
    <pivotField showAll="0"/>
    <pivotField showAll="0"/>
    <pivotField numFmtId="165" showAll="0"/>
    <pivotField dataField="1" numFmtId="165" showAll="0"/>
    <pivotField numFmtId="1" showAll="0"/>
    <pivotField showAll="0"/>
    <pivotField showAll="0"/>
    <pivotField axis="axisRow" showAll="0">
      <items count="4">
        <item x="1"/>
        <item x="2"/>
        <item x="0"/>
        <item t="default"/>
      </items>
    </pivotField>
    <pivotField showAll="0"/>
    <pivotField showAll="0"/>
    <pivotField numFmtId="10" showAll="0"/>
  </pivotFields>
  <rowFields count="1">
    <field x="9"/>
  </rowFields>
  <rowItems count="4">
    <i>
      <x/>
    </i>
    <i>
      <x v="1"/>
    </i>
    <i>
      <x v="2"/>
    </i>
    <i t="grand">
      <x/>
    </i>
  </rowItems>
  <colItems count="1">
    <i/>
  </colItems>
  <dataFields count="1">
    <dataField name="Sum of Profit"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AAFD2-67C8-4F6A-8E92-95E7A06B233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0" firstHeaderRow="1" firstDataRow="1" firstDataCol="1"/>
  <pivotFields count="13">
    <pivotField showAll="0"/>
    <pivotField numFmtId="164" showAll="0"/>
    <pivotField showAll="0"/>
    <pivotField showAll="0"/>
    <pivotField dataField="1" numFmtId="165" showAll="0"/>
    <pivotField numFmtId="165" showAll="0"/>
    <pivotField numFmtId="1" showAll="0"/>
    <pivotField showAll="0"/>
    <pivotField showAll="0"/>
    <pivotField axis="axisRow" showAll="0">
      <items count="4">
        <item x="1"/>
        <item x="2"/>
        <item x="0"/>
        <item t="default"/>
      </items>
    </pivotField>
    <pivotField showAll="0"/>
    <pivotField showAll="0"/>
    <pivotField numFmtId="10" showAll="0"/>
  </pivotFields>
  <rowFields count="1">
    <field x="9"/>
  </rowFields>
  <rowItems count="4">
    <i>
      <x/>
    </i>
    <i>
      <x v="1"/>
    </i>
    <i>
      <x v="2"/>
    </i>
    <i t="grand">
      <x/>
    </i>
  </rowItems>
  <colItems count="1">
    <i/>
  </colItems>
  <dataFields count="1">
    <dataField name="Sum of Sales Amount"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5B33AC-97C8-418C-AA3A-3B21EBF577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8" firstHeaderRow="1" firstDataRow="1" firstDataCol="1"/>
  <pivotFields count="15">
    <pivotField showAll="0"/>
    <pivotField numFmtId="164" showAll="0">
      <items count="1181">
        <item x="832"/>
        <item x="811"/>
        <item x="831"/>
        <item x="1136"/>
        <item x="1013"/>
        <item x="783"/>
        <item x="768"/>
        <item x="480"/>
        <item x="65"/>
        <item x="865"/>
        <item x="358"/>
        <item x="852"/>
        <item x="261"/>
        <item x="568"/>
        <item x="427"/>
        <item x="299"/>
        <item x="624"/>
        <item x="800"/>
        <item x="394"/>
        <item x="936"/>
        <item x="424"/>
        <item x="40"/>
        <item x="806"/>
        <item x="878"/>
        <item x="95"/>
        <item x="970"/>
        <item x="1113"/>
        <item x="6"/>
        <item x="591"/>
        <item x="836"/>
        <item x="311"/>
        <item x="33"/>
        <item x="656"/>
        <item x="129"/>
        <item x="1034"/>
        <item x="347"/>
        <item x="956"/>
        <item x="703"/>
        <item x="294"/>
        <item x="1112"/>
        <item x="47"/>
        <item x="964"/>
        <item x="665"/>
        <item x="704"/>
        <item x="853"/>
        <item x="872"/>
        <item x="925"/>
        <item x="265"/>
        <item x="747"/>
        <item x="781"/>
        <item x="1033"/>
        <item x="1051"/>
        <item x="230"/>
        <item x="654"/>
        <item x="1045"/>
        <item x="180"/>
        <item x="710"/>
        <item x="317"/>
        <item x="473"/>
        <item x="616"/>
        <item x="237"/>
        <item x="49"/>
        <item x="324"/>
        <item x="102"/>
        <item x="598"/>
        <item x="694"/>
        <item x="771"/>
        <item x="1083"/>
        <item x="556"/>
        <item x="273"/>
        <item x="438"/>
        <item x="1163"/>
        <item x="551"/>
        <item x="308"/>
        <item x="366"/>
        <item x="94"/>
        <item x="965"/>
        <item x="159"/>
        <item x="662"/>
        <item x="854"/>
        <item x="1107"/>
        <item x="525"/>
        <item x="545"/>
        <item x="912"/>
        <item x="198"/>
        <item x="364"/>
        <item x="1140"/>
        <item x="1052"/>
        <item x="776"/>
        <item x="814"/>
        <item x="321"/>
        <item x="1041"/>
        <item x="1058"/>
        <item x="660"/>
        <item x="774"/>
        <item x="1085"/>
        <item x="558"/>
        <item x="839"/>
        <item x="782"/>
        <item x="204"/>
        <item x="790"/>
        <item x="645"/>
        <item x="769"/>
        <item x="199"/>
        <item x="894"/>
        <item x="51"/>
        <item x="375"/>
        <item x="677"/>
        <item x="617"/>
        <item x="1098"/>
        <item x="834"/>
        <item x="731"/>
        <item x="1151"/>
        <item x="368"/>
        <item x="231"/>
        <item x="614"/>
        <item x="479"/>
        <item x="422"/>
        <item x="157"/>
        <item x="963"/>
        <item x="15"/>
        <item x="108"/>
        <item x="552"/>
        <item x="652"/>
        <item x="278"/>
        <item x="181"/>
        <item x="563"/>
        <item x="441"/>
        <item x="560"/>
        <item x="1062"/>
        <item x="503"/>
        <item x="371"/>
        <item x="860"/>
        <item x="684"/>
        <item x="494"/>
        <item x="30"/>
        <item x="286"/>
        <item x="701"/>
        <item x="770"/>
        <item x="509"/>
        <item x="138"/>
        <item x="881"/>
        <item x="451"/>
        <item x="580"/>
        <item x="631"/>
        <item x="565"/>
        <item x="192"/>
        <item x="54"/>
        <item x="571"/>
        <item x="1073"/>
        <item x="722"/>
        <item x="205"/>
        <item x="902"/>
        <item x="79"/>
        <item x="1164"/>
        <item x="243"/>
        <item x="105"/>
        <item x="372"/>
        <item x="28"/>
        <item x="981"/>
        <item x="1145"/>
        <item x="928"/>
        <item x="847"/>
        <item x="1007"/>
        <item x="443"/>
        <item x="795"/>
        <item x="863"/>
        <item x="799"/>
        <item x="1147"/>
        <item x="699"/>
        <item x="679"/>
        <item x="685"/>
        <item x="490"/>
        <item x="518"/>
        <item x="464"/>
        <item x="802"/>
        <item x="561"/>
        <item x="1019"/>
        <item x="98"/>
        <item x="1040"/>
        <item x="267"/>
        <item x="461"/>
        <item x="78"/>
        <item x="128"/>
        <item x="954"/>
        <item x="1132"/>
        <item x="961"/>
        <item x="539"/>
        <item x="914"/>
        <item x="605"/>
        <item x="412"/>
        <item x="463"/>
        <item x="773"/>
        <item x="759"/>
        <item x="171"/>
        <item x="968"/>
        <item x="414"/>
        <item x="408"/>
        <item x="336"/>
        <item x="66"/>
        <item x="63"/>
        <item x="1128"/>
        <item x="797"/>
        <item x="313"/>
        <item x="751"/>
        <item x="285"/>
        <item x="927"/>
        <item x="445"/>
        <item x="574"/>
        <item x="104"/>
        <item x="365"/>
        <item x="57"/>
        <item x="360"/>
        <item x="648"/>
        <item x="1038"/>
        <item x="826"/>
        <item x="1176"/>
        <item x="625"/>
        <item x="328"/>
        <item x="469"/>
        <item x="431"/>
        <item x="459"/>
        <item x="931"/>
        <item x="46"/>
        <item x="118"/>
        <item x="944"/>
        <item x="856"/>
        <item x="1109"/>
        <item x="1127"/>
        <item x="636"/>
        <item x="850"/>
        <item x="791"/>
        <item x="941"/>
        <item x="763"/>
        <item x="36"/>
        <item x="1123"/>
        <item x="519"/>
        <item x="137"/>
        <item x="681"/>
        <item x="542"/>
        <item x="555"/>
        <item x="24"/>
        <item x="658"/>
        <item x="984"/>
        <item x="1076"/>
        <item x="191"/>
        <item x="734"/>
        <item x="456"/>
        <item x="255"/>
        <item x="592"/>
        <item x="379"/>
        <item x="1080"/>
        <item x="623"/>
        <item x="415"/>
        <item x="493"/>
        <item x="738"/>
        <item x="84"/>
        <item x="228"/>
        <item x="1069"/>
        <item x="761"/>
        <item x="433"/>
        <item x="295"/>
        <item x="718"/>
        <item x="596"/>
        <item x="203"/>
        <item x="345"/>
        <item x="284"/>
        <item x="45"/>
        <item x="241"/>
        <item x="608"/>
        <item x="246"/>
        <item x="999"/>
        <item x="1161"/>
        <item x="960"/>
        <item x="821"/>
        <item x="354"/>
        <item x="48"/>
        <item x="1173"/>
        <item x="25"/>
        <item x="801"/>
        <item x="695"/>
        <item x="871"/>
        <item x="1117"/>
        <item x="1066"/>
        <item x="353"/>
        <item x="683"/>
        <item x="111"/>
        <item x="980"/>
        <item x="566"/>
        <item x="107"/>
        <item x="447"/>
        <item x="179"/>
        <item x="874"/>
        <item x="2"/>
        <item x="151"/>
        <item x="760"/>
        <item x="538"/>
        <item x="306"/>
        <item x="1171"/>
        <item x="1018"/>
        <item x="7"/>
        <item x="240"/>
        <item x="713"/>
        <item x="329"/>
        <item x="207"/>
        <item x="5"/>
        <item x="1159"/>
        <item x="1047"/>
        <item x="253"/>
        <item x="200"/>
        <item x="254"/>
        <item x="1131"/>
        <item x="487"/>
        <item x="140"/>
        <item x="607"/>
        <item x="640"/>
        <item x="1071"/>
        <item x="1005"/>
        <item x="976"/>
        <item x="651"/>
        <item x="919"/>
        <item x="106"/>
        <item x="907"/>
        <item x="846"/>
        <item x="932"/>
        <item x="1054"/>
        <item x="998"/>
        <item x="727"/>
        <item x="512"/>
        <item x="618"/>
        <item x="391"/>
        <item x="628"/>
        <item x="676"/>
        <item x="362"/>
        <item x="312"/>
        <item x="266"/>
        <item x="130"/>
        <item x="930"/>
        <item x="916"/>
        <item x="164"/>
        <item x="279"/>
        <item x="735"/>
        <item x="969"/>
        <item x="996"/>
        <item x="861"/>
        <item x="1143"/>
        <item x="924"/>
        <item x="390"/>
        <item x="910"/>
        <item x="1119"/>
        <item x="290"/>
        <item x="1082"/>
        <item x="484"/>
        <item x="692"/>
        <item x="314"/>
        <item x="724"/>
        <item x="343"/>
        <item x="213"/>
        <item x="611"/>
        <item x="909"/>
        <item x="1060"/>
        <item x="455"/>
        <item x="440"/>
        <item x="374"/>
        <item x="511"/>
        <item x="983"/>
        <item x="409"/>
        <item x="929"/>
        <item x="1067"/>
        <item x="242"/>
        <item x="917"/>
        <item x="870"/>
        <item x="1130"/>
        <item x="815"/>
        <item x="945"/>
        <item x="736"/>
        <item x="301"/>
        <item x="166"/>
        <item x="1012"/>
        <item x="892"/>
        <item x="1057"/>
        <item x="1160"/>
        <item x="523"/>
        <item x="382"/>
        <item x="113"/>
        <item x="1177"/>
        <item x="419"/>
        <item x="296"/>
        <item x="1146"/>
        <item x="864"/>
        <item x="1150"/>
        <item x="879"/>
        <item x="642"/>
        <item x="70"/>
        <item x="752"/>
        <item x="949"/>
        <item x="194"/>
        <item x="824"/>
        <item x="578"/>
        <item x="506"/>
        <item x="466"/>
        <item x="272"/>
        <item x="356"/>
        <item x="920"/>
        <item x="1120"/>
        <item x="1165"/>
        <item x="453"/>
        <item x="468"/>
        <item x="276"/>
        <item x="822"/>
        <item x="633"/>
        <item x="1152"/>
        <item x="1053"/>
        <item x="467"/>
        <item x="569"/>
        <item x="369"/>
        <item x="476"/>
        <item x="1139"/>
        <item x="349"/>
        <item x="101"/>
        <item x="786"/>
        <item x="1042"/>
        <item x="547"/>
        <item x="765"/>
        <item x="594"/>
        <item x="841"/>
        <item x="392"/>
        <item x="1011"/>
        <item x="995"/>
        <item x="470"/>
        <item x="150"/>
        <item x="702"/>
        <item x="972"/>
        <item x="462"/>
        <item x="657"/>
        <item x="215"/>
        <item x="757"/>
        <item x="260"/>
        <item x="339"/>
        <item x="541"/>
        <item x="572"/>
        <item x="842"/>
        <item x="1089"/>
        <item x="947"/>
        <item x="196"/>
        <item x="1002"/>
        <item x="1144"/>
        <item x="647"/>
        <item x="126"/>
        <item x="537"/>
        <item x="833"/>
        <item x="471"/>
        <item x="500"/>
        <item x="946"/>
        <item x="146"/>
        <item x="966"/>
        <item x="189"/>
        <item x="132"/>
        <item x="27"/>
        <item x="160"/>
        <item x="263"/>
        <item x="403"/>
        <item x="488"/>
        <item x="672"/>
        <item x="224"/>
        <item x="35"/>
        <item x="869"/>
        <item x="489"/>
        <item x="395"/>
        <item x="143"/>
        <item x="923"/>
        <item x="650"/>
        <item x="55"/>
        <item x="85"/>
        <item x="708"/>
        <item x="942"/>
        <item x="38"/>
        <item x="304"/>
        <item x="297"/>
        <item x="586"/>
        <item x="627"/>
        <item x="234"/>
        <item x="167"/>
        <item x="641"/>
        <item x="217"/>
        <item x="56"/>
        <item x="125"/>
        <item x="1079"/>
        <item x="220"/>
        <item x="227"/>
        <item x="707"/>
        <item x="1025"/>
        <item x="90"/>
        <item x="1167"/>
        <item x="425"/>
        <item x="510"/>
        <item x="201"/>
        <item x="363"/>
        <item x="715"/>
        <item x="529"/>
        <item x="989"/>
        <item x="705"/>
        <item x="131"/>
        <item x="310"/>
        <item x="913"/>
        <item x="21"/>
        <item x="1010"/>
        <item x="10"/>
        <item x="14"/>
        <item x="348"/>
        <item x="875"/>
        <item x="789"/>
        <item x="58"/>
        <item x="559"/>
        <item x="423"/>
        <item x="753"/>
        <item x="606"/>
        <item x="971"/>
        <item x="393"/>
        <item x="1103"/>
        <item x="397"/>
        <item x="281"/>
        <item x="112"/>
        <item x="326"/>
        <item x="275"/>
        <item x="82"/>
        <item x="635"/>
        <item x="384"/>
        <item x="250"/>
        <item x="149"/>
        <item x="178"/>
        <item x="42"/>
        <item x="546"/>
        <item x="926"/>
        <item x="937"/>
        <item x="68"/>
        <item x="121"/>
        <item x="550"/>
        <item x="413"/>
        <item x="153"/>
        <item x="398"/>
        <item x="993"/>
        <item x="1094"/>
        <item x="210"/>
        <item x="967"/>
        <item x="117"/>
        <item x="615"/>
        <item x="729"/>
        <item x="120"/>
        <item x="259"/>
        <item x="399"/>
        <item x="110"/>
        <item x="898"/>
        <item x="997"/>
        <item x="638"/>
        <item x="882"/>
        <item x="330"/>
        <item x="862"/>
        <item x="576"/>
        <item x="1024"/>
        <item x="454"/>
        <item x="696"/>
        <item x="577"/>
        <item x="1017"/>
        <item x="307"/>
        <item x="71"/>
        <item x="749"/>
        <item x="92"/>
        <item x="495"/>
        <item x="16"/>
        <item x="1175"/>
        <item x="89"/>
        <item x="570"/>
        <item x="775"/>
        <item x="507"/>
        <item x="380"/>
        <item x="188"/>
        <item x="600"/>
        <item x="888"/>
        <item x="1121"/>
        <item x="400"/>
        <item x="1142"/>
        <item x="820"/>
        <item x="239"/>
        <item x="13"/>
        <item x="1092"/>
        <item x="908"/>
        <item x="515"/>
        <item x="502"/>
        <item x="225"/>
        <item x="630"/>
        <item x="1048"/>
        <item x="17"/>
        <item x="901"/>
        <item x="481"/>
        <item x="359"/>
        <item x="741"/>
        <item x="1035"/>
        <item x="19"/>
        <item x="1178"/>
        <item x="748"/>
        <item x="1063"/>
        <item x="784"/>
        <item x="973"/>
        <item x="437"/>
        <item x="918"/>
        <item x="288"/>
        <item x="87"/>
        <item x="436"/>
        <item x="477"/>
        <item x="1158"/>
        <item x="522"/>
        <item x="1001"/>
        <item x="75"/>
        <item x="812"/>
        <item x="712"/>
        <item x="483"/>
        <item x="548"/>
        <item x="804"/>
        <item x="849"/>
        <item x="637"/>
        <item x="610"/>
        <item x="885"/>
        <item x="256"/>
        <item x="897"/>
        <item x="163"/>
        <item x="305"/>
        <item x="536"/>
        <item x="81"/>
        <item x="1166"/>
        <item x="612"/>
        <item x="817"/>
        <item x="258"/>
        <item x="1077"/>
        <item x="283"/>
        <item x="1006"/>
        <item x="1072"/>
        <item x="922"/>
        <item x="144"/>
        <item x="309"/>
        <item x="693"/>
        <item x="823"/>
        <item x="803"/>
        <item x="69"/>
        <item x="1061"/>
        <item x="331"/>
        <item x="39"/>
        <item x="428"/>
        <item x="264"/>
        <item x="1030"/>
        <item x="1162"/>
        <item x="1059"/>
        <item x="83"/>
        <item x="185"/>
        <item x="405"/>
        <item x="77"/>
        <item x="212"/>
        <item x="686"/>
        <item x="197"/>
        <item x="177"/>
        <item x="1049"/>
        <item x="819"/>
        <item x="767"/>
        <item x="323"/>
        <item x="939"/>
        <item x="50"/>
        <item x="355"/>
        <item x="449"/>
        <item x="1097"/>
        <item x="37"/>
        <item x="1155"/>
        <item x="147"/>
        <item x="209"/>
        <item x="73"/>
        <item x="796"/>
        <item x="526"/>
        <item x="543"/>
        <item x="573"/>
        <item x="1118"/>
        <item x="646"/>
        <item x="53"/>
        <item x="698"/>
        <item x="1099"/>
        <item x="170"/>
        <item x="582"/>
        <item x="895"/>
        <item x="884"/>
        <item x="988"/>
        <item x="357"/>
        <item x="407"/>
        <item x="247"/>
        <item x="29"/>
        <item x="653"/>
        <item x="280"/>
        <item x="1114"/>
        <item x="950"/>
        <item x="1104"/>
        <item x="673"/>
        <item x="553"/>
        <item x="430"/>
        <item x="632"/>
        <item x="557"/>
        <item x="119"/>
        <item x="232"/>
        <item x="1133"/>
        <item x="72"/>
        <item x="588"/>
        <item x="486"/>
        <item x="86"/>
        <item x="794"/>
        <item x="420"/>
        <item x="300"/>
        <item x="338"/>
        <item x="721"/>
        <item x="593"/>
        <item x="202"/>
        <item x="122"/>
        <item x="245"/>
        <item x="226"/>
        <item x="176"/>
        <item x="332"/>
        <item x="161"/>
        <item x="873"/>
        <item x="282"/>
        <item x="1087"/>
        <item x="293"/>
        <item x="1115"/>
        <item x="982"/>
        <item x="891"/>
        <item x="298"/>
        <item x="248"/>
        <item x="955"/>
        <item x="987"/>
        <item x="233"/>
        <item x="959"/>
        <item x="1174"/>
        <item x="663"/>
        <item x="377"/>
        <item x="533"/>
        <item x="187"/>
        <item x="1172"/>
        <item x="952"/>
        <item x="1116"/>
        <item x="962"/>
        <item x="755"/>
        <item x="127"/>
        <item x="935"/>
        <item x="249"/>
        <item x="342"/>
        <item x="1170"/>
        <item x="402"/>
        <item x="921"/>
        <item x="688"/>
        <item x="866"/>
        <item x="504"/>
        <item x="777"/>
        <item x="903"/>
        <item x="899"/>
        <item x="341"/>
        <item x="1154"/>
        <item x="222"/>
        <item x="340"/>
        <item x="843"/>
        <item x="1029"/>
        <item x="661"/>
        <item x="268"/>
        <item x="792"/>
        <item x="1081"/>
        <item x="595"/>
        <item x="12"/>
        <item x="1014"/>
        <item x="270"/>
        <item x="829"/>
        <item x="1149"/>
        <item x="277"/>
        <item x="567"/>
        <item x="109"/>
        <item x="450"/>
        <item x="103"/>
        <item x="1074"/>
        <item x="123"/>
        <item x="788"/>
        <item x="844"/>
        <item x="1141"/>
        <item x="1008"/>
        <item x="116"/>
        <item x="583"/>
        <item x="219"/>
        <item x="186"/>
        <item x="442"/>
        <item x="318"/>
        <item x="404"/>
        <item x="527"/>
        <item x="8"/>
        <item x="986"/>
        <item x="1135"/>
        <item x="643"/>
        <item x="991"/>
        <item x="859"/>
        <item x="613"/>
        <item x="43"/>
        <item x="1050"/>
        <item x="497"/>
        <item x="575"/>
        <item x="1095"/>
        <item x="544"/>
        <item x="61"/>
        <item x="351"/>
        <item x="350"/>
        <item x="64"/>
        <item x="977"/>
        <item x="564"/>
        <item x="690"/>
        <item x="992"/>
        <item x="1"/>
        <item x="319"/>
        <item x="1096"/>
        <item x="411"/>
        <item x="401"/>
        <item x="554"/>
        <item x="175"/>
        <item x="948"/>
        <item x="896"/>
        <item x="810"/>
        <item x="236"/>
        <item x="1037"/>
        <item x="141"/>
        <item x="152"/>
        <item x="1064"/>
        <item x="1032"/>
        <item x="1125"/>
        <item x="145"/>
        <item x="373"/>
        <item x="251"/>
        <item x="609"/>
        <item x="1039"/>
        <item x="367"/>
        <item x="1126"/>
        <item x="855"/>
        <item x="156"/>
        <item x="1026"/>
        <item x="535"/>
        <item x="1156"/>
        <item x="813"/>
        <item x="957"/>
        <item x="474"/>
        <item x="99"/>
        <item x="809"/>
        <item x="334"/>
        <item x="252"/>
        <item x="680"/>
        <item x="785"/>
        <item x="174"/>
        <item x="524"/>
        <item x="1075"/>
        <item x="183"/>
        <item x="716"/>
        <item x="482"/>
        <item x="499"/>
        <item x="516"/>
        <item x="182"/>
        <item x="446"/>
        <item x="439"/>
        <item x="934"/>
        <item x="1070"/>
        <item x="235"/>
        <item x="173"/>
        <item x="383"/>
        <item x="1004"/>
        <item x="886"/>
        <item x="333"/>
        <item x="291"/>
        <item x="3"/>
        <item x="744"/>
        <item x="498"/>
        <item x="114"/>
        <item x="1110"/>
        <item x="851"/>
        <item x="540"/>
        <item x="827"/>
        <item x="754"/>
        <item x="1015"/>
        <item x="714"/>
        <item x="1028"/>
        <item x="868"/>
        <item x="597"/>
        <item x="135"/>
        <item x="1169"/>
        <item x="458"/>
        <item x="793"/>
        <item x="911"/>
        <item x="238"/>
        <item x="664"/>
        <item x="587"/>
        <item x="816"/>
        <item x="720"/>
        <item x="32"/>
        <item x="975"/>
        <item x="417"/>
        <item x="1101"/>
        <item x="344"/>
        <item x="416"/>
        <item x="1157"/>
        <item x="335"/>
        <item x="691"/>
        <item x="410"/>
        <item x="682"/>
        <item x="1093"/>
        <item x="501"/>
        <item x="1031"/>
        <item x="1046"/>
        <item x="4"/>
        <item x="134"/>
        <item x="670"/>
        <item x="386"/>
        <item x="756"/>
        <item x="492"/>
        <item x="838"/>
        <item x="352"/>
        <item x="478"/>
        <item x="396"/>
        <item x="764"/>
        <item x="387"/>
        <item x="978"/>
        <item x="315"/>
        <item x="808"/>
        <item x="905"/>
        <item x="644"/>
        <item x="505"/>
        <item x="584"/>
        <item x="289"/>
        <item x="1100"/>
        <item x="837"/>
        <item x="728"/>
        <item x="958"/>
        <item x="221"/>
        <item x="1086"/>
        <item x="88"/>
        <item x="528"/>
        <item x="629"/>
        <item x="940"/>
        <item x="549"/>
        <item x="1179"/>
        <item x="1009"/>
        <item x="877"/>
        <item x="890"/>
        <item x="697"/>
        <item x="772"/>
        <item x="1056"/>
        <item x="154"/>
        <item x="62"/>
        <item x="20"/>
        <item x="649"/>
        <item x="906"/>
        <item x="1108"/>
        <item x="1111"/>
        <item x="52"/>
        <item x="1055"/>
        <item x="700"/>
        <item x="142"/>
        <item x="639"/>
        <item x="1138"/>
        <item x="1021"/>
        <item x="320"/>
        <item x="316"/>
        <item x="883"/>
        <item x="223"/>
        <item x="124"/>
        <item x="475"/>
        <item x="388"/>
        <item x="421"/>
        <item x="762"/>
        <item x="91"/>
        <item x="1078"/>
        <item x="740"/>
        <item x="974"/>
        <item x="244"/>
        <item x="0"/>
        <item x="429"/>
        <item x="292"/>
        <item x="604"/>
        <item x="807"/>
        <item x="943"/>
        <item x="818"/>
        <item x="739"/>
        <item x="766"/>
        <item x="1023"/>
        <item x="857"/>
        <item x="1148"/>
        <item x="229"/>
        <item x="858"/>
        <item x="1091"/>
        <item x="1044"/>
        <item x="136"/>
        <item x="805"/>
        <item x="787"/>
        <item x="184"/>
        <item x="520"/>
        <item x="835"/>
        <item x="1102"/>
        <item x="385"/>
        <item x="517"/>
        <item x="448"/>
        <item x="985"/>
        <item x="723"/>
        <item x="41"/>
        <item x="22"/>
        <item x="100"/>
        <item x="1122"/>
        <item x="585"/>
        <item x="1124"/>
        <item x="601"/>
        <item x="915"/>
        <item x="732"/>
        <item x="711"/>
        <item x="165"/>
        <item x="214"/>
        <item x="325"/>
        <item x="979"/>
        <item x="34"/>
        <item x="687"/>
        <item x="485"/>
        <item x="889"/>
        <item x="668"/>
        <item x="158"/>
        <item x="531"/>
        <item x="1084"/>
        <item x="830"/>
        <item x="599"/>
        <item x="602"/>
        <item x="951"/>
        <item x="589"/>
        <item x="1105"/>
        <item x="726"/>
        <item x="534"/>
        <item x="139"/>
        <item x="1065"/>
        <item x="381"/>
        <item x="432"/>
        <item x="472"/>
        <item x="904"/>
        <item x="1022"/>
        <item x="848"/>
        <item x="709"/>
        <item x="1000"/>
        <item x="990"/>
        <item x="579"/>
        <item x="603"/>
        <item x="733"/>
        <item x="1134"/>
        <item x="1106"/>
        <item x="1043"/>
        <item x="887"/>
        <item x="322"/>
        <item x="302"/>
        <item x="9"/>
        <item x="845"/>
        <item x="880"/>
        <item x="465"/>
        <item x="530"/>
        <item x="193"/>
        <item x="1090"/>
        <item x="532"/>
        <item x="96"/>
        <item x="257"/>
        <item x="491"/>
        <item x="1027"/>
        <item x="675"/>
        <item x="426"/>
        <item x="97"/>
        <item x="1003"/>
        <item x="18"/>
        <item x="667"/>
        <item x="1168"/>
        <item x="1036"/>
        <item x="626"/>
        <item x="689"/>
        <item x="893"/>
        <item x="674"/>
        <item x="706"/>
        <item x="23"/>
        <item x="80"/>
        <item x="287"/>
        <item x="206"/>
        <item x="271"/>
        <item x="745"/>
        <item x="622"/>
        <item x="376"/>
        <item x="346"/>
        <item x="1016"/>
        <item x="435"/>
        <item x="370"/>
        <item x="619"/>
        <item x="742"/>
        <item x="269"/>
        <item x="218"/>
        <item x="743"/>
        <item x="514"/>
        <item x="1088"/>
        <item x="76"/>
        <item x="457"/>
        <item x="737"/>
        <item x="361"/>
        <item x="933"/>
        <item x="1153"/>
        <item x="406"/>
        <item x="148"/>
        <item x="581"/>
        <item x="900"/>
        <item x="620"/>
        <item x="666"/>
        <item x="779"/>
        <item x="840"/>
        <item x="303"/>
        <item x="11"/>
        <item x="746"/>
        <item x="717"/>
        <item x="460"/>
        <item x="274"/>
        <item x="452"/>
        <item x="1020"/>
        <item x="562"/>
        <item x="496"/>
        <item x="867"/>
        <item x="172"/>
        <item x="778"/>
        <item x="825"/>
        <item x="337"/>
        <item x="327"/>
        <item x="678"/>
        <item x="162"/>
        <item x="26"/>
        <item x="133"/>
        <item x="590"/>
        <item x="155"/>
        <item x="634"/>
        <item x="725"/>
        <item x="758"/>
        <item x="418"/>
        <item x="59"/>
        <item x="994"/>
        <item x="74"/>
        <item x="211"/>
        <item x="659"/>
        <item x="169"/>
        <item x="621"/>
        <item x="1137"/>
        <item x="671"/>
        <item x="513"/>
        <item x="876"/>
        <item x="378"/>
        <item x="655"/>
        <item x="168"/>
        <item x="938"/>
        <item x="1068"/>
        <item x="44"/>
        <item x="93"/>
        <item x="780"/>
        <item x="444"/>
        <item x="1129"/>
        <item x="508"/>
        <item x="730"/>
        <item x="195"/>
        <item x="60"/>
        <item x="669"/>
        <item x="31"/>
        <item x="798"/>
        <item x="719"/>
        <item x="216"/>
        <item x="190"/>
        <item x="434"/>
        <item x="208"/>
        <item x="953"/>
        <item x="67"/>
        <item x="115"/>
        <item x="521"/>
        <item x="262"/>
        <item x="828"/>
        <item x="389"/>
        <item x="750"/>
        <item t="default"/>
      </items>
    </pivotField>
    <pivotField showAll="0">
      <items count="5">
        <item x="0"/>
        <item x="2"/>
        <item x="3"/>
        <item x="1"/>
        <item t="default"/>
      </items>
    </pivotField>
    <pivotField showAll="0"/>
    <pivotField numFmtId="165" showAll="0"/>
    <pivotField numFmtId="165" showAll="0"/>
    <pivotField numFmtId="1" showAll="0"/>
    <pivotField showAll="0"/>
    <pivotField showAll="0"/>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
    <i>
      <x v="1"/>
    </i>
    <i>
      <x/>
    </i>
    <i>
      <x v="2"/>
    </i>
    <i t="grand">
      <x/>
    </i>
  </rowItems>
  <colItems count="1">
    <i/>
  </colItems>
  <dataFields count="1">
    <dataField name="Count of Product Category" fld="9"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B12C25-5C80-4A6C-8867-FE7FC7A936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C8" firstHeaderRow="1" firstDataRow="1" firstDataCol="1"/>
  <pivotFields count="15">
    <pivotField showAll="0"/>
    <pivotField numFmtId="164" showAll="0">
      <items count="1181">
        <item x="832"/>
        <item x="811"/>
        <item x="831"/>
        <item x="1136"/>
        <item x="1013"/>
        <item x="783"/>
        <item x="768"/>
        <item x="480"/>
        <item x="65"/>
        <item x="865"/>
        <item x="358"/>
        <item x="852"/>
        <item x="261"/>
        <item x="568"/>
        <item x="427"/>
        <item x="299"/>
        <item x="624"/>
        <item x="800"/>
        <item x="394"/>
        <item x="936"/>
        <item x="424"/>
        <item x="40"/>
        <item x="806"/>
        <item x="878"/>
        <item x="95"/>
        <item x="970"/>
        <item x="1113"/>
        <item x="6"/>
        <item x="591"/>
        <item x="836"/>
        <item x="311"/>
        <item x="33"/>
        <item x="656"/>
        <item x="129"/>
        <item x="1034"/>
        <item x="347"/>
        <item x="956"/>
        <item x="703"/>
        <item x="294"/>
        <item x="1112"/>
        <item x="47"/>
        <item x="964"/>
        <item x="665"/>
        <item x="704"/>
        <item x="853"/>
        <item x="872"/>
        <item x="925"/>
        <item x="265"/>
        <item x="747"/>
        <item x="781"/>
        <item x="1033"/>
        <item x="1051"/>
        <item x="230"/>
        <item x="654"/>
        <item x="1045"/>
        <item x="180"/>
        <item x="710"/>
        <item x="317"/>
        <item x="473"/>
        <item x="616"/>
        <item x="237"/>
        <item x="49"/>
        <item x="324"/>
        <item x="102"/>
        <item x="598"/>
        <item x="694"/>
        <item x="771"/>
        <item x="1083"/>
        <item x="556"/>
        <item x="273"/>
        <item x="438"/>
        <item x="1163"/>
        <item x="551"/>
        <item x="308"/>
        <item x="366"/>
        <item x="94"/>
        <item x="965"/>
        <item x="159"/>
        <item x="662"/>
        <item x="854"/>
        <item x="1107"/>
        <item x="525"/>
        <item x="545"/>
        <item x="912"/>
        <item x="198"/>
        <item x="364"/>
        <item x="1140"/>
        <item x="1052"/>
        <item x="776"/>
        <item x="814"/>
        <item x="321"/>
        <item x="1041"/>
        <item x="1058"/>
        <item x="660"/>
        <item x="774"/>
        <item x="1085"/>
        <item x="558"/>
        <item x="839"/>
        <item x="782"/>
        <item x="204"/>
        <item x="790"/>
        <item x="645"/>
        <item x="769"/>
        <item x="199"/>
        <item x="894"/>
        <item x="51"/>
        <item x="375"/>
        <item x="677"/>
        <item x="617"/>
        <item x="1098"/>
        <item x="834"/>
        <item x="731"/>
        <item x="1151"/>
        <item x="368"/>
        <item x="231"/>
        <item x="614"/>
        <item x="479"/>
        <item x="422"/>
        <item x="157"/>
        <item x="963"/>
        <item x="15"/>
        <item x="108"/>
        <item x="552"/>
        <item x="652"/>
        <item x="278"/>
        <item x="181"/>
        <item x="563"/>
        <item x="441"/>
        <item x="560"/>
        <item x="1062"/>
        <item x="503"/>
        <item x="371"/>
        <item x="860"/>
        <item x="684"/>
        <item x="494"/>
        <item x="30"/>
        <item x="286"/>
        <item x="701"/>
        <item x="770"/>
        <item x="509"/>
        <item x="138"/>
        <item x="881"/>
        <item x="451"/>
        <item x="580"/>
        <item x="631"/>
        <item x="565"/>
        <item x="192"/>
        <item x="54"/>
        <item x="571"/>
        <item x="1073"/>
        <item x="722"/>
        <item x="205"/>
        <item x="902"/>
        <item x="79"/>
        <item x="1164"/>
        <item x="243"/>
        <item x="105"/>
        <item x="372"/>
        <item x="28"/>
        <item x="981"/>
        <item x="1145"/>
        <item x="928"/>
        <item x="847"/>
        <item x="1007"/>
        <item x="443"/>
        <item x="795"/>
        <item x="863"/>
        <item x="799"/>
        <item x="1147"/>
        <item x="699"/>
        <item x="679"/>
        <item x="685"/>
        <item x="490"/>
        <item x="518"/>
        <item x="464"/>
        <item x="802"/>
        <item x="561"/>
        <item x="1019"/>
        <item x="98"/>
        <item x="1040"/>
        <item x="267"/>
        <item x="461"/>
        <item x="78"/>
        <item x="128"/>
        <item x="954"/>
        <item x="1132"/>
        <item x="961"/>
        <item x="539"/>
        <item x="914"/>
        <item x="605"/>
        <item x="412"/>
        <item x="463"/>
        <item x="773"/>
        <item x="759"/>
        <item x="171"/>
        <item x="968"/>
        <item x="414"/>
        <item x="408"/>
        <item x="336"/>
        <item x="66"/>
        <item x="63"/>
        <item x="1128"/>
        <item x="797"/>
        <item x="313"/>
        <item x="751"/>
        <item x="285"/>
        <item x="927"/>
        <item x="445"/>
        <item x="574"/>
        <item x="104"/>
        <item x="365"/>
        <item x="57"/>
        <item x="360"/>
        <item x="648"/>
        <item x="1038"/>
        <item x="826"/>
        <item x="1176"/>
        <item x="625"/>
        <item x="328"/>
        <item x="469"/>
        <item x="431"/>
        <item x="459"/>
        <item x="931"/>
        <item x="46"/>
        <item x="118"/>
        <item x="944"/>
        <item x="856"/>
        <item x="1109"/>
        <item x="1127"/>
        <item x="636"/>
        <item x="850"/>
        <item x="791"/>
        <item x="941"/>
        <item x="763"/>
        <item x="36"/>
        <item x="1123"/>
        <item x="519"/>
        <item x="137"/>
        <item x="681"/>
        <item x="542"/>
        <item x="555"/>
        <item x="24"/>
        <item x="658"/>
        <item x="984"/>
        <item x="1076"/>
        <item x="191"/>
        <item x="734"/>
        <item x="456"/>
        <item x="255"/>
        <item x="592"/>
        <item x="379"/>
        <item x="1080"/>
        <item x="623"/>
        <item x="415"/>
        <item x="493"/>
        <item x="738"/>
        <item x="84"/>
        <item x="228"/>
        <item x="1069"/>
        <item x="761"/>
        <item x="433"/>
        <item x="295"/>
        <item x="718"/>
        <item x="596"/>
        <item x="203"/>
        <item x="345"/>
        <item x="284"/>
        <item x="45"/>
        <item x="241"/>
        <item x="608"/>
        <item x="246"/>
        <item x="999"/>
        <item x="1161"/>
        <item x="960"/>
        <item x="821"/>
        <item x="354"/>
        <item x="48"/>
        <item x="1173"/>
        <item x="25"/>
        <item x="801"/>
        <item x="695"/>
        <item x="871"/>
        <item x="1117"/>
        <item x="1066"/>
        <item x="353"/>
        <item x="683"/>
        <item x="111"/>
        <item x="980"/>
        <item x="566"/>
        <item x="107"/>
        <item x="447"/>
        <item x="179"/>
        <item x="874"/>
        <item x="2"/>
        <item x="151"/>
        <item x="760"/>
        <item x="538"/>
        <item x="306"/>
        <item x="1171"/>
        <item x="1018"/>
        <item x="7"/>
        <item x="240"/>
        <item x="713"/>
        <item x="329"/>
        <item x="207"/>
        <item x="5"/>
        <item x="1159"/>
        <item x="1047"/>
        <item x="253"/>
        <item x="200"/>
        <item x="254"/>
        <item x="1131"/>
        <item x="487"/>
        <item x="140"/>
        <item x="607"/>
        <item x="640"/>
        <item x="1071"/>
        <item x="1005"/>
        <item x="976"/>
        <item x="651"/>
        <item x="919"/>
        <item x="106"/>
        <item x="907"/>
        <item x="846"/>
        <item x="932"/>
        <item x="1054"/>
        <item x="998"/>
        <item x="727"/>
        <item x="512"/>
        <item x="618"/>
        <item x="391"/>
        <item x="628"/>
        <item x="676"/>
        <item x="362"/>
        <item x="312"/>
        <item x="266"/>
        <item x="130"/>
        <item x="930"/>
        <item x="916"/>
        <item x="164"/>
        <item x="279"/>
        <item x="735"/>
        <item x="969"/>
        <item x="996"/>
        <item x="861"/>
        <item x="1143"/>
        <item x="924"/>
        <item x="390"/>
        <item x="910"/>
        <item x="1119"/>
        <item x="290"/>
        <item x="1082"/>
        <item x="484"/>
        <item x="692"/>
        <item x="314"/>
        <item x="724"/>
        <item x="343"/>
        <item x="213"/>
        <item x="611"/>
        <item x="909"/>
        <item x="1060"/>
        <item x="455"/>
        <item x="440"/>
        <item x="374"/>
        <item x="511"/>
        <item x="983"/>
        <item x="409"/>
        <item x="929"/>
        <item x="1067"/>
        <item x="242"/>
        <item x="917"/>
        <item x="870"/>
        <item x="1130"/>
        <item x="815"/>
        <item x="945"/>
        <item x="736"/>
        <item x="301"/>
        <item x="166"/>
        <item x="1012"/>
        <item x="892"/>
        <item x="1057"/>
        <item x="1160"/>
        <item x="523"/>
        <item x="382"/>
        <item x="113"/>
        <item x="1177"/>
        <item x="419"/>
        <item x="296"/>
        <item x="1146"/>
        <item x="864"/>
        <item x="1150"/>
        <item x="879"/>
        <item x="642"/>
        <item x="70"/>
        <item x="752"/>
        <item x="949"/>
        <item x="194"/>
        <item x="824"/>
        <item x="578"/>
        <item x="506"/>
        <item x="466"/>
        <item x="272"/>
        <item x="356"/>
        <item x="920"/>
        <item x="1120"/>
        <item x="1165"/>
        <item x="453"/>
        <item x="468"/>
        <item x="276"/>
        <item x="822"/>
        <item x="633"/>
        <item x="1152"/>
        <item x="1053"/>
        <item x="467"/>
        <item x="569"/>
        <item x="369"/>
        <item x="476"/>
        <item x="1139"/>
        <item x="349"/>
        <item x="101"/>
        <item x="786"/>
        <item x="1042"/>
        <item x="547"/>
        <item x="765"/>
        <item x="594"/>
        <item x="841"/>
        <item x="392"/>
        <item x="1011"/>
        <item x="995"/>
        <item x="470"/>
        <item x="150"/>
        <item x="702"/>
        <item x="972"/>
        <item x="462"/>
        <item x="657"/>
        <item x="215"/>
        <item x="757"/>
        <item x="260"/>
        <item x="339"/>
        <item x="541"/>
        <item x="572"/>
        <item x="842"/>
        <item x="1089"/>
        <item x="947"/>
        <item x="196"/>
        <item x="1002"/>
        <item x="1144"/>
        <item x="647"/>
        <item x="126"/>
        <item x="537"/>
        <item x="833"/>
        <item x="471"/>
        <item x="500"/>
        <item x="946"/>
        <item x="146"/>
        <item x="966"/>
        <item x="189"/>
        <item x="132"/>
        <item x="27"/>
        <item x="160"/>
        <item x="263"/>
        <item x="403"/>
        <item x="488"/>
        <item x="672"/>
        <item x="224"/>
        <item x="35"/>
        <item x="869"/>
        <item x="489"/>
        <item x="395"/>
        <item x="143"/>
        <item x="923"/>
        <item x="650"/>
        <item x="55"/>
        <item x="85"/>
        <item x="708"/>
        <item x="942"/>
        <item x="38"/>
        <item x="304"/>
        <item x="297"/>
        <item x="586"/>
        <item x="627"/>
        <item x="234"/>
        <item x="167"/>
        <item x="641"/>
        <item x="217"/>
        <item x="56"/>
        <item x="125"/>
        <item x="1079"/>
        <item x="220"/>
        <item x="227"/>
        <item x="707"/>
        <item x="1025"/>
        <item x="90"/>
        <item x="1167"/>
        <item x="425"/>
        <item x="510"/>
        <item x="201"/>
        <item x="363"/>
        <item x="715"/>
        <item x="529"/>
        <item x="989"/>
        <item x="705"/>
        <item x="131"/>
        <item x="310"/>
        <item x="913"/>
        <item x="21"/>
        <item x="1010"/>
        <item x="10"/>
        <item x="14"/>
        <item x="348"/>
        <item x="875"/>
        <item x="789"/>
        <item x="58"/>
        <item x="559"/>
        <item x="423"/>
        <item x="753"/>
        <item x="606"/>
        <item x="971"/>
        <item x="393"/>
        <item x="1103"/>
        <item x="397"/>
        <item x="281"/>
        <item x="112"/>
        <item x="326"/>
        <item x="275"/>
        <item x="82"/>
        <item x="635"/>
        <item x="384"/>
        <item x="250"/>
        <item x="149"/>
        <item x="178"/>
        <item x="42"/>
        <item x="546"/>
        <item x="926"/>
        <item x="937"/>
        <item x="68"/>
        <item x="121"/>
        <item x="550"/>
        <item x="413"/>
        <item x="153"/>
        <item x="398"/>
        <item x="993"/>
        <item x="1094"/>
        <item x="210"/>
        <item x="967"/>
        <item x="117"/>
        <item x="615"/>
        <item x="729"/>
        <item x="120"/>
        <item x="259"/>
        <item x="399"/>
        <item x="110"/>
        <item x="898"/>
        <item x="997"/>
        <item x="638"/>
        <item x="882"/>
        <item x="330"/>
        <item x="862"/>
        <item x="576"/>
        <item x="1024"/>
        <item x="454"/>
        <item x="696"/>
        <item x="577"/>
        <item x="1017"/>
        <item x="307"/>
        <item x="71"/>
        <item x="749"/>
        <item x="92"/>
        <item x="495"/>
        <item x="16"/>
        <item x="1175"/>
        <item x="89"/>
        <item x="570"/>
        <item x="775"/>
        <item x="507"/>
        <item x="380"/>
        <item x="188"/>
        <item x="600"/>
        <item x="888"/>
        <item x="1121"/>
        <item x="400"/>
        <item x="1142"/>
        <item x="820"/>
        <item x="239"/>
        <item x="13"/>
        <item x="1092"/>
        <item x="908"/>
        <item x="515"/>
        <item x="502"/>
        <item x="225"/>
        <item x="630"/>
        <item x="1048"/>
        <item x="17"/>
        <item x="901"/>
        <item x="481"/>
        <item x="359"/>
        <item x="741"/>
        <item x="1035"/>
        <item x="19"/>
        <item x="1178"/>
        <item x="748"/>
        <item x="1063"/>
        <item x="784"/>
        <item x="973"/>
        <item x="437"/>
        <item x="918"/>
        <item x="288"/>
        <item x="87"/>
        <item x="436"/>
        <item x="477"/>
        <item x="1158"/>
        <item x="522"/>
        <item x="1001"/>
        <item x="75"/>
        <item x="812"/>
        <item x="712"/>
        <item x="483"/>
        <item x="548"/>
        <item x="804"/>
        <item x="849"/>
        <item x="637"/>
        <item x="610"/>
        <item x="885"/>
        <item x="256"/>
        <item x="897"/>
        <item x="163"/>
        <item x="305"/>
        <item x="536"/>
        <item x="81"/>
        <item x="1166"/>
        <item x="612"/>
        <item x="817"/>
        <item x="258"/>
        <item x="1077"/>
        <item x="283"/>
        <item x="1006"/>
        <item x="1072"/>
        <item x="922"/>
        <item x="144"/>
        <item x="309"/>
        <item x="693"/>
        <item x="823"/>
        <item x="803"/>
        <item x="69"/>
        <item x="1061"/>
        <item x="331"/>
        <item x="39"/>
        <item x="428"/>
        <item x="264"/>
        <item x="1030"/>
        <item x="1162"/>
        <item x="1059"/>
        <item x="83"/>
        <item x="185"/>
        <item x="405"/>
        <item x="77"/>
        <item x="212"/>
        <item x="686"/>
        <item x="197"/>
        <item x="177"/>
        <item x="1049"/>
        <item x="819"/>
        <item x="767"/>
        <item x="323"/>
        <item x="939"/>
        <item x="50"/>
        <item x="355"/>
        <item x="449"/>
        <item x="1097"/>
        <item x="37"/>
        <item x="1155"/>
        <item x="147"/>
        <item x="209"/>
        <item x="73"/>
        <item x="796"/>
        <item x="526"/>
        <item x="543"/>
        <item x="573"/>
        <item x="1118"/>
        <item x="646"/>
        <item x="53"/>
        <item x="698"/>
        <item x="1099"/>
        <item x="170"/>
        <item x="582"/>
        <item x="895"/>
        <item x="884"/>
        <item x="988"/>
        <item x="357"/>
        <item x="407"/>
        <item x="247"/>
        <item x="29"/>
        <item x="653"/>
        <item x="280"/>
        <item x="1114"/>
        <item x="950"/>
        <item x="1104"/>
        <item x="673"/>
        <item x="553"/>
        <item x="430"/>
        <item x="632"/>
        <item x="557"/>
        <item x="119"/>
        <item x="232"/>
        <item x="1133"/>
        <item x="72"/>
        <item x="588"/>
        <item x="486"/>
        <item x="86"/>
        <item x="794"/>
        <item x="420"/>
        <item x="300"/>
        <item x="338"/>
        <item x="721"/>
        <item x="593"/>
        <item x="202"/>
        <item x="122"/>
        <item x="245"/>
        <item x="226"/>
        <item x="176"/>
        <item x="332"/>
        <item x="161"/>
        <item x="873"/>
        <item x="282"/>
        <item x="1087"/>
        <item x="293"/>
        <item x="1115"/>
        <item x="982"/>
        <item x="891"/>
        <item x="298"/>
        <item x="248"/>
        <item x="955"/>
        <item x="987"/>
        <item x="233"/>
        <item x="959"/>
        <item x="1174"/>
        <item x="663"/>
        <item x="377"/>
        <item x="533"/>
        <item x="187"/>
        <item x="1172"/>
        <item x="952"/>
        <item x="1116"/>
        <item x="962"/>
        <item x="755"/>
        <item x="127"/>
        <item x="935"/>
        <item x="249"/>
        <item x="342"/>
        <item x="1170"/>
        <item x="402"/>
        <item x="921"/>
        <item x="688"/>
        <item x="866"/>
        <item x="504"/>
        <item x="777"/>
        <item x="903"/>
        <item x="899"/>
        <item x="341"/>
        <item x="1154"/>
        <item x="222"/>
        <item x="340"/>
        <item x="843"/>
        <item x="1029"/>
        <item x="661"/>
        <item x="268"/>
        <item x="792"/>
        <item x="1081"/>
        <item x="595"/>
        <item x="12"/>
        <item x="1014"/>
        <item x="270"/>
        <item x="829"/>
        <item x="1149"/>
        <item x="277"/>
        <item x="567"/>
        <item x="109"/>
        <item x="450"/>
        <item x="103"/>
        <item x="1074"/>
        <item x="123"/>
        <item x="788"/>
        <item x="844"/>
        <item x="1141"/>
        <item x="1008"/>
        <item x="116"/>
        <item x="583"/>
        <item x="219"/>
        <item x="186"/>
        <item x="442"/>
        <item x="318"/>
        <item x="404"/>
        <item x="527"/>
        <item x="8"/>
        <item x="986"/>
        <item x="1135"/>
        <item x="643"/>
        <item x="991"/>
        <item x="859"/>
        <item x="613"/>
        <item x="43"/>
        <item x="1050"/>
        <item x="497"/>
        <item x="575"/>
        <item x="1095"/>
        <item x="544"/>
        <item x="61"/>
        <item x="351"/>
        <item x="350"/>
        <item x="64"/>
        <item x="977"/>
        <item x="564"/>
        <item x="690"/>
        <item x="992"/>
        <item x="1"/>
        <item x="319"/>
        <item x="1096"/>
        <item x="411"/>
        <item x="401"/>
        <item x="554"/>
        <item x="175"/>
        <item x="948"/>
        <item x="896"/>
        <item x="810"/>
        <item x="236"/>
        <item x="1037"/>
        <item x="141"/>
        <item x="152"/>
        <item x="1064"/>
        <item x="1032"/>
        <item x="1125"/>
        <item x="145"/>
        <item x="373"/>
        <item x="251"/>
        <item x="609"/>
        <item x="1039"/>
        <item x="367"/>
        <item x="1126"/>
        <item x="855"/>
        <item x="156"/>
        <item x="1026"/>
        <item x="535"/>
        <item x="1156"/>
        <item x="813"/>
        <item x="957"/>
        <item x="474"/>
        <item x="99"/>
        <item x="809"/>
        <item x="334"/>
        <item x="252"/>
        <item x="680"/>
        <item x="785"/>
        <item x="174"/>
        <item x="524"/>
        <item x="1075"/>
        <item x="183"/>
        <item x="716"/>
        <item x="482"/>
        <item x="499"/>
        <item x="516"/>
        <item x="182"/>
        <item x="446"/>
        <item x="439"/>
        <item x="934"/>
        <item x="1070"/>
        <item x="235"/>
        <item x="173"/>
        <item x="383"/>
        <item x="1004"/>
        <item x="886"/>
        <item x="333"/>
        <item x="291"/>
        <item x="3"/>
        <item x="744"/>
        <item x="498"/>
        <item x="114"/>
        <item x="1110"/>
        <item x="851"/>
        <item x="540"/>
        <item x="827"/>
        <item x="754"/>
        <item x="1015"/>
        <item x="714"/>
        <item x="1028"/>
        <item x="868"/>
        <item x="597"/>
        <item x="135"/>
        <item x="1169"/>
        <item x="458"/>
        <item x="793"/>
        <item x="911"/>
        <item x="238"/>
        <item x="664"/>
        <item x="587"/>
        <item x="816"/>
        <item x="720"/>
        <item x="32"/>
        <item x="975"/>
        <item x="417"/>
        <item x="1101"/>
        <item x="344"/>
        <item x="416"/>
        <item x="1157"/>
        <item x="335"/>
        <item x="691"/>
        <item x="410"/>
        <item x="682"/>
        <item x="1093"/>
        <item x="501"/>
        <item x="1031"/>
        <item x="1046"/>
        <item x="4"/>
        <item x="134"/>
        <item x="670"/>
        <item x="386"/>
        <item x="756"/>
        <item x="492"/>
        <item x="838"/>
        <item x="352"/>
        <item x="478"/>
        <item x="396"/>
        <item x="764"/>
        <item x="387"/>
        <item x="978"/>
        <item x="315"/>
        <item x="808"/>
        <item x="905"/>
        <item x="644"/>
        <item x="505"/>
        <item x="584"/>
        <item x="289"/>
        <item x="1100"/>
        <item x="837"/>
        <item x="728"/>
        <item x="958"/>
        <item x="221"/>
        <item x="1086"/>
        <item x="88"/>
        <item x="528"/>
        <item x="629"/>
        <item x="940"/>
        <item x="549"/>
        <item x="1179"/>
        <item x="1009"/>
        <item x="877"/>
        <item x="890"/>
        <item x="697"/>
        <item x="772"/>
        <item x="1056"/>
        <item x="154"/>
        <item x="62"/>
        <item x="20"/>
        <item x="649"/>
        <item x="906"/>
        <item x="1108"/>
        <item x="1111"/>
        <item x="52"/>
        <item x="1055"/>
        <item x="700"/>
        <item x="142"/>
        <item x="639"/>
        <item x="1138"/>
        <item x="1021"/>
        <item x="320"/>
        <item x="316"/>
        <item x="883"/>
        <item x="223"/>
        <item x="124"/>
        <item x="475"/>
        <item x="388"/>
        <item x="421"/>
        <item x="762"/>
        <item x="91"/>
        <item x="1078"/>
        <item x="740"/>
        <item x="974"/>
        <item x="244"/>
        <item x="0"/>
        <item x="429"/>
        <item x="292"/>
        <item x="604"/>
        <item x="807"/>
        <item x="943"/>
        <item x="818"/>
        <item x="739"/>
        <item x="766"/>
        <item x="1023"/>
        <item x="857"/>
        <item x="1148"/>
        <item x="229"/>
        <item x="858"/>
        <item x="1091"/>
        <item x="1044"/>
        <item x="136"/>
        <item x="805"/>
        <item x="787"/>
        <item x="184"/>
        <item x="520"/>
        <item x="835"/>
        <item x="1102"/>
        <item x="385"/>
        <item x="517"/>
        <item x="448"/>
        <item x="985"/>
        <item x="723"/>
        <item x="41"/>
        <item x="22"/>
        <item x="100"/>
        <item x="1122"/>
        <item x="585"/>
        <item x="1124"/>
        <item x="601"/>
        <item x="915"/>
        <item x="732"/>
        <item x="711"/>
        <item x="165"/>
        <item x="214"/>
        <item x="325"/>
        <item x="979"/>
        <item x="34"/>
        <item x="687"/>
        <item x="485"/>
        <item x="889"/>
        <item x="668"/>
        <item x="158"/>
        <item x="531"/>
        <item x="1084"/>
        <item x="830"/>
        <item x="599"/>
        <item x="602"/>
        <item x="951"/>
        <item x="589"/>
        <item x="1105"/>
        <item x="726"/>
        <item x="534"/>
        <item x="139"/>
        <item x="1065"/>
        <item x="381"/>
        <item x="432"/>
        <item x="472"/>
        <item x="904"/>
        <item x="1022"/>
        <item x="848"/>
        <item x="709"/>
        <item x="1000"/>
        <item x="990"/>
        <item x="579"/>
        <item x="603"/>
        <item x="733"/>
        <item x="1134"/>
        <item x="1106"/>
        <item x="1043"/>
        <item x="887"/>
        <item x="322"/>
        <item x="302"/>
        <item x="9"/>
        <item x="845"/>
        <item x="880"/>
        <item x="465"/>
        <item x="530"/>
        <item x="193"/>
        <item x="1090"/>
        <item x="532"/>
        <item x="96"/>
        <item x="257"/>
        <item x="491"/>
        <item x="1027"/>
        <item x="675"/>
        <item x="426"/>
        <item x="97"/>
        <item x="1003"/>
        <item x="18"/>
        <item x="667"/>
        <item x="1168"/>
        <item x="1036"/>
        <item x="626"/>
        <item x="689"/>
        <item x="893"/>
        <item x="674"/>
        <item x="706"/>
        <item x="23"/>
        <item x="80"/>
        <item x="287"/>
        <item x="206"/>
        <item x="271"/>
        <item x="745"/>
        <item x="622"/>
        <item x="376"/>
        <item x="346"/>
        <item x="1016"/>
        <item x="435"/>
        <item x="370"/>
        <item x="619"/>
        <item x="742"/>
        <item x="269"/>
        <item x="218"/>
        <item x="743"/>
        <item x="514"/>
        <item x="1088"/>
        <item x="76"/>
        <item x="457"/>
        <item x="737"/>
        <item x="361"/>
        <item x="933"/>
        <item x="1153"/>
        <item x="406"/>
        <item x="148"/>
        <item x="581"/>
        <item x="900"/>
        <item x="620"/>
        <item x="666"/>
        <item x="779"/>
        <item x="840"/>
        <item x="303"/>
        <item x="11"/>
        <item x="746"/>
        <item x="717"/>
        <item x="460"/>
        <item x="274"/>
        <item x="452"/>
        <item x="1020"/>
        <item x="562"/>
        <item x="496"/>
        <item x="867"/>
        <item x="172"/>
        <item x="778"/>
        <item x="825"/>
        <item x="337"/>
        <item x="327"/>
        <item x="678"/>
        <item x="162"/>
        <item x="26"/>
        <item x="133"/>
        <item x="590"/>
        <item x="155"/>
        <item x="634"/>
        <item x="725"/>
        <item x="758"/>
        <item x="418"/>
        <item x="59"/>
        <item x="994"/>
        <item x="74"/>
        <item x="211"/>
        <item x="659"/>
        <item x="169"/>
        <item x="621"/>
        <item x="1137"/>
        <item x="671"/>
        <item x="513"/>
        <item x="876"/>
        <item x="378"/>
        <item x="655"/>
        <item x="168"/>
        <item x="938"/>
        <item x="1068"/>
        <item x="44"/>
        <item x="93"/>
        <item x="780"/>
        <item x="444"/>
        <item x="1129"/>
        <item x="508"/>
        <item x="730"/>
        <item x="195"/>
        <item x="60"/>
        <item x="669"/>
        <item x="31"/>
        <item x="798"/>
        <item x="719"/>
        <item x="216"/>
        <item x="190"/>
        <item x="434"/>
        <item x="208"/>
        <item x="953"/>
        <item x="67"/>
        <item x="115"/>
        <item x="521"/>
        <item x="262"/>
        <item x="828"/>
        <item x="389"/>
        <item x="75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dataField="1" numFmtId="165" showAll="0">
      <items count="1997">
        <item x="928"/>
        <item x="708"/>
        <item x="414"/>
        <item x="760"/>
        <item x="624"/>
        <item x="518"/>
        <item x="1713"/>
        <item x="771"/>
        <item x="1272"/>
        <item x="143"/>
        <item x="1032"/>
        <item x="675"/>
        <item x="1860"/>
        <item x="990"/>
        <item x="1393"/>
        <item x="508"/>
        <item x="696"/>
        <item x="184"/>
        <item x="614"/>
        <item x="1765"/>
        <item x="712"/>
        <item x="64"/>
        <item x="1142"/>
        <item x="1970"/>
        <item x="1486"/>
        <item x="41"/>
        <item x="1534"/>
        <item x="795"/>
        <item x="846"/>
        <item x="1228"/>
        <item x="753"/>
        <item x="1200"/>
        <item x="1595"/>
        <item x="1422"/>
        <item x="523"/>
        <item x="766"/>
        <item x="1277"/>
        <item x="1837"/>
        <item x="1302"/>
        <item x="1672"/>
        <item x="861"/>
        <item x="1943"/>
        <item x="230"/>
        <item x="1440"/>
        <item x="793"/>
        <item x="1158"/>
        <item x="338"/>
        <item x="867"/>
        <item x="1475"/>
        <item x="1653"/>
        <item x="1008"/>
        <item x="769"/>
        <item x="881"/>
        <item x="1396"/>
        <item x="812"/>
        <item x="1338"/>
        <item x="811"/>
        <item x="487"/>
        <item x="1529"/>
        <item x="349"/>
        <item x="1412"/>
        <item x="109"/>
        <item x="34"/>
        <item x="1071"/>
        <item x="743"/>
        <item x="257"/>
        <item x="136"/>
        <item x="1374"/>
        <item x="40"/>
        <item x="782"/>
        <item x="716"/>
        <item x="49"/>
        <item x="865"/>
        <item x="745"/>
        <item x="1735"/>
        <item x="163"/>
        <item x="190"/>
        <item x="683"/>
        <item x="605"/>
        <item x="1675"/>
        <item x="1199"/>
        <item x="441"/>
        <item x="1552"/>
        <item x="1964"/>
        <item x="117"/>
        <item x="1981"/>
        <item x="978"/>
        <item x="955"/>
        <item x="478"/>
        <item x="659"/>
        <item x="1249"/>
        <item x="702"/>
        <item x="1441"/>
        <item x="43"/>
        <item x="599"/>
        <item x="1992"/>
        <item x="1004"/>
        <item x="415"/>
        <item x="1880"/>
        <item x="938"/>
        <item x="482"/>
        <item x="672"/>
        <item x="352"/>
        <item x="1945"/>
        <item x="1356"/>
        <item x="1503"/>
        <item x="1463"/>
        <item x="1934"/>
        <item x="970"/>
        <item x="1736"/>
        <item x="1827"/>
        <item x="603"/>
        <item x="1131"/>
        <item x="1599"/>
        <item x="1409"/>
        <item x="767"/>
        <item x="1598"/>
        <item x="369"/>
        <item x="1902"/>
        <item x="1280"/>
        <item x="1178"/>
        <item x="1878"/>
        <item x="835"/>
        <item x="403"/>
        <item x="1649"/>
        <item x="1407"/>
        <item x="1415"/>
        <item x="264"/>
        <item x="650"/>
        <item x="442"/>
        <item x="870"/>
        <item x="100"/>
        <item x="1075"/>
        <item x="746"/>
        <item x="70"/>
        <item x="1763"/>
        <item x="1059"/>
        <item x="11"/>
        <item x="729"/>
        <item x="1082"/>
        <item x="1558"/>
        <item x="397"/>
        <item x="1002"/>
        <item x="1100"/>
        <item x="39"/>
        <item x="762"/>
        <item x="1843"/>
        <item x="1195"/>
        <item x="1011"/>
        <item x="140"/>
        <item x="1392"/>
        <item x="1205"/>
        <item x="169"/>
        <item x="693"/>
        <item x="819"/>
        <item x="585"/>
        <item x="212"/>
        <item x="587"/>
        <item x="1532"/>
        <item x="1214"/>
        <item x="995"/>
        <item x="426"/>
        <item x="37"/>
        <item x="984"/>
        <item x="1045"/>
        <item x="456"/>
        <item x="1371"/>
        <item x="1465"/>
        <item x="1601"/>
        <item x="33"/>
        <item x="1033"/>
        <item x="714"/>
        <item x="235"/>
        <item x="875"/>
        <item x="1644"/>
        <item x="1887"/>
        <item x="792"/>
        <item x="12"/>
        <item x="1316"/>
        <item x="1524"/>
        <item x="420"/>
        <item x="1876"/>
        <item x="1605"/>
        <item x="1987"/>
        <item x="1914"/>
        <item x="394"/>
        <item x="1473"/>
        <item x="1958"/>
        <item x="1804"/>
        <item x="1079"/>
        <item x="1097"/>
        <item x="327"/>
        <item x="828"/>
        <item x="695"/>
        <item x="1495"/>
        <item x="1634"/>
        <item x="1892"/>
        <item x="405"/>
        <item x="19"/>
        <item x="780"/>
        <item x="1361"/>
        <item x="354"/>
        <item x="1514"/>
        <item x="1833"/>
        <item x="1400"/>
        <item x="1069"/>
        <item x="690"/>
        <item x="1877"/>
        <item x="142"/>
        <item x="1922"/>
        <item x="144"/>
        <item x="1258"/>
        <item x="137"/>
        <item x="1443"/>
        <item x="591"/>
        <item x="569"/>
        <item x="1271"/>
        <item x="1589"/>
        <item x="944"/>
        <item x="1682"/>
        <item x="1113"/>
        <item x="1501"/>
        <item x="1111"/>
        <item x="1382"/>
        <item x="735"/>
        <item x="1276"/>
        <item x="607"/>
        <item x="111"/>
        <item x="127"/>
        <item x="772"/>
        <item x="840"/>
        <item x="579"/>
        <item x="1256"/>
        <item x="86"/>
        <item x="1798"/>
        <item x="700"/>
        <item x="626"/>
        <item x="615"/>
        <item x="1368"/>
        <item x="153"/>
        <item x="1629"/>
        <item x="1741"/>
        <item x="146"/>
        <item x="1547"/>
        <item x="1699"/>
        <item x="44"/>
        <item x="115"/>
        <item x="1094"/>
        <item x="553"/>
        <item x="359"/>
        <item x="427"/>
        <item x="1792"/>
        <item x="1662"/>
        <item x="237"/>
        <item x="747"/>
        <item x="873"/>
        <item x="611"/>
        <item x="567"/>
        <item x="1039"/>
        <item x="419"/>
        <item x="705"/>
        <item x="1977"/>
        <item x="1436"/>
        <item x="1085"/>
        <item x="555"/>
        <item x="958"/>
        <item x="242"/>
        <item x="778"/>
        <item x="406"/>
        <item x="1511"/>
        <item x="646"/>
        <item x="1985"/>
        <item x="1377"/>
        <item x="1052"/>
        <item x="1090"/>
        <item x="851"/>
        <item x="837"/>
        <item x="572"/>
        <item x="1545"/>
        <item x="1742"/>
        <item x="1132"/>
        <item x="1102"/>
        <item x="1248"/>
        <item x="1889"/>
        <item x="1093"/>
        <item x="919"/>
        <item x="952"/>
        <item x="424"/>
        <item x="773"/>
        <item x="1081"/>
        <item x="135"/>
        <item x="401"/>
        <item x="1068"/>
        <item x="561"/>
        <item x="436"/>
        <item x="945"/>
        <item x="936"/>
        <item x="1948"/>
        <item x="1022"/>
        <item x="648"/>
        <item x="1055"/>
        <item x="1123"/>
        <item x="1753"/>
        <item x="243"/>
        <item x="330"/>
        <item x="1352"/>
        <item x="1337"/>
        <item x="855"/>
        <item x="469"/>
        <item x="924"/>
        <item x="1562"/>
        <item x="331"/>
        <item x="1074"/>
        <item x="1064"/>
        <item x="1773"/>
        <item x="1811"/>
        <item x="1905"/>
        <item x="1986"/>
        <item x="951"/>
        <item x="821"/>
        <item x="1669"/>
        <item x="80"/>
        <item x="1211"/>
        <item x="637"/>
        <item x="1628"/>
        <item x="999"/>
        <item x="1369"/>
        <item x="1101"/>
        <item x="479"/>
        <item x="580"/>
        <item x="1411"/>
        <item x="1088"/>
        <item x="1279"/>
        <item x="640"/>
        <item x="277"/>
        <item x="905"/>
        <item x="506"/>
        <item x="1242"/>
        <item x="546"/>
        <item x="1345"/>
        <item x="1866"/>
        <item x="434"/>
        <item x="1219"/>
        <item x="1909"/>
        <item x="1309"/>
        <item x="268"/>
        <item x="1494"/>
        <item x="1299"/>
        <item x="1226"/>
        <item x="1284"/>
        <item x="1333"/>
        <item x="1320"/>
        <item x="1707"/>
        <item x="1282"/>
        <item x="1237"/>
        <item x="21"/>
        <item x="948"/>
        <item x="172"/>
        <item x="1000"/>
        <item x="88"/>
        <item x="1884"/>
        <item x="36"/>
        <item x="1322"/>
        <item x="899"/>
        <item x="649"/>
        <item x="1586"/>
        <item x="298"/>
        <item x="549"/>
        <item x="739"/>
        <item x="1782"/>
        <item x="1402"/>
        <item x="429"/>
        <item x="1617"/>
        <item x="1315"/>
        <item x="309"/>
        <item x="259"/>
        <item x="1557"/>
        <item x="781"/>
        <item x="677"/>
        <item x="481"/>
        <item x="1549"/>
        <item x="1446"/>
        <item x="452"/>
        <item x="1116"/>
        <item x="101"/>
        <item x="814"/>
        <item x="1196"/>
        <item x="1793"/>
        <item x="1030"/>
        <item x="618"/>
        <item x="610"/>
        <item x="78"/>
        <item x="954"/>
        <item x="5"/>
        <item x="1318"/>
        <item x="1188"/>
        <item x="985"/>
        <item x="1818"/>
        <item x="390"/>
        <item x="1378"/>
        <item x="564"/>
        <item x="337"/>
        <item x="513"/>
        <item x="1179"/>
        <item x="451"/>
        <item x="1564"/>
        <item x="1089"/>
        <item x="1748"/>
        <item x="138"/>
        <item x="187"/>
        <item x="1857"/>
        <item x="1327"/>
        <item x="841"/>
        <item x="1633"/>
        <item x="770"/>
        <item x="1362"/>
        <item x="1451"/>
        <item x="1623"/>
        <item x="1058"/>
        <item x="1363"/>
        <item x="325"/>
        <item x="291"/>
        <item x="1899"/>
        <item x="444"/>
        <item x="1358"/>
        <item x="219"/>
        <item x="290"/>
        <item x="158"/>
        <item x="1760"/>
        <item x="1955"/>
        <item x="1010"/>
        <item x="1329"/>
        <item x="9"/>
        <item x="253"/>
        <item x="838"/>
        <item x="1783"/>
        <item x="1464"/>
        <item x="979"/>
        <item x="1957"/>
        <item x="1260"/>
        <item x="1016"/>
        <item x="38"/>
        <item x="131"/>
        <item x="461"/>
        <item x="1048"/>
        <item x="297"/>
        <item x="299"/>
        <item x="749"/>
        <item x="392"/>
        <item x="209"/>
        <item x="577"/>
        <item x="1706"/>
        <item x="4"/>
        <item x="74"/>
        <item x="319"/>
        <item x="815"/>
        <item x="1731"/>
        <item x="1879"/>
        <item x="220"/>
        <item x="1603"/>
        <item x="906"/>
        <item x="308"/>
        <item x="845"/>
        <item x="462"/>
        <item x="947"/>
        <item x="1858"/>
        <item x="155"/>
        <item x="373"/>
        <item x="1114"/>
        <item x="1594"/>
        <item x="1241"/>
        <item x="961"/>
        <item x="849"/>
        <item x="27"/>
        <item x="1855"/>
        <item x="1947"/>
        <item x="684"/>
        <item x="929"/>
        <item x="1971"/>
        <item x="1183"/>
        <item x="421"/>
        <item x="633"/>
        <item x="1036"/>
        <item x="507"/>
        <item x="1676"/>
        <item x="829"/>
        <item x="310"/>
        <item x="198"/>
        <item x="1542"/>
        <item x="1512"/>
        <item x="1567"/>
        <item x="1078"/>
        <item x="1165"/>
        <item x="431"/>
        <item x="1920"/>
        <item x="344"/>
        <item x="764"/>
        <item x="1885"/>
        <item x="1349"/>
        <item x="1817"/>
        <item x="1035"/>
        <item x="574"/>
        <item x="758"/>
        <item x="455"/>
        <item x="1308"/>
        <item x="1863"/>
        <item x="1579"/>
        <item x="1546"/>
        <item x="933"/>
        <item x="1051"/>
        <item x="1416"/>
        <item x="1342"/>
        <item x="1770"/>
        <item x="937"/>
        <item x="289"/>
        <item x="946"/>
        <item x="686"/>
        <item x="31"/>
        <item x="1733"/>
        <item x="180"/>
        <item x="1454"/>
        <item x="1229"/>
        <item x="573"/>
        <item x="183"/>
        <item x="1839"/>
        <item x="953"/>
        <item x="1070"/>
        <item x="1432"/>
        <item x="1609"/>
        <item x="118"/>
        <item x="1216"/>
        <item x="371"/>
        <item x="1684"/>
        <item x="1724"/>
        <item x="1555"/>
        <item x="286"/>
        <item x="757"/>
        <item x="1619"/>
        <item x="682"/>
        <item x="670"/>
        <item x="685"/>
        <item x="621"/>
        <item x="59"/>
        <item x="1563"/>
        <item x="1949"/>
        <item x="54"/>
        <item x="971"/>
        <item x="902"/>
        <item x="1403"/>
        <item x="1184"/>
        <item x="1067"/>
        <item x="387"/>
        <item x="185"/>
        <item x="213"/>
        <item x="1283"/>
        <item x="1625"/>
        <item x="1734"/>
        <item x="484"/>
        <item x="681"/>
        <item x="720"/>
        <item x="1212"/>
        <item x="1210"/>
        <item x="177"/>
        <item x="759"/>
        <item x="1907"/>
        <item x="775"/>
        <item x="1809"/>
        <item x="1796"/>
        <item x="606"/>
        <item x="877"/>
        <item x="843"/>
        <item x="93"/>
        <item x="279"/>
        <item x="502"/>
        <item x="1166"/>
        <item x="1190"/>
        <item x="223"/>
        <item x="216"/>
        <item x="1386"/>
        <item x="157"/>
        <item x="1944"/>
        <item x="537"/>
        <item x="1508"/>
        <item x="898"/>
        <item x="430"/>
        <item x="1232"/>
        <item x="1520"/>
        <item x="14"/>
        <item x="1775"/>
        <item x="744"/>
        <item x="542"/>
        <item x="884"/>
        <item x="1498"/>
        <item x="796"/>
        <item x="750"/>
        <item x="453"/>
        <item x="595"/>
        <item x="1042"/>
        <item x="380"/>
        <item x="1435"/>
        <item x="409"/>
        <item x="1389"/>
        <item x="1324"/>
        <item x="328"/>
        <item x="67"/>
        <item x="1838"/>
        <item x="1297"/>
        <item x="1273"/>
        <item x="1898"/>
        <item x="104"/>
        <item x="545"/>
        <item x="1063"/>
        <item x="1904"/>
        <item x="1293"/>
        <item x="1714"/>
        <item x="1462"/>
        <item x="85"/>
        <item x="774"/>
        <item x="1109"/>
        <item x="1836"/>
        <item x="1290"/>
        <item x="1169"/>
        <item x="847"/>
        <item x="1230"/>
        <item x="1471"/>
        <item x="57"/>
        <item x="275"/>
        <item x="584"/>
        <item x="108"/>
        <item x="1536"/>
        <item x="306"/>
        <item x="1670"/>
        <item x="1641"/>
        <item x="593"/>
        <item x="1692"/>
        <item x="1449"/>
        <item x="128"/>
        <item x="1197"/>
        <item x="1832"/>
        <item x="1507"/>
        <item x="1533"/>
        <item x="255"/>
        <item x="1962"/>
        <item x="975"/>
        <item x="1112"/>
        <item x="1458"/>
        <item x="1017"/>
        <item x="1325"/>
        <item x="276"/>
        <item x="1925"/>
        <item x="1584"/>
        <item x="476"/>
        <item x="1703"/>
        <item x="1622"/>
        <item x="1761"/>
        <item x="801"/>
        <item x="171"/>
        <item x="836"/>
        <item x="1233"/>
        <item x="485"/>
        <item x="196"/>
        <item x="1828"/>
        <item x="602"/>
        <item x="240"/>
        <item x="493"/>
        <item x="1859"/>
        <item x="1360"/>
        <item x="994"/>
        <item x="1492"/>
        <item x="314"/>
        <item x="1311"/>
        <item x="808"/>
        <item x="925"/>
        <item x="1385"/>
        <item x="224"/>
        <item x="1060"/>
        <item x="544"/>
        <item x="89"/>
        <item x="1238"/>
        <item x="1979"/>
        <item x="1597"/>
        <item x="1513"/>
        <item x="263"/>
        <item x="989"/>
        <item x="763"/>
        <item x="698"/>
        <item x="347"/>
        <item x="313"/>
        <item x="663"/>
        <item x="1275"/>
        <item x="1891"/>
        <item x="1937"/>
        <item x="1518"/>
        <item x="1769"/>
        <item x="1683"/>
        <item x="345"/>
        <item x="504"/>
        <item x="908"/>
        <item x="991"/>
        <item x="1155"/>
        <item x="1648"/>
        <item x="1222"/>
        <item x="1323"/>
        <item x="1482"/>
        <item x="1239"/>
        <item x="0"/>
        <item x="396"/>
        <item x="1043"/>
        <item x="383"/>
        <item x="353"/>
        <item x="909"/>
        <item x="1335"/>
        <item x="334"/>
        <item x="505"/>
        <item x="1150"/>
        <item x="539"/>
        <item x="1856"/>
        <item x="1331"/>
        <item x="1092"/>
        <item x="1739"/>
        <item x="1217"/>
        <item x="1854"/>
        <item x="1144"/>
        <item x="448"/>
        <item x="1301"/>
        <item x="449"/>
        <item x="370"/>
        <item x="643"/>
        <item x="1343"/>
        <item x="1027"/>
        <item x="1181"/>
        <item x="1771"/>
        <item x="956"/>
        <item x="51"/>
        <item x="1255"/>
        <item x="1404"/>
        <item x="860"/>
        <item x="930"/>
        <item x="367"/>
        <item x="872"/>
        <item x="66"/>
        <item x="807"/>
        <item x="1602"/>
        <item x="339"/>
        <item x="106"/>
        <item x="1334"/>
        <item x="1376"/>
        <item x="1933"/>
        <item x="1330"/>
        <item x="1897"/>
        <item x="885"/>
        <item x="1565"/>
        <item x="1901"/>
        <item x="221"/>
        <item x="742"/>
        <item x="55"/>
        <item x="62"/>
        <item x="1530"/>
        <item x="803"/>
        <item x="1864"/>
        <item x="1620"/>
        <item x="1395"/>
        <item x="832"/>
        <item x="1186"/>
        <item x="1379"/>
        <item x="1170"/>
        <item x="435"/>
        <item x="410"/>
        <item x="1083"/>
        <item x="1104"/>
        <item x="1588"/>
        <item x="1061"/>
        <item x="207"/>
        <item x="1057"/>
        <item x="1716"/>
        <item x="883"/>
        <item x="888"/>
        <item x="274"/>
        <item x="1747"/>
        <item x="1332"/>
        <item x="1025"/>
        <item x="335"/>
        <item x="217"/>
        <item x="903"/>
        <item x="1825"/>
        <item x="1497"/>
        <item x="983"/>
        <item x="1429"/>
        <item x="1339"/>
        <item x="1359"/>
        <item x="1185"/>
        <item x="1460"/>
        <item x="604"/>
        <item x="1873"/>
        <item x="534"/>
        <item x="612"/>
        <item x="1119"/>
        <item x="218"/>
        <item x="329"/>
        <item x="1663"/>
        <item x="1917"/>
        <item x="1551"/>
        <item x="473"/>
        <item x="703"/>
        <item x="1704"/>
        <item x="386"/>
        <item x="583"/>
        <item x="53"/>
        <item x="366"/>
        <item x="416"/>
        <item x="1218"/>
        <item x="1305"/>
        <item x="1956"/>
        <item x="1559"/>
        <item x="121"/>
        <item x="490"/>
        <item x="935"/>
        <item x="499"/>
        <item x="16"/>
        <item x="1434"/>
        <item x="723"/>
        <item x="1916"/>
        <item x="619"/>
        <item x="532"/>
        <item x="56"/>
        <item x="262"/>
        <item x="1466"/>
        <item x="752"/>
        <item x="159"/>
        <item x="1388"/>
        <item x="374"/>
        <item x="46"/>
        <item x="114"/>
        <item x="741"/>
        <item x="311"/>
        <item x="1574"/>
        <item x="30"/>
        <item x="98"/>
        <item x="1929"/>
        <item x="1611"/>
        <item x="635"/>
        <item x="798"/>
        <item x="122"/>
        <item x="571"/>
        <item x="957"/>
        <item x="768"/>
        <item x="116"/>
        <item x="699"/>
        <item x="1537"/>
        <item x="1868"/>
        <item x="287"/>
        <item x="1206"/>
        <item x="1341"/>
        <item x="981"/>
        <item x="522"/>
        <item x="859"/>
        <item x="907"/>
        <item x="805"/>
        <item x="1678"/>
        <item x="1172"/>
        <item x="1496"/>
        <item x="150"/>
        <item x="1448"/>
        <item x="613"/>
        <item x="1381"/>
        <item x="1154"/>
        <item x="411"/>
        <item x="1695"/>
        <item x="1523"/>
        <item x="717"/>
        <item x="182"/>
        <item x="551"/>
        <item x="222"/>
        <item x="1023"/>
        <item x="1227"/>
        <item x="939"/>
        <item x="535"/>
        <item x="1585"/>
        <item x="258"/>
        <item x="1757"/>
        <item x="514"/>
        <item x="1387"/>
        <item x="1372"/>
        <item x="657"/>
        <item x="1893"/>
        <item x="1729"/>
        <item x="1384"/>
        <item x="84"/>
        <item x="1175"/>
        <item x="1764"/>
        <item x="550"/>
        <item x="1718"/>
        <item x="1540"/>
        <item x="1413"/>
        <item x="697"/>
        <item x="1990"/>
        <item x="1149"/>
        <item x="270"/>
        <item x="272"/>
        <item x="786"/>
        <item x="1306"/>
        <item x="734"/>
        <item x="1049"/>
        <item x="1203"/>
        <item x="1405"/>
        <item x="211"/>
        <item x="1469"/>
        <item x="1815"/>
        <item x="850"/>
        <item x="1610"/>
        <item x="630"/>
        <item x="1726"/>
        <item x="1583"/>
        <item x="333"/>
        <item x="1698"/>
        <item x="540"/>
        <item x="1791"/>
        <item x="215"/>
        <item x="667"/>
        <item x="689"/>
        <item x="228"/>
        <item x="1823"/>
        <item x="1304"/>
        <item x="653"/>
        <item x="1527"/>
        <item x="510"/>
        <item x="1821"/>
        <item x="412"/>
        <item x="869"/>
        <item x="133"/>
        <item x="494"/>
        <item x="787"/>
        <item x="332"/>
        <item x="1194"/>
        <item x="1654"/>
        <item x="350"/>
        <item x="1881"/>
        <item x="1447"/>
        <item x="728"/>
        <item x="1072"/>
        <item x="732"/>
        <item x="694"/>
        <item x="871"/>
        <item x="463"/>
        <item x="23"/>
        <item x="8"/>
        <item x="1137"/>
        <item x="1298"/>
        <item x="1607"/>
        <item x="661"/>
        <item x="655"/>
        <item x="1193"/>
        <item x="509"/>
        <item x="879"/>
        <item x="1918"/>
        <item x="141"/>
        <item x="1168"/>
        <item x="1509"/>
        <item x="1776"/>
        <item x="1576"/>
        <item x="1431"/>
        <item x="360"/>
        <item x="91"/>
        <item x="1009"/>
        <item x="149"/>
        <item x="1835"/>
        <item x="1191"/>
        <item x="825"/>
        <item x="1130"/>
        <item x="408"/>
        <item x="560"/>
        <item x="1626"/>
        <item x="628"/>
        <item x="854"/>
        <item x="755"/>
        <item x="1696"/>
        <item x="647"/>
        <item x="1401"/>
        <item x="282"/>
        <item x="96"/>
        <item x="395"/>
        <item x="464"/>
        <item x="896"/>
        <item x="1096"/>
        <item x="1490"/>
        <item x="69"/>
        <item x="1966"/>
        <item x="52"/>
        <item x="833"/>
        <item x="1870"/>
        <item x="1923"/>
        <item x="652"/>
        <item x="1031"/>
        <item x="1480"/>
        <item x="761"/>
        <item x="77"/>
        <item x="1251"/>
        <item x="1444"/>
        <item x="1122"/>
        <item x="736"/>
        <item x="1938"/>
        <item x="1710"/>
        <item x="512"/>
        <item x="168"/>
        <item x="914"/>
        <item x="466"/>
        <item x="393"/>
        <item x="1569"/>
        <item x="1910"/>
        <item x="124"/>
        <item x="1984"/>
        <item x="962"/>
        <item x="1851"/>
        <item x="1160"/>
        <item x="318"/>
        <item x="794"/>
        <item x="993"/>
        <item x="65"/>
        <item x="1468"/>
        <item x="160"/>
        <item x="233"/>
        <item x="1198"/>
        <item x="1026"/>
        <item x="1834"/>
        <item x="1777"/>
        <item x="1164"/>
        <item x="1975"/>
        <item x="1265"/>
        <item x="1995"/>
        <item x="1751"/>
        <item x="379"/>
        <item x="1553"/>
        <item x="533"/>
        <item x="15"/>
        <item x="1708"/>
        <item x="1988"/>
        <item x="437"/>
        <item x="934"/>
        <item x="238"/>
        <item x="1660"/>
        <item x="203"/>
        <item x="1259"/>
        <item x="471"/>
        <item x="87"/>
        <item x="940"/>
        <item x="1730"/>
        <item x="910"/>
        <item x="831"/>
        <item x="751"/>
        <item x="1157"/>
        <item x="1313"/>
        <item x="102"/>
        <item x="1728"/>
        <item x="1951"/>
        <item x="754"/>
        <item x="1842"/>
        <item x="32"/>
        <item x="120"/>
        <item x="710"/>
        <item x="1578"/>
        <item x="804"/>
        <item x="1912"/>
        <item x="1291"/>
        <item x="1976"/>
        <item x="1913"/>
        <item x="1425"/>
        <item x="1939"/>
        <item x="501"/>
        <item x="1269"/>
        <item x="988"/>
        <item x="1867"/>
        <item x="1689"/>
        <item x="1224"/>
        <item x="173"/>
        <item x="1814"/>
        <item x="917"/>
        <item x="1177"/>
        <item x="1162"/>
        <item x="1681"/>
        <item x="151"/>
        <item x="1890"/>
        <item x="1288"/>
        <item x="622"/>
        <item x="827"/>
        <item x="1044"/>
        <item x="965"/>
        <item x="192"/>
        <item x="83"/>
        <item x="112"/>
        <item x="1767"/>
        <item x="713"/>
        <item x="422"/>
        <item x="433"/>
        <item x="1483"/>
        <item x="1296"/>
        <item x="669"/>
        <item x="252"/>
        <item x="1041"/>
        <item x="1677"/>
        <item x="1779"/>
        <item x="486"/>
        <item x="1845"/>
        <item x="1344"/>
        <item x="200"/>
        <item x="1693"/>
        <item x="882"/>
        <item x="1161"/>
        <item x="1268"/>
        <item x="912"/>
        <item x="231"/>
        <item x="280"/>
        <item x="205"/>
        <item x="1236"/>
        <item x="641"/>
        <item x="528"/>
        <item x="1357"/>
        <item x="737"/>
        <item x="721"/>
        <item x="1106"/>
        <item x="265"/>
        <item x="1456"/>
        <item x="1243"/>
        <item x="1110"/>
        <item x="1307"/>
        <item x="1903"/>
        <item x="1799"/>
        <item x="110"/>
        <item x="1138"/>
        <item x="1430"/>
        <item x="1370"/>
        <item x="119"/>
        <item x="1935"/>
        <item x="1875"/>
        <item x="10"/>
        <item x="271"/>
        <item x="1274"/>
        <item x="1606"/>
        <item x="1954"/>
        <item x="1973"/>
        <item x="495"/>
        <item x="348"/>
        <item x="809"/>
        <item x="1795"/>
        <item x="210"/>
        <item x="1326"/>
        <item x="423"/>
        <item x="267"/>
        <item x="1812"/>
        <item x="1679"/>
        <item x="1223"/>
        <item x="1592"/>
        <item x="1702"/>
        <item x="1717"/>
        <item x="596"/>
        <item x="443"/>
        <item x="1750"/>
        <item x="950"/>
        <item x="1590"/>
        <item x="1410"/>
        <item x="266"/>
        <item x="1146"/>
        <item x="1353"/>
        <item x="1652"/>
        <item x="554"/>
        <item x="1883"/>
        <item x="789"/>
        <item x="1472"/>
        <item x="1479"/>
        <item x="1354"/>
        <item x="857"/>
        <item x="1151"/>
        <item x="1961"/>
        <item x="895"/>
        <item x="666"/>
        <item x="295"/>
        <item x="525"/>
        <item x="1247"/>
        <item x="1263"/>
        <item x="1819"/>
        <item x="1364"/>
        <item x="1103"/>
        <item x="1639"/>
        <item x="1802"/>
        <item x="326"/>
        <item x="1034"/>
        <item x="1234"/>
        <item x="1287"/>
        <item x="1056"/>
        <item x="1254"/>
        <item x="1700"/>
        <item x="1861"/>
        <item x="1506"/>
        <item x="1007"/>
        <item x="134"/>
        <item x="1006"/>
        <item x="1548"/>
        <item x="283"/>
        <item x="966"/>
        <item x="227"/>
        <item x="886"/>
        <item x="1108"/>
        <item x="1872"/>
        <item x="1021"/>
        <item x="165"/>
        <item x="103"/>
        <item x="526"/>
        <item x="162"/>
        <item x="598"/>
        <item x="1470"/>
        <item x="1900"/>
        <item x="1543"/>
        <item x="1778"/>
        <item x="634"/>
        <item x="1355"/>
        <item x="891"/>
        <item x="1317"/>
        <item x="425"/>
        <item x="1560"/>
        <item x="1816"/>
        <item x="964"/>
        <item x="1743"/>
        <item x="1991"/>
        <item x="1685"/>
        <item x="1894"/>
        <item x="468"/>
        <item x="1785"/>
        <item x="1921"/>
        <item x="503"/>
        <item x="631"/>
        <item x="1980"/>
        <item x="13"/>
        <item x="6"/>
        <item x="1813"/>
        <item x="500"/>
        <item x="1808"/>
        <item x="1841"/>
        <item x="1438"/>
        <item x="167"/>
        <item x="1800"/>
        <item x="72"/>
        <item x="636"/>
        <item x="1134"/>
        <item x="1124"/>
        <item x="709"/>
        <item x="197"/>
        <item x="1215"/>
        <item x="1989"/>
        <item x="1848"/>
        <item x="779"/>
        <item x="407"/>
        <item x="1640"/>
        <item x="1510"/>
        <item x="1631"/>
        <item x="1427"/>
        <item x="974"/>
        <item x="915"/>
        <item x="676"/>
        <item x="1931"/>
        <item x="1208"/>
        <item x="932"/>
        <item x="1719"/>
        <item x="823"/>
        <item x="632"/>
        <item x="894"/>
        <item x="22"/>
        <item x="1087"/>
        <item x="552"/>
        <item x="582"/>
        <item x="942"/>
        <item x="901"/>
        <item x="156"/>
        <item x="1616"/>
        <item x="1143"/>
        <item x="1445"/>
        <item x="1852"/>
        <item x="1797"/>
        <item x="477"/>
        <item x="1003"/>
        <item x="90"/>
        <item x="1591"/>
        <item x="1577"/>
        <item x="323"/>
        <item x="1240"/>
        <item x="285"/>
        <item x="639"/>
        <item x="570"/>
        <item x="1754"/>
        <item x="1865"/>
        <item x="1098"/>
        <item x="1366"/>
        <item x="79"/>
        <item x="1978"/>
        <item x="191"/>
        <item x="1969"/>
        <item x="963"/>
        <item x="1303"/>
        <item x="687"/>
        <item x="343"/>
        <item x="1608"/>
        <item x="26"/>
        <item x="1066"/>
        <item x="651"/>
        <item x="864"/>
        <item x="402"/>
        <item x="1084"/>
        <item x="1711"/>
        <item x="1038"/>
        <item x="1580"/>
        <item x="97"/>
        <item x="589"/>
        <item x="1099"/>
        <item x="358"/>
        <item x="417"/>
        <item x="245"/>
        <item x="996"/>
        <item x="1351"/>
        <item x="863"/>
        <item x="897"/>
        <item x="1437"/>
        <item x="1019"/>
        <item x="725"/>
        <item x="336"/>
        <item x="1433"/>
        <item x="18"/>
        <item x="748"/>
        <item x="1145"/>
        <item x="1732"/>
        <item x="800"/>
        <item x="590"/>
        <item x="1721"/>
        <item x="1424"/>
        <item x="1457"/>
        <item x="1624"/>
        <item x="688"/>
        <item x="916"/>
        <item x="1128"/>
        <item x="71"/>
        <item x="558"/>
        <item x="399"/>
        <item x="1461"/>
        <item x="1201"/>
        <item x="887"/>
        <item x="1840"/>
        <item x="1846"/>
        <item x="147"/>
        <item x="1390"/>
        <item x="1267"/>
        <item x="1262"/>
        <item x="1647"/>
        <item x="1213"/>
        <item x="148"/>
        <item x="176"/>
        <item x="1380"/>
        <item x="1173"/>
        <item x="1701"/>
        <item x="943"/>
        <item x="1849"/>
        <item x="1426"/>
        <item x="1202"/>
        <item x="1924"/>
        <item x="357"/>
        <item x="1888"/>
        <item x="1550"/>
        <item x="3"/>
        <item x="1604"/>
        <item x="517"/>
        <item x="645"/>
        <item x="1187"/>
        <item x="288"/>
        <item x="1744"/>
        <item x="531"/>
        <item x="236"/>
        <item x="1257"/>
        <item x="1661"/>
        <item x="1281"/>
        <item x="1745"/>
        <item x="45"/>
        <item x="576"/>
        <item x="1047"/>
        <item x="381"/>
        <item x="566"/>
        <item x="1174"/>
        <item x="1556"/>
        <item x="1942"/>
        <item x="208"/>
        <item x="1926"/>
        <item x="627"/>
        <item x="284"/>
        <item x="1612"/>
        <item x="1504"/>
        <item x="1972"/>
        <item x="1515"/>
        <item x="949"/>
        <item x="201"/>
        <item x="247"/>
        <item x="1321"/>
        <item x="654"/>
        <item x="880"/>
        <item x="1643"/>
        <item x="968"/>
        <item x="202"/>
        <item x="706"/>
        <item x="1"/>
        <item x="1930"/>
        <item x="1673"/>
        <item x="756"/>
        <item x="1294"/>
        <item x="428"/>
        <item x="1391"/>
        <item x="1012"/>
        <item x="48"/>
        <item x="82"/>
        <item x="1801"/>
        <item x="68"/>
        <item x="733"/>
        <item x="1965"/>
        <item x="1738"/>
        <item x="73"/>
        <item x="1348"/>
        <item x="123"/>
        <item x="1784"/>
        <item x="1261"/>
        <item x="524"/>
        <item x="562"/>
        <item x="1250"/>
        <item x="731"/>
        <item x="1632"/>
        <item x="1207"/>
        <item x="926"/>
        <item x="378"/>
        <item x="107"/>
        <item x="170"/>
        <item x="1927"/>
        <item x="1126"/>
        <item x="307"/>
        <item x="92"/>
        <item x="853"/>
        <item x="658"/>
        <item x="483"/>
        <item x="164"/>
        <item x="356"/>
        <item x="1040"/>
        <item x="1645"/>
        <item x="129"/>
        <item x="1911"/>
        <item x="1013"/>
        <item x="1367"/>
        <item x="541"/>
        <item x="1167"/>
        <item x="668"/>
        <item x="1053"/>
        <item x="538"/>
        <item x="1347"/>
        <item x="726"/>
        <item x="856"/>
        <item x="788"/>
        <item x="1373"/>
        <item x="892"/>
        <item x="623"/>
        <item x="826"/>
        <item x="1244"/>
        <item x="47"/>
        <item x="491"/>
        <item x="1824"/>
        <item x="1517"/>
        <item x="204"/>
        <item x="1095"/>
        <item x="113"/>
        <item x="303"/>
        <item x="251"/>
        <item x="1491"/>
        <item x="324"/>
        <item x="1635"/>
        <item x="248"/>
        <item x="273"/>
        <item x="385"/>
        <item x="1054"/>
        <item x="644"/>
        <item x="1428"/>
        <item x="1691"/>
        <item x="1762"/>
        <item x="1896"/>
        <item x="1266"/>
        <item x="1766"/>
        <item x="2"/>
        <item x="868"/>
        <item x="496"/>
        <item x="900"/>
        <item x="625"/>
        <item x="1286"/>
        <item x="738"/>
        <item x="1050"/>
        <item x="516"/>
        <item x="81"/>
        <item x="1502"/>
        <item x="1752"/>
        <item x="1180"/>
        <item x="519"/>
        <item x="1638"/>
        <item x="1481"/>
        <item x="1474"/>
        <item x="918"/>
        <item x="1171"/>
        <item x="1117"/>
        <item x="1176"/>
        <item x="281"/>
        <item x="301"/>
        <item x="1694"/>
        <item x="1690"/>
        <item x="609"/>
        <item x="178"/>
        <item x="1001"/>
        <item x="1246"/>
        <item x="1593"/>
        <item x="1028"/>
        <item x="719"/>
        <item x="189"/>
        <item x="1687"/>
        <item x="1414"/>
        <item x="376"/>
        <item x="1844"/>
        <item x="1018"/>
        <item x="1720"/>
        <item x="1758"/>
        <item x="664"/>
        <item x="730"/>
        <item x="1406"/>
        <item x="977"/>
        <item x="234"/>
        <item x="1915"/>
        <item x="304"/>
        <item x="889"/>
        <item x="244"/>
        <item x="1953"/>
        <item x="316"/>
        <item x="388"/>
        <item x="820"/>
        <item x="246"/>
        <item x="1572"/>
        <item x="1336"/>
        <item x="1807"/>
        <item x="1015"/>
        <item x="1932"/>
        <item x="527"/>
        <item x="1484"/>
        <item x="1295"/>
        <item x="488"/>
        <item x="1952"/>
        <item x="1554"/>
        <item x="874"/>
        <item x="1636"/>
        <item x="581"/>
        <item x="1668"/>
        <item x="1091"/>
        <item x="616"/>
        <item x="890"/>
        <item x="790"/>
        <item x="1163"/>
        <item x="1493"/>
        <item x="1139"/>
        <item x="458"/>
        <item x="791"/>
        <item x="556"/>
        <item x="377"/>
        <item x="1671"/>
        <item x="992"/>
        <item x="475"/>
        <item x="459"/>
        <item x="1423"/>
        <item x="817"/>
        <item x="802"/>
        <item x="816"/>
        <item x="548"/>
        <item x="1774"/>
        <item x="1847"/>
        <item x="389"/>
        <item x="1788"/>
        <item x="642"/>
        <item x="923"/>
        <item x="671"/>
        <item x="920"/>
        <item x="1115"/>
        <item x="391"/>
        <item x="1582"/>
        <item x="1853"/>
        <item x="1350"/>
        <item x="665"/>
        <item x="600"/>
        <item x="1278"/>
        <item x="1541"/>
        <item x="1886"/>
        <item x="467"/>
        <item x="1080"/>
        <item x="1959"/>
        <item x="1568"/>
        <item x="1759"/>
        <item x="1686"/>
        <item x="1806"/>
        <item x="1133"/>
        <item x="340"/>
        <item x="24"/>
        <item x="1086"/>
        <item x="132"/>
        <item x="568"/>
        <item x="578"/>
        <item x="1526"/>
        <item x="1245"/>
        <item x="125"/>
        <item x="656"/>
        <item x="1182"/>
        <item x="813"/>
        <item x="1829"/>
        <item x="941"/>
        <item x="1505"/>
        <item x="858"/>
        <item x="806"/>
        <item x="1993"/>
        <item x="154"/>
        <item x="1340"/>
        <item x="1189"/>
        <item x="404"/>
        <item x="1014"/>
        <item x="1314"/>
        <item x="797"/>
        <item x="95"/>
        <item x="1521"/>
        <item x="1153"/>
        <item x="28"/>
        <item x="785"/>
        <item x="1127"/>
        <item x="1235"/>
        <item x="1459"/>
        <item x="1285"/>
        <item x="904"/>
        <item x="1919"/>
        <item x="839"/>
        <item x="1946"/>
        <item x="878"/>
        <item x="818"/>
        <item x="1525"/>
        <item x="1561"/>
        <item x="58"/>
        <item x="1646"/>
        <item x="1105"/>
        <item x="489"/>
        <item x="1615"/>
        <item x="1895"/>
        <item x="440"/>
        <item x="547"/>
        <item x="1192"/>
        <item x="1794"/>
        <item x="375"/>
        <item x="351"/>
        <item x="1740"/>
        <item x="536"/>
        <item x="1118"/>
        <item x="1642"/>
        <item x="1908"/>
        <item x="620"/>
        <item x="364"/>
        <item x="997"/>
        <item x="1936"/>
        <item x="361"/>
        <item x="1658"/>
        <item x="1974"/>
        <item x="1786"/>
        <item x="439"/>
        <item x="848"/>
        <item x="1869"/>
        <item x="166"/>
        <item x="35"/>
        <item x="810"/>
        <item x="1477"/>
        <item x="465"/>
        <item x="1772"/>
        <item x="1253"/>
        <item x="1499"/>
        <item x="278"/>
        <item x="834"/>
        <item x="1442"/>
        <item x="893"/>
        <item x="1528"/>
        <item x="704"/>
        <item x="976"/>
        <item x="186"/>
        <item x="1627"/>
        <item x="1723"/>
        <item x="1516"/>
        <item x="1963"/>
        <item x="586"/>
        <item x="980"/>
        <item x="261"/>
        <item x="1756"/>
        <item x="413"/>
        <item x="1408"/>
        <item x="1928"/>
        <item x="1650"/>
        <item x="300"/>
        <item x="1850"/>
        <item x="691"/>
        <item x="1121"/>
        <item x="1375"/>
        <item x="341"/>
        <item x="61"/>
        <item x="601"/>
        <item x="529"/>
        <item x="1659"/>
        <item x="460"/>
        <item x="674"/>
        <item x="296"/>
        <item x="1531"/>
        <item x="1328"/>
        <item x="498"/>
        <item x="830"/>
        <item x="457"/>
        <item x="1780"/>
        <item x="199"/>
        <item x="480"/>
        <item x="673"/>
        <item x="229"/>
        <item x="765"/>
        <item x="384"/>
        <item x="1476"/>
        <item x="543"/>
        <item x="617"/>
        <item x="559"/>
        <item x="594"/>
        <item x="530"/>
        <item x="145"/>
        <item x="206"/>
        <item x="60"/>
        <item x="250"/>
        <item x="1312"/>
        <item x="1651"/>
        <item x="876"/>
        <item x="1680"/>
        <item x="1994"/>
        <item x="1073"/>
        <item x="597"/>
        <item x="1417"/>
        <item x="844"/>
        <item x="515"/>
        <item x="382"/>
        <item x="921"/>
        <item x="1310"/>
        <item x="1826"/>
        <item x="1573"/>
        <item x="1062"/>
        <item x="1209"/>
        <item x="1500"/>
        <item x="822"/>
        <item x="1705"/>
        <item x="1455"/>
        <item x="1940"/>
        <item x="446"/>
        <item x="1618"/>
        <item x="320"/>
        <item x="241"/>
        <item x="293"/>
        <item x="1665"/>
        <item x="1147"/>
        <item x="294"/>
        <item x="260"/>
        <item x="1789"/>
        <item x="722"/>
        <item x="305"/>
        <item x="1419"/>
        <item x="1666"/>
        <item x="450"/>
        <item x="998"/>
        <item x="1587"/>
        <item x="959"/>
        <item x="660"/>
        <item x="239"/>
        <item x="1159"/>
        <item x="1805"/>
        <item x="1152"/>
        <item x="400"/>
        <item x="1655"/>
        <item x="130"/>
        <item x="1450"/>
        <item x="1674"/>
        <item x="362"/>
        <item x="1968"/>
        <item x="922"/>
        <item x="254"/>
        <item x="1664"/>
        <item x="680"/>
        <item x="1319"/>
        <item x="1781"/>
        <item x="1065"/>
        <item x="852"/>
        <item x="1289"/>
        <item x="1871"/>
        <item x="1129"/>
        <item x="724"/>
        <item x="63"/>
        <item x="1722"/>
        <item x="194"/>
        <item x="1737"/>
        <item x="312"/>
        <item x="470"/>
        <item x="1749"/>
        <item x="179"/>
        <item x="866"/>
        <item x="1398"/>
        <item x="1960"/>
        <item x="42"/>
        <item x="1571"/>
        <item x="25"/>
        <item x="563"/>
        <item x="1148"/>
        <item x="711"/>
        <item x="497"/>
        <item x="315"/>
        <item x="1830"/>
        <item x="1346"/>
        <item x="1862"/>
        <item x="1882"/>
        <item x="1418"/>
        <item x="1046"/>
        <item x="662"/>
        <item x="973"/>
        <item x="592"/>
        <item x="188"/>
        <item x="1810"/>
        <item x="638"/>
        <item x="1140"/>
        <item x="679"/>
        <item x="701"/>
        <item x="1135"/>
        <item x="1120"/>
        <item x="1141"/>
        <item x="1575"/>
        <item x="256"/>
        <item x="50"/>
        <item x="225"/>
        <item x="1566"/>
        <item x="718"/>
        <item x="727"/>
        <item x="1715"/>
        <item x="1485"/>
        <item x="776"/>
        <item x="1204"/>
        <item x="139"/>
        <item x="1746"/>
        <item x="1613"/>
        <item x="565"/>
        <item x="1831"/>
        <item x="363"/>
        <item x="1983"/>
        <item x="418"/>
        <item x="1544"/>
        <item x="1822"/>
        <item x="1725"/>
        <item x="1906"/>
        <item x="557"/>
        <item x="17"/>
        <item x="1600"/>
        <item x="7"/>
        <item x="521"/>
        <item x="777"/>
        <item x="161"/>
        <item x="1596"/>
        <item x="1029"/>
        <item x="1489"/>
        <item x="629"/>
        <item x="588"/>
        <item x="1077"/>
        <item x="372"/>
        <item x="1688"/>
        <item x="317"/>
        <item x="740"/>
        <item x="1221"/>
        <item x="474"/>
        <item x="1614"/>
        <item x="1399"/>
        <item x="29"/>
        <item x="960"/>
        <item x="1581"/>
        <item x="302"/>
        <item x="1522"/>
        <item x="1820"/>
        <item x="1637"/>
        <item x="321"/>
        <item x="824"/>
        <item x="986"/>
        <item x="1570"/>
        <item x="1874"/>
        <item x="105"/>
        <item x="1755"/>
        <item x="692"/>
        <item x="1941"/>
        <item x="445"/>
        <item x="126"/>
        <item x="1967"/>
        <item x="398"/>
        <item x="575"/>
        <item x="432"/>
        <item x="1005"/>
        <item x="76"/>
        <item x="1365"/>
        <item x="1136"/>
        <item x="1803"/>
        <item x="1397"/>
        <item x="608"/>
        <item x="1539"/>
        <item x="1630"/>
        <item x="1621"/>
        <item x="226"/>
        <item x="1768"/>
        <item x="355"/>
        <item x="987"/>
        <item x="1037"/>
        <item x="20"/>
        <item x="927"/>
        <item x="678"/>
        <item x="520"/>
        <item x="99"/>
        <item x="269"/>
        <item x="1519"/>
        <item x="1712"/>
        <item x="1487"/>
        <item x="365"/>
        <item x="707"/>
        <item x="1076"/>
        <item x="982"/>
        <item x="175"/>
        <item x="972"/>
        <item x="438"/>
        <item x="1727"/>
        <item x="1656"/>
        <item x="1478"/>
        <item x="911"/>
        <item x="447"/>
        <item x="214"/>
        <item x="181"/>
        <item x="1488"/>
        <item x="1225"/>
        <item x="783"/>
        <item x="1657"/>
        <item x="715"/>
        <item x="1300"/>
        <item x="174"/>
        <item x="1220"/>
        <item x="1709"/>
        <item x="1125"/>
        <item x="232"/>
        <item x="1538"/>
        <item x="1452"/>
        <item x="75"/>
        <item x="1535"/>
        <item x="368"/>
        <item x="322"/>
        <item x="492"/>
        <item x="784"/>
        <item x="249"/>
        <item x="1383"/>
        <item x="969"/>
        <item x="1292"/>
        <item x="1453"/>
        <item x="292"/>
        <item x="94"/>
        <item x="967"/>
        <item x="454"/>
        <item x="1667"/>
        <item x="1790"/>
        <item x="1156"/>
        <item x="1020"/>
        <item x="152"/>
        <item x="1697"/>
        <item x="1024"/>
        <item x="1107"/>
        <item x="913"/>
        <item x="842"/>
        <item x="1394"/>
        <item x="1787"/>
        <item x="1467"/>
        <item x="1252"/>
        <item x="1270"/>
        <item x="1439"/>
        <item x="195"/>
        <item x="193"/>
        <item x="511"/>
        <item x="1264"/>
        <item x="862"/>
        <item x="1982"/>
        <item x="342"/>
        <item x="931"/>
        <item x="799"/>
        <item x="1231"/>
        <item x="1950"/>
        <item x="1420"/>
        <item x="472"/>
        <item x="346"/>
        <item x="1421"/>
        <item t="default"/>
      </items>
    </pivotField>
    <pivotField numFmtId="165" showAll="0"/>
    <pivotField numFmtId="1" showAll="0"/>
    <pivotField showAll="0"/>
    <pivotField showAll="0"/>
    <pivotField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v="1"/>
    </i>
    <i>
      <x/>
    </i>
    <i>
      <x v="2"/>
    </i>
    <i>
      <x v="3"/>
    </i>
    <i t="grand">
      <x/>
    </i>
  </rowItems>
  <colItems count="1">
    <i/>
  </colItems>
  <dataFields count="1">
    <dataField name="Sum of Sales Amount" fld="4" baseField="0" baseItem="0" numFmtId="165"/>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D0764-C4BF-43EC-AB0B-45BD1DB4D3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9" firstHeaderRow="1" firstDataRow="1" firstDataCol="1"/>
  <pivotFields count="15">
    <pivotField showAll="0"/>
    <pivotField numFmtId="164" showAll="0">
      <items count="1181">
        <item x="832"/>
        <item x="811"/>
        <item x="831"/>
        <item x="1136"/>
        <item x="1013"/>
        <item x="783"/>
        <item x="768"/>
        <item x="480"/>
        <item x="65"/>
        <item x="865"/>
        <item x="358"/>
        <item x="852"/>
        <item x="261"/>
        <item x="568"/>
        <item x="427"/>
        <item x="299"/>
        <item x="624"/>
        <item x="800"/>
        <item x="394"/>
        <item x="936"/>
        <item x="424"/>
        <item x="40"/>
        <item x="806"/>
        <item x="878"/>
        <item x="95"/>
        <item x="970"/>
        <item x="1113"/>
        <item x="6"/>
        <item x="591"/>
        <item x="836"/>
        <item x="311"/>
        <item x="33"/>
        <item x="656"/>
        <item x="129"/>
        <item x="1034"/>
        <item x="347"/>
        <item x="956"/>
        <item x="703"/>
        <item x="294"/>
        <item x="1112"/>
        <item x="47"/>
        <item x="964"/>
        <item x="665"/>
        <item x="704"/>
        <item x="853"/>
        <item x="872"/>
        <item x="925"/>
        <item x="265"/>
        <item x="747"/>
        <item x="781"/>
        <item x="1033"/>
        <item x="1051"/>
        <item x="230"/>
        <item x="654"/>
        <item x="1045"/>
        <item x="180"/>
        <item x="710"/>
        <item x="317"/>
        <item x="473"/>
        <item x="616"/>
        <item x="237"/>
        <item x="49"/>
        <item x="324"/>
        <item x="102"/>
        <item x="598"/>
        <item x="694"/>
        <item x="771"/>
        <item x="1083"/>
        <item x="556"/>
        <item x="273"/>
        <item x="438"/>
        <item x="1163"/>
        <item x="551"/>
        <item x="308"/>
        <item x="366"/>
        <item x="94"/>
        <item x="965"/>
        <item x="159"/>
        <item x="662"/>
        <item x="854"/>
        <item x="1107"/>
        <item x="525"/>
        <item x="545"/>
        <item x="912"/>
        <item x="198"/>
        <item x="364"/>
        <item x="1140"/>
        <item x="1052"/>
        <item x="776"/>
        <item x="814"/>
        <item x="321"/>
        <item x="1041"/>
        <item x="1058"/>
        <item x="660"/>
        <item x="774"/>
        <item x="1085"/>
        <item x="558"/>
        <item x="839"/>
        <item x="782"/>
        <item x="204"/>
        <item x="790"/>
        <item x="645"/>
        <item x="769"/>
        <item x="199"/>
        <item x="894"/>
        <item x="51"/>
        <item x="375"/>
        <item x="677"/>
        <item x="617"/>
        <item x="1098"/>
        <item x="834"/>
        <item x="731"/>
        <item x="1151"/>
        <item x="368"/>
        <item x="231"/>
        <item x="614"/>
        <item x="479"/>
        <item x="422"/>
        <item x="157"/>
        <item x="963"/>
        <item x="15"/>
        <item x="108"/>
        <item x="552"/>
        <item x="652"/>
        <item x="278"/>
        <item x="181"/>
        <item x="563"/>
        <item x="441"/>
        <item x="560"/>
        <item x="1062"/>
        <item x="503"/>
        <item x="371"/>
        <item x="860"/>
        <item x="684"/>
        <item x="494"/>
        <item x="30"/>
        <item x="286"/>
        <item x="701"/>
        <item x="770"/>
        <item x="509"/>
        <item x="138"/>
        <item x="881"/>
        <item x="451"/>
        <item x="580"/>
        <item x="631"/>
        <item x="565"/>
        <item x="192"/>
        <item x="54"/>
        <item x="571"/>
        <item x="1073"/>
        <item x="722"/>
        <item x="205"/>
        <item x="902"/>
        <item x="79"/>
        <item x="1164"/>
        <item x="243"/>
        <item x="105"/>
        <item x="372"/>
        <item x="28"/>
        <item x="981"/>
        <item x="1145"/>
        <item x="928"/>
        <item x="847"/>
        <item x="1007"/>
        <item x="443"/>
        <item x="795"/>
        <item x="863"/>
        <item x="799"/>
        <item x="1147"/>
        <item x="699"/>
        <item x="679"/>
        <item x="685"/>
        <item x="490"/>
        <item x="518"/>
        <item x="464"/>
        <item x="802"/>
        <item x="561"/>
        <item x="1019"/>
        <item x="98"/>
        <item x="1040"/>
        <item x="267"/>
        <item x="461"/>
        <item x="78"/>
        <item x="128"/>
        <item x="954"/>
        <item x="1132"/>
        <item x="961"/>
        <item x="539"/>
        <item x="914"/>
        <item x="605"/>
        <item x="412"/>
        <item x="463"/>
        <item x="773"/>
        <item x="759"/>
        <item x="171"/>
        <item x="968"/>
        <item x="414"/>
        <item x="408"/>
        <item x="336"/>
        <item x="66"/>
        <item x="63"/>
        <item x="1128"/>
        <item x="797"/>
        <item x="313"/>
        <item x="751"/>
        <item x="285"/>
        <item x="927"/>
        <item x="445"/>
        <item x="574"/>
        <item x="104"/>
        <item x="365"/>
        <item x="57"/>
        <item x="360"/>
        <item x="648"/>
        <item x="1038"/>
        <item x="826"/>
        <item x="1176"/>
        <item x="625"/>
        <item x="328"/>
        <item x="469"/>
        <item x="431"/>
        <item x="459"/>
        <item x="931"/>
        <item x="46"/>
        <item x="118"/>
        <item x="944"/>
        <item x="856"/>
        <item x="1109"/>
        <item x="1127"/>
        <item x="636"/>
        <item x="850"/>
        <item x="791"/>
        <item x="941"/>
        <item x="763"/>
        <item x="36"/>
        <item x="1123"/>
        <item x="519"/>
        <item x="137"/>
        <item x="681"/>
        <item x="542"/>
        <item x="555"/>
        <item x="24"/>
        <item x="658"/>
        <item x="984"/>
        <item x="1076"/>
        <item x="191"/>
        <item x="734"/>
        <item x="456"/>
        <item x="255"/>
        <item x="592"/>
        <item x="379"/>
        <item x="1080"/>
        <item x="623"/>
        <item x="415"/>
        <item x="493"/>
        <item x="738"/>
        <item x="84"/>
        <item x="228"/>
        <item x="1069"/>
        <item x="761"/>
        <item x="433"/>
        <item x="295"/>
        <item x="718"/>
        <item x="596"/>
        <item x="203"/>
        <item x="345"/>
        <item x="284"/>
        <item x="45"/>
        <item x="241"/>
        <item x="608"/>
        <item x="246"/>
        <item x="999"/>
        <item x="1161"/>
        <item x="960"/>
        <item x="821"/>
        <item x="354"/>
        <item x="48"/>
        <item x="1173"/>
        <item x="25"/>
        <item x="801"/>
        <item x="695"/>
        <item x="871"/>
        <item x="1117"/>
        <item x="1066"/>
        <item x="353"/>
        <item x="683"/>
        <item x="111"/>
        <item x="980"/>
        <item x="566"/>
        <item x="107"/>
        <item x="447"/>
        <item x="179"/>
        <item x="874"/>
        <item x="2"/>
        <item x="151"/>
        <item x="760"/>
        <item x="538"/>
        <item x="306"/>
        <item x="1171"/>
        <item x="1018"/>
        <item x="7"/>
        <item x="240"/>
        <item x="713"/>
        <item x="329"/>
        <item x="207"/>
        <item x="5"/>
        <item x="1159"/>
        <item x="1047"/>
        <item x="253"/>
        <item x="200"/>
        <item x="254"/>
        <item x="1131"/>
        <item x="487"/>
        <item x="140"/>
        <item x="607"/>
        <item x="640"/>
        <item x="1071"/>
        <item x="1005"/>
        <item x="976"/>
        <item x="651"/>
        <item x="919"/>
        <item x="106"/>
        <item x="907"/>
        <item x="846"/>
        <item x="932"/>
        <item x="1054"/>
        <item x="998"/>
        <item x="727"/>
        <item x="512"/>
        <item x="618"/>
        <item x="391"/>
        <item x="628"/>
        <item x="676"/>
        <item x="362"/>
        <item x="312"/>
        <item x="266"/>
        <item x="130"/>
        <item x="930"/>
        <item x="916"/>
        <item x="164"/>
        <item x="279"/>
        <item x="735"/>
        <item x="969"/>
        <item x="996"/>
        <item x="861"/>
        <item x="1143"/>
        <item x="924"/>
        <item x="390"/>
        <item x="910"/>
        <item x="1119"/>
        <item x="290"/>
        <item x="1082"/>
        <item x="484"/>
        <item x="692"/>
        <item x="314"/>
        <item x="724"/>
        <item x="343"/>
        <item x="213"/>
        <item x="611"/>
        <item x="909"/>
        <item x="1060"/>
        <item x="455"/>
        <item x="440"/>
        <item x="374"/>
        <item x="511"/>
        <item x="983"/>
        <item x="409"/>
        <item x="929"/>
        <item x="1067"/>
        <item x="242"/>
        <item x="917"/>
        <item x="870"/>
        <item x="1130"/>
        <item x="815"/>
        <item x="945"/>
        <item x="736"/>
        <item x="301"/>
        <item x="166"/>
        <item x="1012"/>
        <item x="892"/>
        <item x="1057"/>
        <item x="1160"/>
        <item x="523"/>
        <item x="382"/>
        <item x="113"/>
        <item x="1177"/>
        <item x="419"/>
        <item x="296"/>
        <item x="1146"/>
        <item x="864"/>
        <item x="1150"/>
        <item x="879"/>
        <item x="642"/>
        <item x="70"/>
        <item x="752"/>
        <item x="949"/>
        <item x="194"/>
        <item x="824"/>
        <item x="578"/>
        <item x="506"/>
        <item x="466"/>
        <item x="272"/>
        <item x="356"/>
        <item x="920"/>
        <item x="1120"/>
        <item x="1165"/>
        <item x="453"/>
        <item x="468"/>
        <item x="276"/>
        <item x="822"/>
        <item x="633"/>
        <item x="1152"/>
        <item x="1053"/>
        <item x="467"/>
        <item x="569"/>
        <item x="369"/>
        <item x="476"/>
        <item x="1139"/>
        <item x="349"/>
        <item x="101"/>
        <item x="786"/>
        <item x="1042"/>
        <item x="547"/>
        <item x="765"/>
        <item x="594"/>
        <item x="841"/>
        <item x="392"/>
        <item x="1011"/>
        <item x="995"/>
        <item x="470"/>
        <item x="150"/>
        <item x="702"/>
        <item x="972"/>
        <item x="462"/>
        <item x="657"/>
        <item x="215"/>
        <item x="757"/>
        <item x="260"/>
        <item x="339"/>
        <item x="541"/>
        <item x="572"/>
        <item x="842"/>
        <item x="1089"/>
        <item x="947"/>
        <item x="196"/>
        <item x="1002"/>
        <item x="1144"/>
        <item x="647"/>
        <item x="126"/>
        <item x="537"/>
        <item x="833"/>
        <item x="471"/>
        <item x="500"/>
        <item x="946"/>
        <item x="146"/>
        <item x="966"/>
        <item x="189"/>
        <item x="132"/>
        <item x="27"/>
        <item x="160"/>
        <item x="263"/>
        <item x="403"/>
        <item x="488"/>
        <item x="672"/>
        <item x="224"/>
        <item x="35"/>
        <item x="869"/>
        <item x="489"/>
        <item x="395"/>
        <item x="143"/>
        <item x="923"/>
        <item x="650"/>
        <item x="55"/>
        <item x="85"/>
        <item x="708"/>
        <item x="942"/>
        <item x="38"/>
        <item x="304"/>
        <item x="297"/>
        <item x="586"/>
        <item x="627"/>
        <item x="234"/>
        <item x="167"/>
        <item x="641"/>
        <item x="217"/>
        <item x="56"/>
        <item x="125"/>
        <item x="1079"/>
        <item x="220"/>
        <item x="227"/>
        <item x="707"/>
        <item x="1025"/>
        <item x="90"/>
        <item x="1167"/>
        <item x="425"/>
        <item x="510"/>
        <item x="201"/>
        <item x="363"/>
        <item x="715"/>
        <item x="529"/>
        <item x="989"/>
        <item x="705"/>
        <item x="131"/>
        <item x="310"/>
        <item x="913"/>
        <item x="21"/>
        <item x="1010"/>
        <item x="10"/>
        <item x="14"/>
        <item x="348"/>
        <item x="875"/>
        <item x="789"/>
        <item x="58"/>
        <item x="559"/>
        <item x="423"/>
        <item x="753"/>
        <item x="606"/>
        <item x="971"/>
        <item x="393"/>
        <item x="1103"/>
        <item x="397"/>
        <item x="281"/>
        <item x="112"/>
        <item x="326"/>
        <item x="275"/>
        <item x="82"/>
        <item x="635"/>
        <item x="384"/>
        <item x="250"/>
        <item x="149"/>
        <item x="178"/>
        <item x="42"/>
        <item x="546"/>
        <item x="926"/>
        <item x="937"/>
        <item x="68"/>
        <item x="121"/>
        <item x="550"/>
        <item x="413"/>
        <item x="153"/>
        <item x="398"/>
        <item x="993"/>
        <item x="1094"/>
        <item x="210"/>
        <item x="967"/>
        <item x="117"/>
        <item x="615"/>
        <item x="729"/>
        <item x="120"/>
        <item x="259"/>
        <item x="399"/>
        <item x="110"/>
        <item x="898"/>
        <item x="997"/>
        <item x="638"/>
        <item x="882"/>
        <item x="330"/>
        <item x="862"/>
        <item x="576"/>
        <item x="1024"/>
        <item x="454"/>
        <item x="696"/>
        <item x="577"/>
        <item x="1017"/>
        <item x="307"/>
        <item x="71"/>
        <item x="749"/>
        <item x="92"/>
        <item x="495"/>
        <item x="16"/>
        <item x="1175"/>
        <item x="89"/>
        <item x="570"/>
        <item x="775"/>
        <item x="507"/>
        <item x="380"/>
        <item x="188"/>
        <item x="600"/>
        <item x="888"/>
        <item x="1121"/>
        <item x="400"/>
        <item x="1142"/>
        <item x="820"/>
        <item x="239"/>
        <item x="13"/>
        <item x="1092"/>
        <item x="908"/>
        <item x="515"/>
        <item x="502"/>
        <item x="225"/>
        <item x="630"/>
        <item x="1048"/>
        <item x="17"/>
        <item x="901"/>
        <item x="481"/>
        <item x="359"/>
        <item x="741"/>
        <item x="1035"/>
        <item x="19"/>
        <item x="1178"/>
        <item x="748"/>
        <item x="1063"/>
        <item x="784"/>
        <item x="973"/>
        <item x="437"/>
        <item x="918"/>
        <item x="288"/>
        <item x="87"/>
        <item x="436"/>
        <item x="477"/>
        <item x="1158"/>
        <item x="522"/>
        <item x="1001"/>
        <item x="75"/>
        <item x="812"/>
        <item x="712"/>
        <item x="483"/>
        <item x="548"/>
        <item x="804"/>
        <item x="849"/>
        <item x="637"/>
        <item x="610"/>
        <item x="885"/>
        <item x="256"/>
        <item x="897"/>
        <item x="163"/>
        <item x="305"/>
        <item x="536"/>
        <item x="81"/>
        <item x="1166"/>
        <item x="612"/>
        <item x="817"/>
        <item x="258"/>
        <item x="1077"/>
        <item x="283"/>
        <item x="1006"/>
        <item x="1072"/>
        <item x="922"/>
        <item x="144"/>
        <item x="309"/>
        <item x="693"/>
        <item x="823"/>
        <item x="803"/>
        <item x="69"/>
        <item x="1061"/>
        <item x="331"/>
        <item x="39"/>
        <item x="428"/>
        <item x="264"/>
        <item x="1030"/>
        <item x="1162"/>
        <item x="1059"/>
        <item x="83"/>
        <item x="185"/>
        <item x="405"/>
        <item x="77"/>
        <item x="212"/>
        <item x="686"/>
        <item x="197"/>
        <item x="177"/>
        <item x="1049"/>
        <item x="819"/>
        <item x="767"/>
        <item x="323"/>
        <item x="939"/>
        <item x="50"/>
        <item x="355"/>
        <item x="449"/>
        <item x="1097"/>
        <item x="37"/>
        <item x="1155"/>
        <item x="147"/>
        <item x="209"/>
        <item x="73"/>
        <item x="796"/>
        <item x="526"/>
        <item x="543"/>
        <item x="573"/>
        <item x="1118"/>
        <item x="646"/>
        <item x="53"/>
        <item x="698"/>
        <item x="1099"/>
        <item x="170"/>
        <item x="582"/>
        <item x="895"/>
        <item x="884"/>
        <item x="988"/>
        <item x="357"/>
        <item x="407"/>
        <item x="247"/>
        <item x="29"/>
        <item x="653"/>
        <item x="280"/>
        <item x="1114"/>
        <item x="950"/>
        <item x="1104"/>
        <item x="673"/>
        <item x="553"/>
        <item x="430"/>
        <item x="632"/>
        <item x="557"/>
        <item x="119"/>
        <item x="232"/>
        <item x="1133"/>
        <item x="72"/>
        <item x="588"/>
        <item x="486"/>
        <item x="86"/>
        <item x="794"/>
        <item x="420"/>
        <item x="300"/>
        <item x="338"/>
        <item x="721"/>
        <item x="593"/>
        <item x="202"/>
        <item x="122"/>
        <item x="245"/>
        <item x="226"/>
        <item x="176"/>
        <item x="332"/>
        <item x="161"/>
        <item x="873"/>
        <item x="282"/>
        <item x="1087"/>
        <item x="293"/>
        <item x="1115"/>
        <item x="982"/>
        <item x="891"/>
        <item x="298"/>
        <item x="248"/>
        <item x="955"/>
        <item x="987"/>
        <item x="233"/>
        <item x="959"/>
        <item x="1174"/>
        <item x="663"/>
        <item x="377"/>
        <item x="533"/>
        <item x="187"/>
        <item x="1172"/>
        <item x="952"/>
        <item x="1116"/>
        <item x="962"/>
        <item x="755"/>
        <item x="127"/>
        <item x="935"/>
        <item x="249"/>
        <item x="342"/>
        <item x="1170"/>
        <item x="402"/>
        <item x="921"/>
        <item x="688"/>
        <item x="866"/>
        <item x="504"/>
        <item x="777"/>
        <item x="903"/>
        <item x="899"/>
        <item x="341"/>
        <item x="1154"/>
        <item x="222"/>
        <item x="340"/>
        <item x="843"/>
        <item x="1029"/>
        <item x="661"/>
        <item x="268"/>
        <item x="792"/>
        <item x="1081"/>
        <item x="595"/>
        <item x="12"/>
        <item x="1014"/>
        <item x="270"/>
        <item x="829"/>
        <item x="1149"/>
        <item x="277"/>
        <item x="567"/>
        <item x="109"/>
        <item x="450"/>
        <item x="103"/>
        <item x="1074"/>
        <item x="123"/>
        <item x="788"/>
        <item x="844"/>
        <item x="1141"/>
        <item x="1008"/>
        <item x="116"/>
        <item x="583"/>
        <item x="219"/>
        <item x="186"/>
        <item x="442"/>
        <item x="318"/>
        <item x="404"/>
        <item x="527"/>
        <item x="8"/>
        <item x="986"/>
        <item x="1135"/>
        <item x="643"/>
        <item x="991"/>
        <item x="859"/>
        <item x="613"/>
        <item x="43"/>
        <item x="1050"/>
        <item x="497"/>
        <item x="575"/>
        <item x="1095"/>
        <item x="544"/>
        <item x="61"/>
        <item x="351"/>
        <item x="350"/>
        <item x="64"/>
        <item x="977"/>
        <item x="564"/>
        <item x="690"/>
        <item x="992"/>
        <item x="1"/>
        <item x="319"/>
        <item x="1096"/>
        <item x="411"/>
        <item x="401"/>
        <item x="554"/>
        <item x="175"/>
        <item x="948"/>
        <item x="896"/>
        <item x="810"/>
        <item x="236"/>
        <item x="1037"/>
        <item x="141"/>
        <item x="152"/>
        <item x="1064"/>
        <item x="1032"/>
        <item x="1125"/>
        <item x="145"/>
        <item x="373"/>
        <item x="251"/>
        <item x="609"/>
        <item x="1039"/>
        <item x="367"/>
        <item x="1126"/>
        <item x="855"/>
        <item x="156"/>
        <item x="1026"/>
        <item x="535"/>
        <item x="1156"/>
        <item x="813"/>
        <item x="957"/>
        <item x="474"/>
        <item x="99"/>
        <item x="809"/>
        <item x="334"/>
        <item x="252"/>
        <item x="680"/>
        <item x="785"/>
        <item x="174"/>
        <item x="524"/>
        <item x="1075"/>
        <item x="183"/>
        <item x="716"/>
        <item x="482"/>
        <item x="499"/>
        <item x="516"/>
        <item x="182"/>
        <item x="446"/>
        <item x="439"/>
        <item x="934"/>
        <item x="1070"/>
        <item x="235"/>
        <item x="173"/>
        <item x="383"/>
        <item x="1004"/>
        <item x="886"/>
        <item x="333"/>
        <item x="291"/>
        <item x="3"/>
        <item x="744"/>
        <item x="498"/>
        <item x="114"/>
        <item x="1110"/>
        <item x="851"/>
        <item x="540"/>
        <item x="827"/>
        <item x="754"/>
        <item x="1015"/>
        <item x="714"/>
        <item x="1028"/>
        <item x="868"/>
        <item x="597"/>
        <item x="135"/>
        <item x="1169"/>
        <item x="458"/>
        <item x="793"/>
        <item x="911"/>
        <item x="238"/>
        <item x="664"/>
        <item x="587"/>
        <item x="816"/>
        <item x="720"/>
        <item x="32"/>
        <item x="975"/>
        <item x="417"/>
        <item x="1101"/>
        <item x="344"/>
        <item x="416"/>
        <item x="1157"/>
        <item x="335"/>
        <item x="691"/>
        <item x="410"/>
        <item x="682"/>
        <item x="1093"/>
        <item x="501"/>
        <item x="1031"/>
        <item x="1046"/>
        <item x="4"/>
        <item x="134"/>
        <item x="670"/>
        <item x="386"/>
        <item x="756"/>
        <item x="492"/>
        <item x="838"/>
        <item x="352"/>
        <item x="478"/>
        <item x="396"/>
        <item x="764"/>
        <item x="387"/>
        <item x="978"/>
        <item x="315"/>
        <item x="808"/>
        <item x="905"/>
        <item x="644"/>
        <item x="505"/>
        <item x="584"/>
        <item x="289"/>
        <item x="1100"/>
        <item x="837"/>
        <item x="728"/>
        <item x="958"/>
        <item x="221"/>
        <item x="1086"/>
        <item x="88"/>
        <item x="528"/>
        <item x="629"/>
        <item x="940"/>
        <item x="549"/>
        <item x="1179"/>
        <item x="1009"/>
        <item x="877"/>
        <item x="890"/>
        <item x="697"/>
        <item x="772"/>
        <item x="1056"/>
        <item x="154"/>
        <item x="62"/>
        <item x="20"/>
        <item x="649"/>
        <item x="906"/>
        <item x="1108"/>
        <item x="1111"/>
        <item x="52"/>
        <item x="1055"/>
        <item x="700"/>
        <item x="142"/>
        <item x="639"/>
        <item x="1138"/>
        <item x="1021"/>
        <item x="320"/>
        <item x="316"/>
        <item x="883"/>
        <item x="223"/>
        <item x="124"/>
        <item x="475"/>
        <item x="388"/>
        <item x="421"/>
        <item x="762"/>
        <item x="91"/>
        <item x="1078"/>
        <item x="740"/>
        <item x="974"/>
        <item x="244"/>
        <item x="0"/>
        <item x="429"/>
        <item x="292"/>
        <item x="604"/>
        <item x="807"/>
        <item x="943"/>
        <item x="818"/>
        <item x="739"/>
        <item x="766"/>
        <item x="1023"/>
        <item x="857"/>
        <item x="1148"/>
        <item x="229"/>
        <item x="858"/>
        <item x="1091"/>
        <item x="1044"/>
        <item x="136"/>
        <item x="805"/>
        <item x="787"/>
        <item x="184"/>
        <item x="520"/>
        <item x="835"/>
        <item x="1102"/>
        <item x="385"/>
        <item x="517"/>
        <item x="448"/>
        <item x="985"/>
        <item x="723"/>
        <item x="41"/>
        <item x="22"/>
        <item x="100"/>
        <item x="1122"/>
        <item x="585"/>
        <item x="1124"/>
        <item x="601"/>
        <item x="915"/>
        <item x="732"/>
        <item x="711"/>
        <item x="165"/>
        <item x="214"/>
        <item x="325"/>
        <item x="979"/>
        <item x="34"/>
        <item x="687"/>
        <item x="485"/>
        <item x="889"/>
        <item x="668"/>
        <item x="158"/>
        <item x="531"/>
        <item x="1084"/>
        <item x="830"/>
        <item x="599"/>
        <item x="602"/>
        <item x="951"/>
        <item x="589"/>
        <item x="1105"/>
        <item x="726"/>
        <item x="534"/>
        <item x="139"/>
        <item x="1065"/>
        <item x="381"/>
        <item x="432"/>
        <item x="472"/>
        <item x="904"/>
        <item x="1022"/>
        <item x="848"/>
        <item x="709"/>
        <item x="1000"/>
        <item x="990"/>
        <item x="579"/>
        <item x="603"/>
        <item x="733"/>
        <item x="1134"/>
        <item x="1106"/>
        <item x="1043"/>
        <item x="887"/>
        <item x="322"/>
        <item x="302"/>
        <item x="9"/>
        <item x="845"/>
        <item x="880"/>
        <item x="465"/>
        <item x="530"/>
        <item x="193"/>
        <item x="1090"/>
        <item x="532"/>
        <item x="96"/>
        <item x="257"/>
        <item x="491"/>
        <item x="1027"/>
        <item x="675"/>
        <item x="426"/>
        <item x="97"/>
        <item x="1003"/>
        <item x="18"/>
        <item x="667"/>
        <item x="1168"/>
        <item x="1036"/>
        <item x="626"/>
        <item x="689"/>
        <item x="893"/>
        <item x="674"/>
        <item x="706"/>
        <item x="23"/>
        <item x="80"/>
        <item x="287"/>
        <item x="206"/>
        <item x="271"/>
        <item x="745"/>
        <item x="622"/>
        <item x="376"/>
        <item x="346"/>
        <item x="1016"/>
        <item x="435"/>
        <item x="370"/>
        <item x="619"/>
        <item x="742"/>
        <item x="269"/>
        <item x="218"/>
        <item x="743"/>
        <item x="514"/>
        <item x="1088"/>
        <item x="76"/>
        <item x="457"/>
        <item x="737"/>
        <item x="361"/>
        <item x="933"/>
        <item x="1153"/>
        <item x="406"/>
        <item x="148"/>
        <item x="581"/>
        <item x="900"/>
        <item x="620"/>
        <item x="666"/>
        <item x="779"/>
        <item x="840"/>
        <item x="303"/>
        <item x="11"/>
        <item x="746"/>
        <item x="717"/>
        <item x="460"/>
        <item x="274"/>
        <item x="452"/>
        <item x="1020"/>
        <item x="562"/>
        <item x="496"/>
        <item x="867"/>
        <item x="172"/>
        <item x="778"/>
        <item x="825"/>
        <item x="337"/>
        <item x="327"/>
        <item x="678"/>
        <item x="162"/>
        <item x="26"/>
        <item x="133"/>
        <item x="590"/>
        <item x="155"/>
        <item x="634"/>
        <item x="725"/>
        <item x="758"/>
        <item x="418"/>
        <item x="59"/>
        <item x="994"/>
        <item x="74"/>
        <item x="211"/>
        <item x="659"/>
        <item x="169"/>
        <item x="621"/>
        <item x="1137"/>
        <item x="671"/>
        <item x="513"/>
        <item x="876"/>
        <item x="378"/>
        <item x="655"/>
        <item x="168"/>
        <item x="938"/>
        <item x="1068"/>
        <item x="44"/>
        <item x="93"/>
        <item x="780"/>
        <item x="444"/>
        <item x="1129"/>
        <item x="508"/>
        <item x="730"/>
        <item x="195"/>
        <item x="60"/>
        <item x="669"/>
        <item x="31"/>
        <item x="798"/>
        <item x="719"/>
        <item x="216"/>
        <item x="190"/>
        <item x="434"/>
        <item x="208"/>
        <item x="953"/>
        <item x="67"/>
        <item x="115"/>
        <item x="521"/>
        <item x="262"/>
        <item x="828"/>
        <item x="389"/>
        <item x="750"/>
        <item t="default"/>
      </items>
    </pivotField>
    <pivotField showAll="0">
      <items count="5">
        <item x="0"/>
        <item x="2"/>
        <item x="3"/>
        <item x="1"/>
        <item t="default"/>
      </items>
    </pivotField>
    <pivotField showAll="0"/>
    <pivotField dataField="1" numFmtId="165" showAll="0">
      <items count="1997">
        <item x="928"/>
        <item x="708"/>
        <item x="414"/>
        <item x="760"/>
        <item x="624"/>
        <item x="518"/>
        <item x="1713"/>
        <item x="771"/>
        <item x="1272"/>
        <item x="143"/>
        <item x="1032"/>
        <item x="675"/>
        <item x="1860"/>
        <item x="990"/>
        <item x="1393"/>
        <item x="508"/>
        <item x="696"/>
        <item x="184"/>
        <item x="614"/>
        <item x="1765"/>
        <item x="712"/>
        <item x="64"/>
        <item x="1142"/>
        <item x="1970"/>
        <item x="1486"/>
        <item x="41"/>
        <item x="1534"/>
        <item x="795"/>
        <item x="846"/>
        <item x="1228"/>
        <item x="753"/>
        <item x="1200"/>
        <item x="1595"/>
        <item x="1422"/>
        <item x="523"/>
        <item x="766"/>
        <item x="1277"/>
        <item x="1837"/>
        <item x="1302"/>
        <item x="1672"/>
        <item x="861"/>
        <item x="1943"/>
        <item x="230"/>
        <item x="1440"/>
        <item x="793"/>
        <item x="1158"/>
        <item x="338"/>
        <item x="867"/>
        <item x="1475"/>
        <item x="1653"/>
        <item x="1008"/>
        <item x="769"/>
        <item x="881"/>
        <item x="1396"/>
        <item x="812"/>
        <item x="1338"/>
        <item x="811"/>
        <item x="487"/>
        <item x="1529"/>
        <item x="349"/>
        <item x="1412"/>
        <item x="109"/>
        <item x="34"/>
        <item x="1071"/>
        <item x="743"/>
        <item x="257"/>
        <item x="136"/>
        <item x="1374"/>
        <item x="40"/>
        <item x="782"/>
        <item x="716"/>
        <item x="49"/>
        <item x="865"/>
        <item x="745"/>
        <item x="1735"/>
        <item x="163"/>
        <item x="190"/>
        <item x="683"/>
        <item x="605"/>
        <item x="1675"/>
        <item x="1199"/>
        <item x="441"/>
        <item x="1552"/>
        <item x="1964"/>
        <item x="117"/>
        <item x="1981"/>
        <item x="978"/>
        <item x="955"/>
        <item x="478"/>
        <item x="659"/>
        <item x="1249"/>
        <item x="702"/>
        <item x="1441"/>
        <item x="43"/>
        <item x="599"/>
        <item x="1992"/>
        <item x="1004"/>
        <item x="415"/>
        <item x="1880"/>
        <item x="938"/>
        <item x="482"/>
        <item x="672"/>
        <item x="352"/>
        <item x="1945"/>
        <item x="1356"/>
        <item x="1503"/>
        <item x="1463"/>
        <item x="1934"/>
        <item x="970"/>
        <item x="1736"/>
        <item x="1827"/>
        <item x="603"/>
        <item x="1131"/>
        <item x="1599"/>
        <item x="1409"/>
        <item x="767"/>
        <item x="1598"/>
        <item x="369"/>
        <item x="1902"/>
        <item x="1280"/>
        <item x="1178"/>
        <item x="1878"/>
        <item x="835"/>
        <item x="403"/>
        <item x="1649"/>
        <item x="1407"/>
        <item x="1415"/>
        <item x="264"/>
        <item x="650"/>
        <item x="442"/>
        <item x="870"/>
        <item x="100"/>
        <item x="1075"/>
        <item x="746"/>
        <item x="70"/>
        <item x="1763"/>
        <item x="1059"/>
        <item x="11"/>
        <item x="729"/>
        <item x="1082"/>
        <item x="1558"/>
        <item x="397"/>
        <item x="1002"/>
        <item x="1100"/>
        <item x="39"/>
        <item x="762"/>
        <item x="1843"/>
        <item x="1195"/>
        <item x="1011"/>
        <item x="140"/>
        <item x="1392"/>
        <item x="1205"/>
        <item x="169"/>
        <item x="693"/>
        <item x="819"/>
        <item x="585"/>
        <item x="212"/>
        <item x="587"/>
        <item x="1532"/>
        <item x="1214"/>
        <item x="995"/>
        <item x="426"/>
        <item x="37"/>
        <item x="984"/>
        <item x="1045"/>
        <item x="456"/>
        <item x="1371"/>
        <item x="1465"/>
        <item x="1601"/>
        <item x="33"/>
        <item x="1033"/>
        <item x="714"/>
        <item x="235"/>
        <item x="875"/>
        <item x="1644"/>
        <item x="1887"/>
        <item x="792"/>
        <item x="12"/>
        <item x="1316"/>
        <item x="1524"/>
        <item x="420"/>
        <item x="1876"/>
        <item x="1605"/>
        <item x="1987"/>
        <item x="1914"/>
        <item x="394"/>
        <item x="1473"/>
        <item x="1958"/>
        <item x="1804"/>
        <item x="1079"/>
        <item x="1097"/>
        <item x="327"/>
        <item x="828"/>
        <item x="695"/>
        <item x="1495"/>
        <item x="1634"/>
        <item x="1892"/>
        <item x="405"/>
        <item x="19"/>
        <item x="780"/>
        <item x="1361"/>
        <item x="354"/>
        <item x="1514"/>
        <item x="1833"/>
        <item x="1400"/>
        <item x="1069"/>
        <item x="690"/>
        <item x="1877"/>
        <item x="142"/>
        <item x="1922"/>
        <item x="144"/>
        <item x="1258"/>
        <item x="137"/>
        <item x="1443"/>
        <item x="591"/>
        <item x="569"/>
        <item x="1271"/>
        <item x="1589"/>
        <item x="944"/>
        <item x="1682"/>
        <item x="1113"/>
        <item x="1501"/>
        <item x="1111"/>
        <item x="1382"/>
        <item x="735"/>
        <item x="1276"/>
        <item x="607"/>
        <item x="111"/>
        <item x="127"/>
        <item x="772"/>
        <item x="840"/>
        <item x="579"/>
        <item x="1256"/>
        <item x="86"/>
        <item x="1798"/>
        <item x="700"/>
        <item x="626"/>
        <item x="615"/>
        <item x="1368"/>
        <item x="153"/>
        <item x="1629"/>
        <item x="1741"/>
        <item x="146"/>
        <item x="1547"/>
        <item x="1699"/>
        <item x="44"/>
        <item x="115"/>
        <item x="1094"/>
        <item x="553"/>
        <item x="359"/>
        <item x="427"/>
        <item x="1792"/>
        <item x="1662"/>
        <item x="237"/>
        <item x="747"/>
        <item x="873"/>
        <item x="611"/>
        <item x="567"/>
        <item x="1039"/>
        <item x="419"/>
        <item x="705"/>
        <item x="1977"/>
        <item x="1436"/>
        <item x="1085"/>
        <item x="555"/>
        <item x="958"/>
        <item x="242"/>
        <item x="778"/>
        <item x="406"/>
        <item x="1511"/>
        <item x="646"/>
        <item x="1985"/>
        <item x="1377"/>
        <item x="1052"/>
        <item x="1090"/>
        <item x="851"/>
        <item x="837"/>
        <item x="572"/>
        <item x="1545"/>
        <item x="1742"/>
        <item x="1132"/>
        <item x="1102"/>
        <item x="1248"/>
        <item x="1889"/>
        <item x="1093"/>
        <item x="919"/>
        <item x="952"/>
        <item x="424"/>
        <item x="773"/>
        <item x="1081"/>
        <item x="135"/>
        <item x="401"/>
        <item x="1068"/>
        <item x="561"/>
        <item x="436"/>
        <item x="945"/>
        <item x="936"/>
        <item x="1948"/>
        <item x="1022"/>
        <item x="648"/>
        <item x="1055"/>
        <item x="1123"/>
        <item x="1753"/>
        <item x="243"/>
        <item x="330"/>
        <item x="1352"/>
        <item x="1337"/>
        <item x="855"/>
        <item x="469"/>
        <item x="924"/>
        <item x="1562"/>
        <item x="331"/>
        <item x="1074"/>
        <item x="1064"/>
        <item x="1773"/>
        <item x="1811"/>
        <item x="1905"/>
        <item x="1986"/>
        <item x="951"/>
        <item x="821"/>
        <item x="1669"/>
        <item x="80"/>
        <item x="1211"/>
        <item x="637"/>
        <item x="1628"/>
        <item x="999"/>
        <item x="1369"/>
        <item x="1101"/>
        <item x="479"/>
        <item x="580"/>
        <item x="1411"/>
        <item x="1088"/>
        <item x="1279"/>
        <item x="640"/>
        <item x="277"/>
        <item x="905"/>
        <item x="506"/>
        <item x="1242"/>
        <item x="546"/>
        <item x="1345"/>
        <item x="1866"/>
        <item x="434"/>
        <item x="1219"/>
        <item x="1909"/>
        <item x="1309"/>
        <item x="268"/>
        <item x="1494"/>
        <item x="1299"/>
        <item x="1226"/>
        <item x="1284"/>
        <item x="1333"/>
        <item x="1320"/>
        <item x="1707"/>
        <item x="1282"/>
        <item x="1237"/>
        <item x="21"/>
        <item x="948"/>
        <item x="172"/>
        <item x="1000"/>
        <item x="88"/>
        <item x="1884"/>
        <item x="36"/>
        <item x="1322"/>
        <item x="899"/>
        <item x="649"/>
        <item x="1586"/>
        <item x="298"/>
        <item x="549"/>
        <item x="739"/>
        <item x="1782"/>
        <item x="1402"/>
        <item x="429"/>
        <item x="1617"/>
        <item x="1315"/>
        <item x="309"/>
        <item x="259"/>
        <item x="1557"/>
        <item x="781"/>
        <item x="677"/>
        <item x="481"/>
        <item x="1549"/>
        <item x="1446"/>
        <item x="452"/>
        <item x="1116"/>
        <item x="101"/>
        <item x="814"/>
        <item x="1196"/>
        <item x="1793"/>
        <item x="1030"/>
        <item x="618"/>
        <item x="610"/>
        <item x="78"/>
        <item x="954"/>
        <item x="5"/>
        <item x="1318"/>
        <item x="1188"/>
        <item x="985"/>
        <item x="1818"/>
        <item x="390"/>
        <item x="1378"/>
        <item x="564"/>
        <item x="337"/>
        <item x="513"/>
        <item x="1179"/>
        <item x="451"/>
        <item x="1564"/>
        <item x="1089"/>
        <item x="1748"/>
        <item x="138"/>
        <item x="187"/>
        <item x="1857"/>
        <item x="1327"/>
        <item x="841"/>
        <item x="1633"/>
        <item x="770"/>
        <item x="1362"/>
        <item x="1451"/>
        <item x="1623"/>
        <item x="1058"/>
        <item x="1363"/>
        <item x="325"/>
        <item x="291"/>
        <item x="1899"/>
        <item x="444"/>
        <item x="1358"/>
        <item x="219"/>
        <item x="290"/>
        <item x="158"/>
        <item x="1760"/>
        <item x="1955"/>
        <item x="1010"/>
        <item x="1329"/>
        <item x="9"/>
        <item x="253"/>
        <item x="838"/>
        <item x="1783"/>
        <item x="1464"/>
        <item x="979"/>
        <item x="1957"/>
        <item x="1260"/>
        <item x="1016"/>
        <item x="38"/>
        <item x="131"/>
        <item x="461"/>
        <item x="1048"/>
        <item x="297"/>
        <item x="299"/>
        <item x="749"/>
        <item x="392"/>
        <item x="209"/>
        <item x="577"/>
        <item x="1706"/>
        <item x="4"/>
        <item x="74"/>
        <item x="319"/>
        <item x="815"/>
        <item x="1731"/>
        <item x="1879"/>
        <item x="220"/>
        <item x="1603"/>
        <item x="906"/>
        <item x="308"/>
        <item x="845"/>
        <item x="462"/>
        <item x="947"/>
        <item x="1858"/>
        <item x="155"/>
        <item x="373"/>
        <item x="1114"/>
        <item x="1594"/>
        <item x="1241"/>
        <item x="961"/>
        <item x="849"/>
        <item x="27"/>
        <item x="1855"/>
        <item x="1947"/>
        <item x="684"/>
        <item x="929"/>
        <item x="1971"/>
        <item x="1183"/>
        <item x="421"/>
        <item x="633"/>
        <item x="1036"/>
        <item x="507"/>
        <item x="1676"/>
        <item x="829"/>
        <item x="310"/>
        <item x="198"/>
        <item x="1542"/>
        <item x="1512"/>
        <item x="1567"/>
        <item x="1078"/>
        <item x="1165"/>
        <item x="431"/>
        <item x="1920"/>
        <item x="344"/>
        <item x="764"/>
        <item x="1885"/>
        <item x="1349"/>
        <item x="1817"/>
        <item x="1035"/>
        <item x="574"/>
        <item x="758"/>
        <item x="455"/>
        <item x="1308"/>
        <item x="1863"/>
        <item x="1579"/>
        <item x="1546"/>
        <item x="933"/>
        <item x="1051"/>
        <item x="1416"/>
        <item x="1342"/>
        <item x="1770"/>
        <item x="937"/>
        <item x="289"/>
        <item x="946"/>
        <item x="686"/>
        <item x="31"/>
        <item x="1733"/>
        <item x="180"/>
        <item x="1454"/>
        <item x="1229"/>
        <item x="573"/>
        <item x="183"/>
        <item x="1839"/>
        <item x="953"/>
        <item x="1070"/>
        <item x="1432"/>
        <item x="1609"/>
        <item x="118"/>
        <item x="1216"/>
        <item x="371"/>
        <item x="1684"/>
        <item x="1724"/>
        <item x="1555"/>
        <item x="286"/>
        <item x="757"/>
        <item x="1619"/>
        <item x="682"/>
        <item x="670"/>
        <item x="685"/>
        <item x="621"/>
        <item x="59"/>
        <item x="1563"/>
        <item x="1949"/>
        <item x="54"/>
        <item x="971"/>
        <item x="902"/>
        <item x="1403"/>
        <item x="1184"/>
        <item x="1067"/>
        <item x="387"/>
        <item x="185"/>
        <item x="213"/>
        <item x="1283"/>
        <item x="1625"/>
        <item x="1734"/>
        <item x="484"/>
        <item x="681"/>
        <item x="720"/>
        <item x="1212"/>
        <item x="1210"/>
        <item x="177"/>
        <item x="759"/>
        <item x="1907"/>
        <item x="775"/>
        <item x="1809"/>
        <item x="1796"/>
        <item x="606"/>
        <item x="877"/>
        <item x="843"/>
        <item x="93"/>
        <item x="279"/>
        <item x="502"/>
        <item x="1166"/>
        <item x="1190"/>
        <item x="223"/>
        <item x="216"/>
        <item x="1386"/>
        <item x="157"/>
        <item x="1944"/>
        <item x="537"/>
        <item x="1508"/>
        <item x="898"/>
        <item x="430"/>
        <item x="1232"/>
        <item x="1520"/>
        <item x="14"/>
        <item x="1775"/>
        <item x="744"/>
        <item x="542"/>
        <item x="884"/>
        <item x="1498"/>
        <item x="796"/>
        <item x="750"/>
        <item x="453"/>
        <item x="595"/>
        <item x="1042"/>
        <item x="380"/>
        <item x="1435"/>
        <item x="409"/>
        <item x="1389"/>
        <item x="1324"/>
        <item x="328"/>
        <item x="67"/>
        <item x="1838"/>
        <item x="1297"/>
        <item x="1273"/>
        <item x="1898"/>
        <item x="104"/>
        <item x="545"/>
        <item x="1063"/>
        <item x="1904"/>
        <item x="1293"/>
        <item x="1714"/>
        <item x="1462"/>
        <item x="85"/>
        <item x="774"/>
        <item x="1109"/>
        <item x="1836"/>
        <item x="1290"/>
        <item x="1169"/>
        <item x="847"/>
        <item x="1230"/>
        <item x="1471"/>
        <item x="57"/>
        <item x="275"/>
        <item x="584"/>
        <item x="108"/>
        <item x="1536"/>
        <item x="306"/>
        <item x="1670"/>
        <item x="1641"/>
        <item x="593"/>
        <item x="1692"/>
        <item x="1449"/>
        <item x="128"/>
        <item x="1197"/>
        <item x="1832"/>
        <item x="1507"/>
        <item x="1533"/>
        <item x="255"/>
        <item x="1962"/>
        <item x="975"/>
        <item x="1112"/>
        <item x="1458"/>
        <item x="1017"/>
        <item x="1325"/>
        <item x="276"/>
        <item x="1925"/>
        <item x="1584"/>
        <item x="476"/>
        <item x="1703"/>
        <item x="1622"/>
        <item x="1761"/>
        <item x="801"/>
        <item x="171"/>
        <item x="836"/>
        <item x="1233"/>
        <item x="485"/>
        <item x="196"/>
        <item x="1828"/>
        <item x="602"/>
        <item x="240"/>
        <item x="493"/>
        <item x="1859"/>
        <item x="1360"/>
        <item x="994"/>
        <item x="1492"/>
        <item x="314"/>
        <item x="1311"/>
        <item x="808"/>
        <item x="925"/>
        <item x="1385"/>
        <item x="224"/>
        <item x="1060"/>
        <item x="544"/>
        <item x="89"/>
        <item x="1238"/>
        <item x="1979"/>
        <item x="1597"/>
        <item x="1513"/>
        <item x="263"/>
        <item x="989"/>
        <item x="763"/>
        <item x="698"/>
        <item x="347"/>
        <item x="313"/>
        <item x="663"/>
        <item x="1275"/>
        <item x="1891"/>
        <item x="1937"/>
        <item x="1518"/>
        <item x="1769"/>
        <item x="1683"/>
        <item x="345"/>
        <item x="504"/>
        <item x="908"/>
        <item x="991"/>
        <item x="1155"/>
        <item x="1648"/>
        <item x="1222"/>
        <item x="1323"/>
        <item x="1482"/>
        <item x="1239"/>
        <item x="0"/>
        <item x="396"/>
        <item x="1043"/>
        <item x="383"/>
        <item x="353"/>
        <item x="909"/>
        <item x="1335"/>
        <item x="334"/>
        <item x="505"/>
        <item x="1150"/>
        <item x="539"/>
        <item x="1856"/>
        <item x="1331"/>
        <item x="1092"/>
        <item x="1739"/>
        <item x="1217"/>
        <item x="1854"/>
        <item x="1144"/>
        <item x="448"/>
        <item x="1301"/>
        <item x="449"/>
        <item x="370"/>
        <item x="643"/>
        <item x="1343"/>
        <item x="1027"/>
        <item x="1181"/>
        <item x="1771"/>
        <item x="956"/>
        <item x="51"/>
        <item x="1255"/>
        <item x="1404"/>
        <item x="860"/>
        <item x="930"/>
        <item x="367"/>
        <item x="872"/>
        <item x="66"/>
        <item x="807"/>
        <item x="1602"/>
        <item x="339"/>
        <item x="106"/>
        <item x="1334"/>
        <item x="1376"/>
        <item x="1933"/>
        <item x="1330"/>
        <item x="1897"/>
        <item x="885"/>
        <item x="1565"/>
        <item x="1901"/>
        <item x="221"/>
        <item x="742"/>
        <item x="55"/>
        <item x="62"/>
        <item x="1530"/>
        <item x="803"/>
        <item x="1864"/>
        <item x="1620"/>
        <item x="1395"/>
        <item x="832"/>
        <item x="1186"/>
        <item x="1379"/>
        <item x="1170"/>
        <item x="435"/>
        <item x="410"/>
        <item x="1083"/>
        <item x="1104"/>
        <item x="1588"/>
        <item x="1061"/>
        <item x="207"/>
        <item x="1057"/>
        <item x="1716"/>
        <item x="883"/>
        <item x="888"/>
        <item x="274"/>
        <item x="1747"/>
        <item x="1332"/>
        <item x="1025"/>
        <item x="335"/>
        <item x="217"/>
        <item x="903"/>
        <item x="1825"/>
        <item x="1497"/>
        <item x="983"/>
        <item x="1429"/>
        <item x="1339"/>
        <item x="1359"/>
        <item x="1185"/>
        <item x="1460"/>
        <item x="604"/>
        <item x="1873"/>
        <item x="534"/>
        <item x="612"/>
        <item x="1119"/>
        <item x="218"/>
        <item x="329"/>
        <item x="1663"/>
        <item x="1917"/>
        <item x="1551"/>
        <item x="473"/>
        <item x="703"/>
        <item x="1704"/>
        <item x="386"/>
        <item x="583"/>
        <item x="53"/>
        <item x="366"/>
        <item x="416"/>
        <item x="1218"/>
        <item x="1305"/>
        <item x="1956"/>
        <item x="1559"/>
        <item x="121"/>
        <item x="490"/>
        <item x="935"/>
        <item x="499"/>
        <item x="16"/>
        <item x="1434"/>
        <item x="723"/>
        <item x="1916"/>
        <item x="619"/>
        <item x="532"/>
        <item x="56"/>
        <item x="262"/>
        <item x="1466"/>
        <item x="752"/>
        <item x="159"/>
        <item x="1388"/>
        <item x="374"/>
        <item x="46"/>
        <item x="114"/>
        <item x="741"/>
        <item x="311"/>
        <item x="1574"/>
        <item x="30"/>
        <item x="98"/>
        <item x="1929"/>
        <item x="1611"/>
        <item x="635"/>
        <item x="798"/>
        <item x="122"/>
        <item x="571"/>
        <item x="957"/>
        <item x="768"/>
        <item x="116"/>
        <item x="699"/>
        <item x="1537"/>
        <item x="1868"/>
        <item x="287"/>
        <item x="1206"/>
        <item x="1341"/>
        <item x="981"/>
        <item x="522"/>
        <item x="859"/>
        <item x="907"/>
        <item x="805"/>
        <item x="1678"/>
        <item x="1172"/>
        <item x="1496"/>
        <item x="150"/>
        <item x="1448"/>
        <item x="613"/>
        <item x="1381"/>
        <item x="1154"/>
        <item x="411"/>
        <item x="1695"/>
        <item x="1523"/>
        <item x="717"/>
        <item x="182"/>
        <item x="551"/>
        <item x="222"/>
        <item x="1023"/>
        <item x="1227"/>
        <item x="939"/>
        <item x="535"/>
        <item x="1585"/>
        <item x="258"/>
        <item x="1757"/>
        <item x="514"/>
        <item x="1387"/>
        <item x="1372"/>
        <item x="657"/>
        <item x="1893"/>
        <item x="1729"/>
        <item x="1384"/>
        <item x="84"/>
        <item x="1175"/>
        <item x="1764"/>
        <item x="550"/>
        <item x="1718"/>
        <item x="1540"/>
        <item x="1413"/>
        <item x="697"/>
        <item x="1990"/>
        <item x="1149"/>
        <item x="270"/>
        <item x="272"/>
        <item x="786"/>
        <item x="1306"/>
        <item x="734"/>
        <item x="1049"/>
        <item x="1203"/>
        <item x="1405"/>
        <item x="211"/>
        <item x="1469"/>
        <item x="1815"/>
        <item x="850"/>
        <item x="1610"/>
        <item x="630"/>
        <item x="1726"/>
        <item x="1583"/>
        <item x="333"/>
        <item x="1698"/>
        <item x="540"/>
        <item x="1791"/>
        <item x="215"/>
        <item x="667"/>
        <item x="689"/>
        <item x="228"/>
        <item x="1823"/>
        <item x="1304"/>
        <item x="653"/>
        <item x="1527"/>
        <item x="510"/>
        <item x="1821"/>
        <item x="412"/>
        <item x="869"/>
        <item x="133"/>
        <item x="494"/>
        <item x="787"/>
        <item x="332"/>
        <item x="1194"/>
        <item x="1654"/>
        <item x="350"/>
        <item x="1881"/>
        <item x="1447"/>
        <item x="728"/>
        <item x="1072"/>
        <item x="732"/>
        <item x="694"/>
        <item x="871"/>
        <item x="463"/>
        <item x="23"/>
        <item x="8"/>
        <item x="1137"/>
        <item x="1298"/>
        <item x="1607"/>
        <item x="661"/>
        <item x="655"/>
        <item x="1193"/>
        <item x="509"/>
        <item x="879"/>
        <item x="1918"/>
        <item x="141"/>
        <item x="1168"/>
        <item x="1509"/>
        <item x="1776"/>
        <item x="1576"/>
        <item x="1431"/>
        <item x="360"/>
        <item x="91"/>
        <item x="1009"/>
        <item x="149"/>
        <item x="1835"/>
        <item x="1191"/>
        <item x="825"/>
        <item x="1130"/>
        <item x="408"/>
        <item x="560"/>
        <item x="1626"/>
        <item x="628"/>
        <item x="854"/>
        <item x="755"/>
        <item x="1696"/>
        <item x="647"/>
        <item x="1401"/>
        <item x="282"/>
        <item x="96"/>
        <item x="395"/>
        <item x="464"/>
        <item x="896"/>
        <item x="1096"/>
        <item x="1490"/>
        <item x="69"/>
        <item x="1966"/>
        <item x="52"/>
        <item x="833"/>
        <item x="1870"/>
        <item x="1923"/>
        <item x="652"/>
        <item x="1031"/>
        <item x="1480"/>
        <item x="761"/>
        <item x="77"/>
        <item x="1251"/>
        <item x="1444"/>
        <item x="1122"/>
        <item x="736"/>
        <item x="1938"/>
        <item x="1710"/>
        <item x="512"/>
        <item x="168"/>
        <item x="914"/>
        <item x="466"/>
        <item x="393"/>
        <item x="1569"/>
        <item x="1910"/>
        <item x="124"/>
        <item x="1984"/>
        <item x="962"/>
        <item x="1851"/>
        <item x="1160"/>
        <item x="318"/>
        <item x="794"/>
        <item x="993"/>
        <item x="65"/>
        <item x="1468"/>
        <item x="160"/>
        <item x="233"/>
        <item x="1198"/>
        <item x="1026"/>
        <item x="1834"/>
        <item x="1777"/>
        <item x="1164"/>
        <item x="1975"/>
        <item x="1265"/>
        <item x="1995"/>
        <item x="1751"/>
        <item x="379"/>
        <item x="1553"/>
        <item x="533"/>
        <item x="15"/>
        <item x="1708"/>
        <item x="1988"/>
        <item x="437"/>
        <item x="934"/>
        <item x="238"/>
        <item x="1660"/>
        <item x="203"/>
        <item x="1259"/>
        <item x="471"/>
        <item x="87"/>
        <item x="940"/>
        <item x="1730"/>
        <item x="910"/>
        <item x="831"/>
        <item x="751"/>
        <item x="1157"/>
        <item x="1313"/>
        <item x="102"/>
        <item x="1728"/>
        <item x="1951"/>
        <item x="754"/>
        <item x="1842"/>
        <item x="32"/>
        <item x="120"/>
        <item x="710"/>
        <item x="1578"/>
        <item x="804"/>
        <item x="1912"/>
        <item x="1291"/>
        <item x="1976"/>
        <item x="1913"/>
        <item x="1425"/>
        <item x="1939"/>
        <item x="501"/>
        <item x="1269"/>
        <item x="988"/>
        <item x="1867"/>
        <item x="1689"/>
        <item x="1224"/>
        <item x="173"/>
        <item x="1814"/>
        <item x="917"/>
        <item x="1177"/>
        <item x="1162"/>
        <item x="1681"/>
        <item x="151"/>
        <item x="1890"/>
        <item x="1288"/>
        <item x="622"/>
        <item x="827"/>
        <item x="1044"/>
        <item x="965"/>
        <item x="192"/>
        <item x="83"/>
        <item x="112"/>
        <item x="1767"/>
        <item x="713"/>
        <item x="422"/>
        <item x="433"/>
        <item x="1483"/>
        <item x="1296"/>
        <item x="669"/>
        <item x="252"/>
        <item x="1041"/>
        <item x="1677"/>
        <item x="1779"/>
        <item x="486"/>
        <item x="1845"/>
        <item x="1344"/>
        <item x="200"/>
        <item x="1693"/>
        <item x="882"/>
        <item x="1161"/>
        <item x="1268"/>
        <item x="912"/>
        <item x="231"/>
        <item x="280"/>
        <item x="205"/>
        <item x="1236"/>
        <item x="641"/>
        <item x="528"/>
        <item x="1357"/>
        <item x="737"/>
        <item x="721"/>
        <item x="1106"/>
        <item x="265"/>
        <item x="1456"/>
        <item x="1243"/>
        <item x="1110"/>
        <item x="1307"/>
        <item x="1903"/>
        <item x="1799"/>
        <item x="110"/>
        <item x="1138"/>
        <item x="1430"/>
        <item x="1370"/>
        <item x="119"/>
        <item x="1935"/>
        <item x="1875"/>
        <item x="10"/>
        <item x="271"/>
        <item x="1274"/>
        <item x="1606"/>
        <item x="1954"/>
        <item x="1973"/>
        <item x="495"/>
        <item x="348"/>
        <item x="809"/>
        <item x="1795"/>
        <item x="210"/>
        <item x="1326"/>
        <item x="423"/>
        <item x="267"/>
        <item x="1812"/>
        <item x="1679"/>
        <item x="1223"/>
        <item x="1592"/>
        <item x="1702"/>
        <item x="1717"/>
        <item x="596"/>
        <item x="443"/>
        <item x="1750"/>
        <item x="950"/>
        <item x="1590"/>
        <item x="1410"/>
        <item x="266"/>
        <item x="1146"/>
        <item x="1353"/>
        <item x="1652"/>
        <item x="554"/>
        <item x="1883"/>
        <item x="789"/>
        <item x="1472"/>
        <item x="1479"/>
        <item x="1354"/>
        <item x="857"/>
        <item x="1151"/>
        <item x="1961"/>
        <item x="895"/>
        <item x="666"/>
        <item x="295"/>
        <item x="525"/>
        <item x="1247"/>
        <item x="1263"/>
        <item x="1819"/>
        <item x="1364"/>
        <item x="1103"/>
        <item x="1639"/>
        <item x="1802"/>
        <item x="326"/>
        <item x="1034"/>
        <item x="1234"/>
        <item x="1287"/>
        <item x="1056"/>
        <item x="1254"/>
        <item x="1700"/>
        <item x="1861"/>
        <item x="1506"/>
        <item x="1007"/>
        <item x="134"/>
        <item x="1006"/>
        <item x="1548"/>
        <item x="283"/>
        <item x="966"/>
        <item x="227"/>
        <item x="886"/>
        <item x="1108"/>
        <item x="1872"/>
        <item x="1021"/>
        <item x="165"/>
        <item x="103"/>
        <item x="526"/>
        <item x="162"/>
        <item x="598"/>
        <item x="1470"/>
        <item x="1900"/>
        <item x="1543"/>
        <item x="1778"/>
        <item x="634"/>
        <item x="1355"/>
        <item x="891"/>
        <item x="1317"/>
        <item x="425"/>
        <item x="1560"/>
        <item x="1816"/>
        <item x="964"/>
        <item x="1743"/>
        <item x="1991"/>
        <item x="1685"/>
        <item x="1894"/>
        <item x="468"/>
        <item x="1785"/>
        <item x="1921"/>
        <item x="503"/>
        <item x="631"/>
        <item x="1980"/>
        <item x="13"/>
        <item x="6"/>
        <item x="1813"/>
        <item x="500"/>
        <item x="1808"/>
        <item x="1841"/>
        <item x="1438"/>
        <item x="167"/>
        <item x="1800"/>
        <item x="72"/>
        <item x="636"/>
        <item x="1134"/>
        <item x="1124"/>
        <item x="709"/>
        <item x="197"/>
        <item x="1215"/>
        <item x="1989"/>
        <item x="1848"/>
        <item x="779"/>
        <item x="407"/>
        <item x="1640"/>
        <item x="1510"/>
        <item x="1631"/>
        <item x="1427"/>
        <item x="974"/>
        <item x="915"/>
        <item x="676"/>
        <item x="1931"/>
        <item x="1208"/>
        <item x="932"/>
        <item x="1719"/>
        <item x="823"/>
        <item x="632"/>
        <item x="894"/>
        <item x="22"/>
        <item x="1087"/>
        <item x="552"/>
        <item x="582"/>
        <item x="942"/>
        <item x="901"/>
        <item x="156"/>
        <item x="1616"/>
        <item x="1143"/>
        <item x="1445"/>
        <item x="1852"/>
        <item x="1797"/>
        <item x="477"/>
        <item x="1003"/>
        <item x="90"/>
        <item x="1591"/>
        <item x="1577"/>
        <item x="323"/>
        <item x="1240"/>
        <item x="285"/>
        <item x="639"/>
        <item x="570"/>
        <item x="1754"/>
        <item x="1865"/>
        <item x="1098"/>
        <item x="1366"/>
        <item x="79"/>
        <item x="1978"/>
        <item x="191"/>
        <item x="1969"/>
        <item x="963"/>
        <item x="1303"/>
        <item x="687"/>
        <item x="343"/>
        <item x="1608"/>
        <item x="26"/>
        <item x="1066"/>
        <item x="651"/>
        <item x="864"/>
        <item x="402"/>
        <item x="1084"/>
        <item x="1711"/>
        <item x="1038"/>
        <item x="1580"/>
        <item x="97"/>
        <item x="589"/>
        <item x="1099"/>
        <item x="358"/>
        <item x="417"/>
        <item x="245"/>
        <item x="996"/>
        <item x="1351"/>
        <item x="863"/>
        <item x="897"/>
        <item x="1437"/>
        <item x="1019"/>
        <item x="725"/>
        <item x="336"/>
        <item x="1433"/>
        <item x="18"/>
        <item x="748"/>
        <item x="1145"/>
        <item x="1732"/>
        <item x="800"/>
        <item x="590"/>
        <item x="1721"/>
        <item x="1424"/>
        <item x="1457"/>
        <item x="1624"/>
        <item x="688"/>
        <item x="916"/>
        <item x="1128"/>
        <item x="71"/>
        <item x="558"/>
        <item x="399"/>
        <item x="1461"/>
        <item x="1201"/>
        <item x="887"/>
        <item x="1840"/>
        <item x="1846"/>
        <item x="147"/>
        <item x="1390"/>
        <item x="1267"/>
        <item x="1262"/>
        <item x="1647"/>
        <item x="1213"/>
        <item x="148"/>
        <item x="176"/>
        <item x="1380"/>
        <item x="1173"/>
        <item x="1701"/>
        <item x="943"/>
        <item x="1849"/>
        <item x="1426"/>
        <item x="1202"/>
        <item x="1924"/>
        <item x="357"/>
        <item x="1888"/>
        <item x="1550"/>
        <item x="3"/>
        <item x="1604"/>
        <item x="517"/>
        <item x="645"/>
        <item x="1187"/>
        <item x="288"/>
        <item x="1744"/>
        <item x="531"/>
        <item x="236"/>
        <item x="1257"/>
        <item x="1661"/>
        <item x="1281"/>
        <item x="1745"/>
        <item x="45"/>
        <item x="576"/>
        <item x="1047"/>
        <item x="381"/>
        <item x="566"/>
        <item x="1174"/>
        <item x="1556"/>
        <item x="1942"/>
        <item x="208"/>
        <item x="1926"/>
        <item x="627"/>
        <item x="284"/>
        <item x="1612"/>
        <item x="1504"/>
        <item x="1972"/>
        <item x="1515"/>
        <item x="949"/>
        <item x="201"/>
        <item x="247"/>
        <item x="1321"/>
        <item x="654"/>
        <item x="880"/>
        <item x="1643"/>
        <item x="968"/>
        <item x="202"/>
        <item x="706"/>
        <item x="1"/>
        <item x="1930"/>
        <item x="1673"/>
        <item x="756"/>
        <item x="1294"/>
        <item x="428"/>
        <item x="1391"/>
        <item x="1012"/>
        <item x="48"/>
        <item x="82"/>
        <item x="1801"/>
        <item x="68"/>
        <item x="733"/>
        <item x="1965"/>
        <item x="1738"/>
        <item x="73"/>
        <item x="1348"/>
        <item x="123"/>
        <item x="1784"/>
        <item x="1261"/>
        <item x="524"/>
        <item x="562"/>
        <item x="1250"/>
        <item x="731"/>
        <item x="1632"/>
        <item x="1207"/>
        <item x="926"/>
        <item x="378"/>
        <item x="107"/>
        <item x="170"/>
        <item x="1927"/>
        <item x="1126"/>
        <item x="307"/>
        <item x="92"/>
        <item x="853"/>
        <item x="658"/>
        <item x="483"/>
        <item x="164"/>
        <item x="356"/>
        <item x="1040"/>
        <item x="1645"/>
        <item x="129"/>
        <item x="1911"/>
        <item x="1013"/>
        <item x="1367"/>
        <item x="541"/>
        <item x="1167"/>
        <item x="668"/>
        <item x="1053"/>
        <item x="538"/>
        <item x="1347"/>
        <item x="726"/>
        <item x="856"/>
        <item x="788"/>
        <item x="1373"/>
        <item x="892"/>
        <item x="623"/>
        <item x="826"/>
        <item x="1244"/>
        <item x="47"/>
        <item x="491"/>
        <item x="1824"/>
        <item x="1517"/>
        <item x="204"/>
        <item x="1095"/>
        <item x="113"/>
        <item x="303"/>
        <item x="251"/>
        <item x="1491"/>
        <item x="324"/>
        <item x="1635"/>
        <item x="248"/>
        <item x="273"/>
        <item x="385"/>
        <item x="1054"/>
        <item x="644"/>
        <item x="1428"/>
        <item x="1691"/>
        <item x="1762"/>
        <item x="1896"/>
        <item x="1266"/>
        <item x="1766"/>
        <item x="2"/>
        <item x="868"/>
        <item x="496"/>
        <item x="900"/>
        <item x="625"/>
        <item x="1286"/>
        <item x="738"/>
        <item x="1050"/>
        <item x="516"/>
        <item x="81"/>
        <item x="1502"/>
        <item x="1752"/>
        <item x="1180"/>
        <item x="519"/>
        <item x="1638"/>
        <item x="1481"/>
        <item x="1474"/>
        <item x="918"/>
        <item x="1171"/>
        <item x="1117"/>
        <item x="1176"/>
        <item x="281"/>
        <item x="301"/>
        <item x="1694"/>
        <item x="1690"/>
        <item x="609"/>
        <item x="178"/>
        <item x="1001"/>
        <item x="1246"/>
        <item x="1593"/>
        <item x="1028"/>
        <item x="719"/>
        <item x="189"/>
        <item x="1687"/>
        <item x="1414"/>
        <item x="376"/>
        <item x="1844"/>
        <item x="1018"/>
        <item x="1720"/>
        <item x="1758"/>
        <item x="664"/>
        <item x="730"/>
        <item x="1406"/>
        <item x="977"/>
        <item x="234"/>
        <item x="1915"/>
        <item x="304"/>
        <item x="889"/>
        <item x="244"/>
        <item x="1953"/>
        <item x="316"/>
        <item x="388"/>
        <item x="820"/>
        <item x="246"/>
        <item x="1572"/>
        <item x="1336"/>
        <item x="1807"/>
        <item x="1015"/>
        <item x="1932"/>
        <item x="527"/>
        <item x="1484"/>
        <item x="1295"/>
        <item x="488"/>
        <item x="1952"/>
        <item x="1554"/>
        <item x="874"/>
        <item x="1636"/>
        <item x="581"/>
        <item x="1668"/>
        <item x="1091"/>
        <item x="616"/>
        <item x="890"/>
        <item x="790"/>
        <item x="1163"/>
        <item x="1493"/>
        <item x="1139"/>
        <item x="458"/>
        <item x="791"/>
        <item x="556"/>
        <item x="377"/>
        <item x="1671"/>
        <item x="992"/>
        <item x="475"/>
        <item x="459"/>
        <item x="1423"/>
        <item x="817"/>
        <item x="802"/>
        <item x="816"/>
        <item x="548"/>
        <item x="1774"/>
        <item x="1847"/>
        <item x="389"/>
        <item x="1788"/>
        <item x="642"/>
        <item x="923"/>
        <item x="671"/>
        <item x="920"/>
        <item x="1115"/>
        <item x="391"/>
        <item x="1582"/>
        <item x="1853"/>
        <item x="1350"/>
        <item x="665"/>
        <item x="600"/>
        <item x="1278"/>
        <item x="1541"/>
        <item x="1886"/>
        <item x="467"/>
        <item x="1080"/>
        <item x="1959"/>
        <item x="1568"/>
        <item x="1759"/>
        <item x="1686"/>
        <item x="1806"/>
        <item x="1133"/>
        <item x="340"/>
        <item x="24"/>
        <item x="1086"/>
        <item x="132"/>
        <item x="568"/>
        <item x="578"/>
        <item x="1526"/>
        <item x="1245"/>
        <item x="125"/>
        <item x="656"/>
        <item x="1182"/>
        <item x="813"/>
        <item x="1829"/>
        <item x="941"/>
        <item x="1505"/>
        <item x="858"/>
        <item x="806"/>
        <item x="1993"/>
        <item x="154"/>
        <item x="1340"/>
        <item x="1189"/>
        <item x="404"/>
        <item x="1014"/>
        <item x="1314"/>
        <item x="797"/>
        <item x="95"/>
        <item x="1521"/>
        <item x="1153"/>
        <item x="28"/>
        <item x="785"/>
        <item x="1127"/>
        <item x="1235"/>
        <item x="1459"/>
        <item x="1285"/>
        <item x="904"/>
        <item x="1919"/>
        <item x="839"/>
        <item x="1946"/>
        <item x="878"/>
        <item x="818"/>
        <item x="1525"/>
        <item x="1561"/>
        <item x="58"/>
        <item x="1646"/>
        <item x="1105"/>
        <item x="489"/>
        <item x="1615"/>
        <item x="1895"/>
        <item x="440"/>
        <item x="547"/>
        <item x="1192"/>
        <item x="1794"/>
        <item x="375"/>
        <item x="351"/>
        <item x="1740"/>
        <item x="536"/>
        <item x="1118"/>
        <item x="1642"/>
        <item x="1908"/>
        <item x="620"/>
        <item x="364"/>
        <item x="997"/>
        <item x="1936"/>
        <item x="361"/>
        <item x="1658"/>
        <item x="1974"/>
        <item x="1786"/>
        <item x="439"/>
        <item x="848"/>
        <item x="1869"/>
        <item x="166"/>
        <item x="35"/>
        <item x="810"/>
        <item x="1477"/>
        <item x="465"/>
        <item x="1772"/>
        <item x="1253"/>
        <item x="1499"/>
        <item x="278"/>
        <item x="834"/>
        <item x="1442"/>
        <item x="893"/>
        <item x="1528"/>
        <item x="704"/>
        <item x="976"/>
        <item x="186"/>
        <item x="1627"/>
        <item x="1723"/>
        <item x="1516"/>
        <item x="1963"/>
        <item x="586"/>
        <item x="980"/>
        <item x="261"/>
        <item x="1756"/>
        <item x="413"/>
        <item x="1408"/>
        <item x="1928"/>
        <item x="1650"/>
        <item x="300"/>
        <item x="1850"/>
        <item x="691"/>
        <item x="1121"/>
        <item x="1375"/>
        <item x="341"/>
        <item x="61"/>
        <item x="601"/>
        <item x="529"/>
        <item x="1659"/>
        <item x="460"/>
        <item x="674"/>
        <item x="296"/>
        <item x="1531"/>
        <item x="1328"/>
        <item x="498"/>
        <item x="830"/>
        <item x="457"/>
        <item x="1780"/>
        <item x="199"/>
        <item x="480"/>
        <item x="673"/>
        <item x="229"/>
        <item x="765"/>
        <item x="384"/>
        <item x="1476"/>
        <item x="543"/>
        <item x="617"/>
        <item x="559"/>
        <item x="594"/>
        <item x="530"/>
        <item x="145"/>
        <item x="206"/>
        <item x="60"/>
        <item x="250"/>
        <item x="1312"/>
        <item x="1651"/>
        <item x="876"/>
        <item x="1680"/>
        <item x="1994"/>
        <item x="1073"/>
        <item x="597"/>
        <item x="1417"/>
        <item x="844"/>
        <item x="515"/>
        <item x="382"/>
        <item x="921"/>
        <item x="1310"/>
        <item x="1826"/>
        <item x="1573"/>
        <item x="1062"/>
        <item x="1209"/>
        <item x="1500"/>
        <item x="822"/>
        <item x="1705"/>
        <item x="1455"/>
        <item x="1940"/>
        <item x="446"/>
        <item x="1618"/>
        <item x="320"/>
        <item x="241"/>
        <item x="293"/>
        <item x="1665"/>
        <item x="1147"/>
        <item x="294"/>
        <item x="260"/>
        <item x="1789"/>
        <item x="722"/>
        <item x="305"/>
        <item x="1419"/>
        <item x="1666"/>
        <item x="450"/>
        <item x="998"/>
        <item x="1587"/>
        <item x="959"/>
        <item x="660"/>
        <item x="239"/>
        <item x="1159"/>
        <item x="1805"/>
        <item x="1152"/>
        <item x="400"/>
        <item x="1655"/>
        <item x="130"/>
        <item x="1450"/>
        <item x="1674"/>
        <item x="362"/>
        <item x="1968"/>
        <item x="922"/>
        <item x="254"/>
        <item x="1664"/>
        <item x="680"/>
        <item x="1319"/>
        <item x="1781"/>
        <item x="1065"/>
        <item x="852"/>
        <item x="1289"/>
        <item x="1871"/>
        <item x="1129"/>
        <item x="724"/>
        <item x="63"/>
        <item x="1722"/>
        <item x="194"/>
        <item x="1737"/>
        <item x="312"/>
        <item x="470"/>
        <item x="1749"/>
        <item x="179"/>
        <item x="866"/>
        <item x="1398"/>
        <item x="1960"/>
        <item x="42"/>
        <item x="1571"/>
        <item x="25"/>
        <item x="563"/>
        <item x="1148"/>
        <item x="711"/>
        <item x="497"/>
        <item x="315"/>
        <item x="1830"/>
        <item x="1346"/>
        <item x="1862"/>
        <item x="1882"/>
        <item x="1418"/>
        <item x="1046"/>
        <item x="662"/>
        <item x="973"/>
        <item x="592"/>
        <item x="188"/>
        <item x="1810"/>
        <item x="638"/>
        <item x="1140"/>
        <item x="679"/>
        <item x="701"/>
        <item x="1135"/>
        <item x="1120"/>
        <item x="1141"/>
        <item x="1575"/>
        <item x="256"/>
        <item x="50"/>
        <item x="225"/>
        <item x="1566"/>
        <item x="718"/>
        <item x="727"/>
        <item x="1715"/>
        <item x="1485"/>
        <item x="776"/>
        <item x="1204"/>
        <item x="139"/>
        <item x="1746"/>
        <item x="1613"/>
        <item x="565"/>
        <item x="1831"/>
        <item x="363"/>
        <item x="1983"/>
        <item x="418"/>
        <item x="1544"/>
        <item x="1822"/>
        <item x="1725"/>
        <item x="1906"/>
        <item x="557"/>
        <item x="17"/>
        <item x="1600"/>
        <item x="7"/>
        <item x="521"/>
        <item x="777"/>
        <item x="161"/>
        <item x="1596"/>
        <item x="1029"/>
        <item x="1489"/>
        <item x="629"/>
        <item x="588"/>
        <item x="1077"/>
        <item x="372"/>
        <item x="1688"/>
        <item x="317"/>
        <item x="740"/>
        <item x="1221"/>
        <item x="474"/>
        <item x="1614"/>
        <item x="1399"/>
        <item x="29"/>
        <item x="960"/>
        <item x="1581"/>
        <item x="302"/>
        <item x="1522"/>
        <item x="1820"/>
        <item x="1637"/>
        <item x="321"/>
        <item x="824"/>
        <item x="986"/>
        <item x="1570"/>
        <item x="1874"/>
        <item x="105"/>
        <item x="1755"/>
        <item x="692"/>
        <item x="1941"/>
        <item x="445"/>
        <item x="126"/>
        <item x="1967"/>
        <item x="398"/>
        <item x="575"/>
        <item x="432"/>
        <item x="1005"/>
        <item x="76"/>
        <item x="1365"/>
        <item x="1136"/>
        <item x="1803"/>
        <item x="1397"/>
        <item x="608"/>
        <item x="1539"/>
        <item x="1630"/>
        <item x="1621"/>
        <item x="226"/>
        <item x="1768"/>
        <item x="355"/>
        <item x="987"/>
        <item x="1037"/>
        <item x="20"/>
        <item x="927"/>
        <item x="678"/>
        <item x="520"/>
        <item x="99"/>
        <item x="269"/>
        <item x="1519"/>
        <item x="1712"/>
        <item x="1487"/>
        <item x="365"/>
        <item x="707"/>
        <item x="1076"/>
        <item x="982"/>
        <item x="175"/>
        <item x="972"/>
        <item x="438"/>
        <item x="1727"/>
        <item x="1656"/>
        <item x="1478"/>
        <item x="911"/>
        <item x="447"/>
        <item x="214"/>
        <item x="181"/>
        <item x="1488"/>
        <item x="1225"/>
        <item x="783"/>
        <item x="1657"/>
        <item x="715"/>
        <item x="1300"/>
        <item x="174"/>
        <item x="1220"/>
        <item x="1709"/>
        <item x="1125"/>
        <item x="232"/>
        <item x="1538"/>
        <item x="1452"/>
        <item x="75"/>
        <item x="1535"/>
        <item x="368"/>
        <item x="322"/>
        <item x="492"/>
        <item x="784"/>
        <item x="249"/>
        <item x="1383"/>
        <item x="969"/>
        <item x="1292"/>
        <item x="1453"/>
        <item x="292"/>
        <item x="94"/>
        <item x="967"/>
        <item x="454"/>
        <item x="1667"/>
        <item x="1790"/>
        <item x="1156"/>
        <item x="1020"/>
        <item x="152"/>
        <item x="1697"/>
        <item x="1024"/>
        <item x="1107"/>
        <item x="913"/>
        <item x="842"/>
        <item x="1394"/>
        <item x="1787"/>
        <item x="1467"/>
        <item x="1252"/>
        <item x="1270"/>
        <item x="1439"/>
        <item x="195"/>
        <item x="193"/>
        <item x="511"/>
        <item x="1264"/>
        <item x="862"/>
        <item x="1982"/>
        <item x="342"/>
        <item x="931"/>
        <item x="799"/>
        <item x="1231"/>
        <item x="1950"/>
        <item x="1420"/>
        <item x="472"/>
        <item x="346"/>
        <item x="1421"/>
        <item t="default"/>
      </items>
    </pivotField>
    <pivotField numFmtId="165" showAll="0"/>
    <pivotField numFmtId="1" showAll="0"/>
    <pivotField showAll="0"/>
    <pivotField showAll="0"/>
    <pivotField showAll="0">
      <items count="4">
        <item x="1"/>
        <item x="2"/>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showAll="0">
      <items count="8">
        <item sd="0" x="0"/>
        <item sd="0" x="1"/>
        <item sd="0" x="2"/>
        <item sd="0" x="3"/>
        <item sd="0" x="4"/>
        <item sd="0" x="5"/>
        <item sd="0" x="6"/>
        <item t="default"/>
      </items>
    </pivotField>
  </pivotFields>
  <rowFields count="2">
    <field x="13"/>
    <field x="12"/>
  </rowFields>
  <rowItems count="5">
    <i>
      <x v="3"/>
    </i>
    <i>
      <x v="2"/>
    </i>
    <i>
      <x v="1"/>
    </i>
    <i>
      <x v="4"/>
    </i>
    <i t="grand">
      <x/>
    </i>
  </rowItems>
  <colItems count="1">
    <i/>
  </colItems>
  <dataFields count="1">
    <dataField name="Sum of Sales Amount" fld="4"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77A68-BEB6-4B16-A601-47E2BFA39F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F11" firstHeaderRow="1" firstDataRow="2" firstDataCol="1"/>
  <pivotFields count="15">
    <pivotField showAll="0"/>
    <pivotField numFmtId="164" showAll="0">
      <items count="1181">
        <item x="832"/>
        <item x="811"/>
        <item x="831"/>
        <item x="1136"/>
        <item x="1013"/>
        <item x="783"/>
        <item x="768"/>
        <item x="480"/>
        <item x="65"/>
        <item x="865"/>
        <item x="358"/>
        <item x="852"/>
        <item x="261"/>
        <item x="568"/>
        <item x="427"/>
        <item x="299"/>
        <item x="624"/>
        <item x="800"/>
        <item x="394"/>
        <item x="936"/>
        <item x="424"/>
        <item x="40"/>
        <item x="806"/>
        <item x="878"/>
        <item x="95"/>
        <item x="970"/>
        <item x="1113"/>
        <item x="6"/>
        <item x="591"/>
        <item x="836"/>
        <item x="311"/>
        <item x="33"/>
        <item x="656"/>
        <item x="129"/>
        <item x="1034"/>
        <item x="347"/>
        <item x="956"/>
        <item x="703"/>
        <item x="294"/>
        <item x="1112"/>
        <item x="47"/>
        <item x="964"/>
        <item x="665"/>
        <item x="704"/>
        <item x="853"/>
        <item x="872"/>
        <item x="925"/>
        <item x="265"/>
        <item x="747"/>
        <item x="781"/>
        <item x="1033"/>
        <item x="1051"/>
        <item x="230"/>
        <item x="654"/>
        <item x="1045"/>
        <item x="180"/>
        <item x="710"/>
        <item x="317"/>
        <item x="473"/>
        <item x="616"/>
        <item x="237"/>
        <item x="49"/>
        <item x="324"/>
        <item x="102"/>
        <item x="598"/>
        <item x="694"/>
        <item x="771"/>
        <item x="1083"/>
        <item x="556"/>
        <item x="273"/>
        <item x="438"/>
        <item x="1163"/>
        <item x="551"/>
        <item x="308"/>
        <item x="366"/>
        <item x="94"/>
        <item x="965"/>
        <item x="159"/>
        <item x="662"/>
        <item x="854"/>
        <item x="1107"/>
        <item x="525"/>
        <item x="545"/>
        <item x="912"/>
        <item x="198"/>
        <item x="364"/>
        <item x="1140"/>
        <item x="1052"/>
        <item x="776"/>
        <item x="814"/>
        <item x="321"/>
        <item x="1041"/>
        <item x="1058"/>
        <item x="660"/>
        <item x="774"/>
        <item x="1085"/>
        <item x="558"/>
        <item x="839"/>
        <item x="782"/>
        <item x="204"/>
        <item x="790"/>
        <item x="645"/>
        <item x="769"/>
        <item x="199"/>
        <item x="894"/>
        <item x="51"/>
        <item x="375"/>
        <item x="677"/>
        <item x="617"/>
        <item x="1098"/>
        <item x="834"/>
        <item x="731"/>
        <item x="1151"/>
        <item x="368"/>
        <item x="231"/>
        <item x="614"/>
        <item x="479"/>
        <item x="422"/>
        <item x="157"/>
        <item x="963"/>
        <item x="15"/>
        <item x="108"/>
        <item x="552"/>
        <item x="652"/>
        <item x="278"/>
        <item x="181"/>
        <item x="563"/>
        <item x="441"/>
        <item x="560"/>
        <item x="1062"/>
        <item x="503"/>
        <item x="371"/>
        <item x="860"/>
        <item x="684"/>
        <item x="494"/>
        <item x="30"/>
        <item x="286"/>
        <item x="701"/>
        <item x="770"/>
        <item x="509"/>
        <item x="138"/>
        <item x="881"/>
        <item x="451"/>
        <item x="580"/>
        <item x="631"/>
        <item x="565"/>
        <item x="192"/>
        <item x="54"/>
        <item x="571"/>
        <item x="1073"/>
        <item x="722"/>
        <item x="205"/>
        <item x="902"/>
        <item x="79"/>
        <item x="1164"/>
        <item x="243"/>
        <item x="105"/>
        <item x="372"/>
        <item x="28"/>
        <item x="981"/>
        <item x="1145"/>
        <item x="928"/>
        <item x="847"/>
        <item x="1007"/>
        <item x="443"/>
        <item x="795"/>
        <item x="863"/>
        <item x="799"/>
        <item x="1147"/>
        <item x="699"/>
        <item x="679"/>
        <item x="685"/>
        <item x="490"/>
        <item x="518"/>
        <item x="464"/>
        <item x="802"/>
        <item x="561"/>
        <item x="1019"/>
        <item x="98"/>
        <item x="1040"/>
        <item x="267"/>
        <item x="461"/>
        <item x="78"/>
        <item x="128"/>
        <item x="954"/>
        <item x="1132"/>
        <item x="961"/>
        <item x="539"/>
        <item x="914"/>
        <item x="605"/>
        <item x="412"/>
        <item x="463"/>
        <item x="773"/>
        <item x="759"/>
        <item x="171"/>
        <item x="968"/>
        <item x="414"/>
        <item x="408"/>
        <item x="336"/>
        <item x="66"/>
        <item x="63"/>
        <item x="1128"/>
        <item x="797"/>
        <item x="313"/>
        <item x="751"/>
        <item x="285"/>
        <item x="927"/>
        <item x="445"/>
        <item x="574"/>
        <item x="104"/>
        <item x="365"/>
        <item x="57"/>
        <item x="360"/>
        <item x="648"/>
        <item x="1038"/>
        <item x="826"/>
        <item x="1176"/>
        <item x="625"/>
        <item x="328"/>
        <item x="469"/>
        <item x="431"/>
        <item x="459"/>
        <item x="931"/>
        <item x="46"/>
        <item x="118"/>
        <item x="944"/>
        <item x="856"/>
        <item x="1109"/>
        <item x="1127"/>
        <item x="636"/>
        <item x="850"/>
        <item x="791"/>
        <item x="941"/>
        <item x="763"/>
        <item x="36"/>
        <item x="1123"/>
        <item x="519"/>
        <item x="137"/>
        <item x="681"/>
        <item x="542"/>
        <item x="555"/>
        <item x="24"/>
        <item x="658"/>
        <item x="984"/>
        <item x="1076"/>
        <item x="191"/>
        <item x="734"/>
        <item x="456"/>
        <item x="255"/>
        <item x="592"/>
        <item x="379"/>
        <item x="1080"/>
        <item x="623"/>
        <item x="415"/>
        <item x="493"/>
        <item x="738"/>
        <item x="84"/>
        <item x="228"/>
        <item x="1069"/>
        <item x="761"/>
        <item x="433"/>
        <item x="295"/>
        <item x="718"/>
        <item x="596"/>
        <item x="203"/>
        <item x="345"/>
        <item x="284"/>
        <item x="45"/>
        <item x="241"/>
        <item x="608"/>
        <item x="246"/>
        <item x="999"/>
        <item x="1161"/>
        <item x="960"/>
        <item x="821"/>
        <item x="354"/>
        <item x="48"/>
        <item x="1173"/>
        <item x="25"/>
        <item x="801"/>
        <item x="695"/>
        <item x="871"/>
        <item x="1117"/>
        <item x="1066"/>
        <item x="353"/>
        <item x="683"/>
        <item x="111"/>
        <item x="980"/>
        <item x="566"/>
        <item x="107"/>
        <item x="447"/>
        <item x="179"/>
        <item x="874"/>
        <item x="2"/>
        <item x="151"/>
        <item x="760"/>
        <item x="538"/>
        <item x="306"/>
        <item x="1171"/>
        <item x="1018"/>
        <item x="7"/>
        <item x="240"/>
        <item x="713"/>
        <item x="329"/>
        <item x="207"/>
        <item x="5"/>
        <item x="1159"/>
        <item x="1047"/>
        <item x="253"/>
        <item x="200"/>
        <item x="254"/>
        <item x="1131"/>
        <item x="487"/>
        <item x="140"/>
        <item x="607"/>
        <item x="640"/>
        <item x="1071"/>
        <item x="1005"/>
        <item x="976"/>
        <item x="651"/>
        <item x="919"/>
        <item x="106"/>
        <item x="907"/>
        <item x="846"/>
        <item x="932"/>
        <item x="1054"/>
        <item x="998"/>
        <item x="727"/>
        <item x="512"/>
        <item x="618"/>
        <item x="391"/>
        <item x="628"/>
        <item x="676"/>
        <item x="362"/>
        <item x="312"/>
        <item x="266"/>
        <item x="130"/>
        <item x="930"/>
        <item x="916"/>
        <item x="164"/>
        <item x="279"/>
        <item x="735"/>
        <item x="969"/>
        <item x="996"/>
        <item x="861"/>
        <item x="1143"/>
        <item x="924"/>
        <item x="390"/>
        <item x="910"/>
        <item x="1119"/>
        <item x="290"/>
        <item x="1082"/>
        <item x="484"/>
        <item x="692"/>
        <item x="314"/>
        <item x="724"/>
        <item x="343"/>
        <item x="213"/>
        <item x="611"/>
        <item x="909"/>
        <item x="1060"/>
        <item x="455"/>
        <item x="440"/>
        <item x="374"/>
        <item x="511"/>
        <item x="983"/>
        <item x="409"/>
        <item x="929"/>
        <item x="1067"/>
        <item x="242"/>
        <item x="917"/>
        <item x="870"/>
        <item x="1130"/>
        <item x="815"/>
        <item x="945"/>
        <item x="736"/>
        <item x="301"/>
        <item x="166"/>
        <item x="1012"/>
        <item x="892"/>
        <item x="1057"/>
        <item x="1160"/>
        <item x="523"/>
        <item x="382"/>
        <item x="113"/>
        <item x="1177"/>
        <item x="419"/>
        <item x="296"/>
        <item x="1146"/>
        <item x="864"/>
        <item x="1150"/>
        <item x="879"/>
        <item x="642"/>
        <item x="70"/>
        <item x="752"/>
        <item x="949"/>
        <item x="194"/>
        <item x="824"/>
        <item x="578"/>
        <item x="506"/>
        <item x="466"/>
        <item x="272"/>
        <item x="356"/>
        <item x="920"/>
        <item x="1120"/>
        <item x="1165"/>
        <item x="453"/>
        <item x="468"/>
        <item x="276"/>
        <item x="822"/>
        <item x="633"/>
        <item x="1152"/>
        <item x="1053"/>
        <item x="467"/>
        <item x="569"/>
        <item x="369"/>
        <item x="476"/>
        <item x="1139"/>
        <item x="349"/>
        <item x="101"/>
        <item x="786"/>
        <item x="1042"/>
        <item x="547"/>
        <item x="765"/>
        <item x="594"/>
        <item x="841"/>
        <item x="392"/>
        <item x="1011"/>
        <item x="995"/>
        <item x="470"/>
        <item x="150"/>
        <item x="702"/>
        <item x="972"/>
        <item x="462"/>
        <item x="657"/>
        <item x="215"/>
        <item x="757"/>
        <item x="260"/>
        <item x="339"/>
        <item x="541"/>
        <item x="572"/>
        <item x="842"/>
        <item x="1089"/>
        <item x="947"/>
        <item x="196"/>
        <item x="1002"/>
        <item x="1144"/>
        <item x="647"/>
        <item x="126"/>
        <item x="537"/>
        <item x="833"/>
        <item x="471"/>
        <item x="500"/>
        <item x="946"/>
        <item x="146"/>
        <item x="966"/>
        <item x="189"/>
        <item x="132"/>
        <item x="27"/>
        <item x="160"/>
        <item x="263"/>
        <item x="403"/>
        <item x="488"/>
        <item x="672"/>
        <item x="224"/>
        <item x="35"/>
        <item x="869"/>
        <item x="489"/>
        <item x="395"/>
        <item x="143"/>
        <item x="923"/>
        <item x="650"/>
        <item x="55"/>
        <item x="85"/>
        <item x="708"/>
        <item x="942"/>
        <item x="38"/>
        <item x="304"/>
        <item x="297"/>
        <item x="586"/>
        <item x="627"/>
        <item x="234"/>
        <item x="167"/>
        <item x="641"/>
        <item x="217"/>
        <item x="56"/>
        <item x="125"/>
        <item x="1079"/>
        <item x="220"/>
        <item x="227"/>
        <item x="707"/>
        <item x="1025"/>
        <item x="90"/>
        <item x="1167"/>
        <item x="425"/>
        <item x="510"/>
        <item x="201"/>
        <item x="363"/>
        <item x="715"/>
        <item x="529"/>
        <item x="989"/>
        <item x="705"/>
        <item x="131"/>
        <item x="310"/>
        <item x="913"/>
        <item x="21"/>
        <item x="1010"/>
        <item x="10"/>
        <item x="14"/>
        <item x="348"/>
        <item x="875"/>
        <item x="789"/>
        <item x="58"/>
        <item x="559"/>
        <item x="423"/>
        <item x="753"/>
        <item x="606"/>
        <item x="971"/>
        <item x="393"/>
        <item x="1103"/>
        <item x="397"/>
        <item x="281"/>
        <item x="112"/>
        <item x="326"/>
        <item x="275"/>
        <item x="82"/>
        <item x="635"/>
        <item x="384"/>
        <item x="250"/>
        <item x="149"/>
        <item x="178"/>
        <item x="42"/>
        <item x="546"/>
        <item x="926"/>
        <item x="937"/>
        <item x="68"/>
        <item x="121"/>
        <item x="550"/>
        <item x="413"/>
        <item x="153"/>
        <item x="398"/>
        <item x="993"/>
        <item x="1094"/>
        <item x="210"/>
        <item x="967"/>
        <item x="117"/>
        <item x="615"/>
        <item x="729"/>
        <item x="120"/>
        <item x="259"/>
        <item x="399"/>
        <item x="110"/>
        <item x="898"/>
        <item x="997"/>
        <item x="638"/>
        <item x="882"/>
        <item x="330"/>
        <item x="862"/>
        <item x="576"/>
        <item x="1024"/>
        <item x="454"/>
        <item x="696"/>
        <item x="577"/>
        <item x="1017"/>
        <item x="307"/>
        <item x="71"/>
        <item x="749"/>
        <item x="92"/>
        <item x="495"/>
        <item x="16"/>
        <item x="1175"/>
        <item x="89"/>
        <item x="570"/>
        <item x="775"/>
        <item x="507"/>
        <item x="380"/>
        <item x="188"/>
        <item x="600"/>
        <item x="888"/>
        <item x="1121"/>
        <item x="400"/>
        <item x="1142"/>
        <item x="820"/>
        <item x="239"/>
        <item x="13"/>
        <item x="1092"/>
        <item x="908"/>
        <item x="515"/>
        <item x="502"/>
        <item x="225"/>
        <item x="630"/>
        <item x="1048"/>
        <item x="17"/>
        <item x="901"/>
        <item x="481"/>
        <item x="359"/>
        <item x="741"/>
        <item x="1035"/>
        <item x="19"/>
        <item x="1178"/>
        <item x="748"/>
        <item x="1063"/>
        <item x="784"/>
        <item x="973"/>
        <item x="437"/>
        <item x="918"/>
        <item x="288"/>
        <item x="87"/>
        <item x="436"/>
        <item x="477"/>
        <item x="1158"/>
        <item x="522"/>
        <item x="1001"/>
        <item x="75"/>
        <item x="812"/>
        <item x="712"/>
        <item x="483"/>
        <item x="548"/>
        <item x="804"/>
        <item x="849"/>
        <item x="637"/>
        <item x="610"/>
        <item x="885"/>
        <item x="256"/>
        <item x="897"/>
        <item x="163"/>
        <item x="305"/>
        <item x="536"/>
        <item x="81"/>
        <item x="1166"/>
        <item x="612"/>
        <item x="817"/>
        <item x="258"/>
        <item x="1077"/>
        <item x="283"/>
        <item x="1006"/>
        <item x="1072"/>
        <item x="922"/>
        <item x="144"/>
        <item x="309"/>
        <item x="693"/>
        <item x="823"/>
        <item x="803"/>
        <item x="69"/>
        <item x="1061"/>
        <item x="331"/>
        <item x="39"/>
        <item x="428"/>
        <item x="264"/>
        <item x="1030"/>
        <item x="1162"/>
        <item x="1059"/>
        <item x="83"/>
        <item x="185"/>
        <item x="405"/>
        <item x="77"/>
        <item x="212"/>
        <item x="686"/>
        <item x="197"/>
        <item x="177"/>
        <item x="1049"/>
        <item x="819"/>
        <item x="767"/>
        <item x="323"/>
        <item x="939"/>
        <item x="50"/>
        <item x="355"/>
        <item x="449"/>
        <item x="1097"/>
        <item x="37"/>
        <item x="1155"/>
        <item x="147"/>
        <item x="209"/>
        <item x="73"/>
        <item x="796"/>
        <item x="526"/>
        <item x="543"/>
        <item x="573"/>
        <item x="1118"/>
        <item x="646"/>
        <item x="53"/>
        <item x="698"/>
        <item x="1099"/>
        <item x="170"/>
        <item x="582"/>
        <item x="895"/>
        <item x="884"/>
        <item x="988"/>
        <item x="357"/>
        <item x="407"/>
        <item x="247"/>
        <item x="29"/>
        <item x="653"/>
        <item x="280"/>
        <item x="1114"/>
        <item x="950"/>
        <item x="1104"/>
        <item x="673"/>
        <item x="553"/>
        <item x="430"/>
        <item x="632"/>
        <item x="557"/>
        <item x="119"/>
        <item x="232"/>
        <item x="1133"/>
        <item x="72"/>
        <item x="588"/>
        <item x="486"/>
        <item x="86"/>
        <item x="794"/>
        <item x="420"/>
        <item x="300"/>
        <item x="338"/>
        <item x="721"/>
        <item x="593"/>
        <item x="202"/>
        <item x="122"/>
        <item x="245"/>
        <item x="226"/>
        <item x="176"/>
        <item x="332"/>
        <item x="161"/>
        <item x="873"/>
        <item x="282"/>
        <item x="1087"/>
        <item x="293"/>
        <item x="1115"/>
        <item x="982"/>
        <item x="891"/>
        <item x="298"/>
        <item x="248"/>
        <item x="955"/>
        <item x="987"/>
        <item x="233"/>
        <item x="959"/>
        <item x="1174"/>
        <item x="663"/>
        <item x="377"/>
        <item x="533"/>
        <item x="187"/>
        <item x="1172"/>
        <item x="952"/>
        <item x="1116"/>
        <item x="962"/>
        <item x="755"/>
        <item x="127"/>
        <item x="935"/>
        <item x="249"/>
        <item x="342"/>
        <item x="1170"/>
        <item x="402"/>
        <item x="921"/>
        <item x="688"/>
        <item x="866"/>
        <item x="504"/>
        <item x="777"/>
        <item x="903"/>
        <item x="899"/>
        <item x="341"/>
        <item x="1154"/>
        <item x="222"/>
        <item x="340"/>
        <item x="843"/>
        <item x="1029"/>
        <item x="661"/>
        <item x="268"/>
        <item x="792"/>
        <item x="1081"/>
        <item x="595"/>
        <item x="12"/>
        <item x="1014"/>
        <item x="270"/>
        <item x="829"/>
        <item x="1149"/>
        <item x="277"/>
        <item x="567"/>
        <item x="109"/>
        <item x="450"/>
        <item x="103"/>
        <item x="1074"/>
        <item x="123"/>
        <item x="788"/>
        <item x="844"/>
        <item x="1141"/>
        <item x="1008"/>
        <item x="116"/>
        <item x="583"/>
        <item x="219"/>
        <item x="186"/>
        <item x="442"/>
        <item x="318"/>
        <item x="404"/>
        <item x="527"/>
        <item x="8"/>
        <item x="986"/>
        <item x="1135"/>
        <item x="643"/>
        <item x="991"/>
        <item x="859"/>
        <item x="613"/>
        <item x="43"/>
        <item x="1050"/>
        <item x="497"/>
        <item x="575"/>
        <item x="1095"/>
        <item x="544"/>
        <item x="61"/>
        <item x="351"/>
        <item x="350"/>
        <item x="64"/>
        <item x="977"/>
        <item x="564"/>
        <item x="690"/>
        <item x="992"/>
        <item x="1"/>
        <item x="319"/>
        <item x="1096"/>
        <item x="411"/>
        <item x="401"/>
        <item x="554"/>
        <item x="175"/>
        <item x="948"/>
        <item x="896"/>
        <item x="810"/>
        <item x="236"/>
        <item x="1037"/>
        <item x="141"/>
        <item x="152"/>
        <item x="1064"/>
        <item x="1032"/>
        <item x="1125"/>
        <item x="145"/>
        <item x="373"/>
        <item x="251"/>
        <item x="609"/>
        <item x="1039"/>
        <item x="367"/>
        <item x="1126"/>
        <item x="855"/>
        <item x="156"/>
        <item x="1026"/>
        <item x="535"/>
        <item x="1156"/>
        <item x="813"/>
        <item x="957"/>
        <item x="474"/>
        <item x="99"/>
        <item x="809"/>
        <item x="334"/>
        <item x="252"/>
        <item x="680"/>
        <item x="785"/>
        <item x="174"/>
        <item x="524"/>
        <item x="1075"/>
        <item x="183"/>
        <item x="716"/>
        <item x="482"/>
        <item x="499"/>
        <item x="516"/>
        <item x="182"/>
        <item x="446"/>
        <item x="439"/>
        <item x="934"/>
        <item x="1070"/>
        <item x="235"/>
        <item x="173"/>
        <item x="383"/>
        <item x="1004"/>
        <item x="886"/>
        <item x="333"/>
        <item x="291"/>
        <item x="3"/>
        <item x="744"/>
        <item x="498"/>
        <item x="114"/>
        <item x="1110"/>
        <item x="851"/>
        <item x="540"/>
        <item x="827"/>
        <item x="754"/>
        <item x="1015"/>
        <item x="714"/>
        <item x="1028"/>
        <item x="868"/>
        <item x="597"/>
        <item x="135"/>
        <item x="1169"/>
        <item x="458"/>
        <item x="793"/>
        <item x="911"/>
        <item x="238"/>
        <item x="664"/>
        <item x="587"/>
        <item x="816"/>
        <item x="720"/>
        <item x="32"/>
        <item x="975"/>
        <item x="417"/>
        <item x="1101"/>
        <item x="344"/>
        <item x="416"/>
        <item x="1157"/>
        <item x="335"/>
        <item x="691"/>
        <item x="410"/>
        <item x="682"/>
        <item x="1093"/>
        <item x="501"/>
        <item x="1031"/>
        <item x="1046"/>
        <item x="4"/>
        <item x="134"/>
        <item x="670"/>
        <item x="386"/>
        <item x="756"/>
        <item x="492"/>
        <item x="838"/>
        <item x="352"/>
        <item x="478"/>
        <item x="396"/>
        <item x="764"/>
        <item x="387"/>
        <item x="978"/>
        <item x="315"/>
        <item x="808"/>
        <item x="905"/>
        <item x="644"/>
        <item x="505"/>
        <item x="584"/>
        <item x="289"/>
        <item x="1100"/>
        <item x="837"/>
        <item x="728"/>
        <item x="958"/>
        <item x="221"/>
        <item x="1086"/>
        <item x="88"/>
        <item x="528"/>
        <item x="629"/>
        <item x="940"/>
        <item x="549"/>
        <item x="1179"/>
        <item x="1009"/>
        <item x="877"/>
        <item x="890"/>
        <item x="697"/>
        <item x="772"/>
        <item x="1056"/>
        <item x="154"/>
        <item x="62"/>
        <item x="20"/>
        <item x="649"/>
        <item x="906"/>
        <item x="1108"/>
        <item x="1111"/>
        <item x="52"/>
        <item x="1055"/>
        <item x="700"/>
        <item x="142"/>
        <item x="639"/>
        <item x="1138"/>
        <item x="1021"/>
        <item x="320"/>
        <item x="316"/>
        <item x="883"/>
        <item x="223"/>
        <item x="124"/>
        <item x="475"/>
        <item x="388"/>
        <item x="421"/>
        <item x="762"/>
        <item x="91"/>
        <item x="1078"/>
        <item x="740"/>
        <item x="974"/>
        <item x="244"/>
        <item x="0"/>
        <item x="429"/>
        <item x="292"/>
        <item x="604"/>
        <item x="807"/>
        <item x="943"/>
        <item x="818"/>
        <item x="739"/>
        <item x="766"/>
        <item x="1023"/>
        <item x="857"/>
        <item x="1148"/>
        <item x="229"/>
        <item x="858"/>
        <item x="1091"/>
        <item x="1044"/>
        <item x="136"/>
        <item x="805"/>
        <item x="787"/>
        <item x="184"/>
        <item x="520"/>
        <item x="835"/>
        <item x="1102"/>
        <item x="385"/>
        <item x="517"/>
        <item x="448"/>
        <item x="985"/>
        <item x="723"/>
        <item x="41"/>
        <item x="22"/>
        <item x="100"/>
        <item x="1122"/>
        <item x="585"/>
        <item x="1124"/>
        <item x="601"/>
        <item x="915"/>
        <item x="732"/>
        <item x="711"/>
        <item x="165"/>
        <item x="214"/>
        <item x="325"/>
        <item x="979"/>
        <item x="34"/>
        <item x="687"/>
        <item x="485"/>
        <item x="889"/>
        <item x="668"/>
        <item x="158"/>
        <item x="531"/>
        <item x="1084"/>
        <item x="830"/>
        <item x="599"/>
        <item x="602"/>
        <item x="951"/>
        <item x="589"/>
        <item x="1105"/>
        <item x="726"/>
        <item x="534"/>
        <item x="139"/>
        <item x="1065"/>
        <item x="381"/>
        <item x="432"/>
        <item x="472"/>
        <item x="904"/>
        <item x="1022"/>
        <item x="848"/>
        <item x="709"/>
        <item x="1000"/>
        <item x="990"/>
        <item x="579"/>
        <item x="603"/>
        <item x="733"/>
        <item x="1134"/>
        <item x="1106"/>
        <item x="1043"/>
        <item x="887"/>
        <item x="322"/>
        <item x="302"/>
        <item x="9"/>
        <item x="845"/>
        <item x="880"/>
        <item x="465"/>
        <item x="530"/>
        <item x="193"/>
        <item x="1090"/>
        <item x="532"/>
        <item x="96"/>
        <item x="257"/>
        <item x="491"/>
        <item x="1027"/>
        <item x="675"/>
        <item x="426"/>
        <item x="97"/>
        <item x="1003"/>
        <item x="18"/>
        <item x="667"/>
        <item x="1168"/>
        <item x="1036"/>
        <item x="626"/>
        <item x="689"/>
        <item x="893"/>
        <item x="674"/>
        <item x="706"/>
        <item x="23"/>
        <item x="80"/>
        <item x="287"/>
        <item x="206"/>
        <item x="271"/>
        <item x="745"/>
        <item x="622"/>
        <item x="376"/>
        <item x="346"/>
        <item x="1016"/>
        <item x="435"/>
        <item x="370"/>
        <item x="619"/>
        <item x="742"/>
        <item x="269"/>
        <item x="218"/>
        <item x="743"/>
        <item x="514"/>
        <item x="1088"/>
        <item x="76"/>
        <item x="457"/>
        <item x="737"/>
        <item x="361"/>
        <item x="933"/>
        <item x="1153"/>
        <item x="406"/>
        <item x="148"/>
        <item x="581"/>
        <item x="900"/>
        <item x="620"/>
        <item x="666"/>
        <item x="779"/>
        <item x="840"/>
        <item x="303"/>
        <item x="11"/>
        <item x="746"/>
        <item x="717"/>
        <item x="460"/>
        <item x="274"/>
        <item x="452"/>
        <item x="1020"/>
        <item x="562"/>
        <item x="496"/>
        <item x="867"/>
        <item x="172"/>
        <item x="778"/>
        <item x="825"/>
        <item x="337"/>
        <item x="327"/>
        <item x="678"/>
        <item x="162"/>
        <item x="26"/>
        <item x="133"/>
        <item x="590"/>
        <item x="155"/>
        <item x="634"/>
        <item x="725"/>
        <item x="758"/>
        <item x="418"/>
        <item x="59"/>
        <item x="994"/>
        <item x="74"/>
        <item x="211"/>
        <item x="659"/>
        <item x="169"/>
        <item x="621"/>
        <item x="1137"/>
        <item x="671"/>
        <item x="513"/>
        <item x="876"/>
        <item x="378"/>
        <item x="655"/>
        <item x="168"/>
        <item x="938"/>
        <item x="1068"/>
        <item x="44"/>
        <item x="93"/>
        <item x="780"/>
        <item x="444"/>
        <item x="1129"/>
        <item x="508"/>
        <item x="730"/>
        <item x="195"/>
        <item x="60"/>
        <item x="669"/>
        <item x="31"/>
        <item x="798"/>
        <item x="719"/>
        <item x="216"/>
        <item x="190"/>
        <item x="434"/>
        <item x="208"/>
        <item x="953"/>
        <item x="67"/>
        <item x="115"/>
        <item x="521"/>
        <item x="262"/>
        <item x="828"/>
        <item x="389"/>
        <item x="75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165" showAll="0"/>
    <pivotField numFmtId="1" showAll="0"/>
    <pivotField showAll="0"/>
    <pivotField showAll="0"/>
    <pivotField axis="axisCol"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1">
    <field x="2"/>
  </rowFields>
  <rowItems count="5">
    <i>
      <x v="1"/>
    </i>
    <i>
      <x/>
    </i>
    <i>
      <x v="2"/>
    </i>
    <i>
      <x v="3"/>
    </i>
    <i t="grand">
      <x/>
    </i>
  </rowItems>
  <colFields count="1">
    <field x="9"/>
  </colFields>
  <colItems count="4">
    <i>
      <x v="1"/>
    </i>
    <i>
      <x/>
    </i>
    <i>
      <x v="2"/>
    </i>
    <i t="grand">
      <x/>
    </i>
  </colItems>
  <dataFields count="1">
    <dataField name="Sum of Sales Amount" fld="4" baseField="0" baseItem="0" numFmtId="165"/>
  </dataFields>
  <chartFormats count="10">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0"/>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3">
          <reference field="4294967294" count="1" selected="0">
            <x v="0"/>
          </reference>
          <reference field="2" count="1" selected="0">
            <x v="2"/>
          </reference>
          <reference field="9" count="1" selected="0">
            <x v="0"/>
          </reference>
        </references>
      </pivotArea>
    </chartFormat>
    <chartFormat chart="0" format="4">
      <pivotArea type="data" outline="0" fieldPosition="0">
        <references count="3">
          <reference field="4294967294" count="1" selected="0">
            <x v="0"/>
          </reference>
          <reference field="2" count="1" selected="0">
            <x v="2"/>
          </reference>
          <reference field="9" count="1" selected="0">
            <x v="2"/>
          </reference>
        </references>
      </pivotArea>
    </chartFormat>
    <chartFormat chart="12" format="10" series="1">
      <pivotArea type="data" outline="0" fieldPosition="0">
        <references count="2">
          <reference field="4294967294" count="1" selected="0">
            <x v="0"/>
          </reference>
          <reference field="9" count="1" selected="0">
            <x v="1"/>
          </reference>
        </references>
      </pivotArea>
    </chartFormat>
    <chartFormat chart="12" format="11" series="1">
      <pivotArea type="data" outline="0" fieldPosition="0">
        <references count="2">
          <reference field="4294967294" count="1" selected="0">
            <x v="0"/>
          </reference>
          <reference field="9" count="1" selected="0">
            <x v="0"/>
          </reference>
        </references>
      </pivotArea>
    </chartFormat>
    <chartFormat chart="12" format="12">
      <pivotArea type="data" outline="0" fieldPosition="0">
        <references count="3">
          <reference field="4294967294" count="1" selected="0">
            <x v="0"/>
          </reference>
          <reference field="2" count="1" selected="0">
            <x v="2"/>
          </reference>
          <reference field="9" count="1" selected="0">
            <x v="0"/>
          </reference>
        </references>
      </pivotArea>
    </chartFormat>
    <chartFormat chart="12" format="13" series="1">
      <pivotArea type="data" outline="0" fieldPosition="0">
        <references count="2">
          <reference field="4294967294" count="1" selected="0">
            <x v="0"/>
          </reference>
          <reference field="9" count="1" selected="0">
            <x v="2"/>
          </reference>
        </references>
      </pivotArea>
    </chartFormat>
    <chartFormat chart="12" format="14">
      <pivotArea type="data" outline="0" fieldPosition="0">
        <references count="3">
          <reference field="4294967294" count="1" selected="0">
            <x v="0"/>
          </reference>
          <reference field="2"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3DCE0B-60F8-437F-B27C-D33F6A6FDCB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C10" firstHeaderRow="1" firstDataRow="1" firstDataCol="1"/>
  <pivotFields count="15">
    <pivotField showAll="0"/>
    <pivotField numFmtId="164" showAll="0">
      <items count="1181">
        <item x="832"/>
        <item x="811"/>
        <item x="831"/>
        <item x="1136"/>
        <item x="1013"/>
        <item x="783"/>
        <item x="768"/>
        <item x="480"/>
        <item x="65"/>
        <item x="865"/>
        <item x="358"/>
        <item x="852"/>
        <item x="261"/>
        <item x="568"/>
        <item x="427"/>
        <item x="299"/>
        <item x="624"/>
        <item x="800"/>
        <item x="394"/>
        <item x="936"/>
        <item x="424"/>
        <item x="40"/>
        <item x="806"/>
        <item x="878"/>
        <item x="95"/>
        <item x="970"/>
        <item x="1113"/>
        <item x="6"/>
        <item x="591"/>
        <item x="836"/>
        <item x="311"/>
        <item x="33"/>
        <item x="656"/>
        <item x="129"/>
        <item x="1034"/>
        <item x="347"/>
        <item x="956"/>
        <item x="703"/>
        <item x="294"/>
        <item x="1112"/>
        <item x="47"/>
        <item x="964"/>
        <item x="665"/>
        <item x="704"/>
        <item x="853"/>
        <item x="872"/>
        <item x="925"/>
        <item x="265"/>
        <item x="747"/>
        <item x="781"/>
        <item x="1033"/>
        <item x="1051"/>
        <item x="230"/>
        <item x="654"/>
        <item x="1045"/>
        <item x="180"/>
        <item x="710"/>
        <item x="317"/>
        <item x="473"/>
        <item x="616"/>
        <item x="237"/>
        <item x="49"/>
        <item x="324"/>
        <item x="102"/>
        <item x="598"/>
        <item x="694"/>
        <item x="771"/>
        <item x="1083"/>
        <item x="556"/>
        <item x="273"/>
        <item x="438"/>
        <item x="1163"/>
        <item x="551"/>
        <item x="308"/>
        <item x="366"/>
        <item x="94"/>
        <item x="965"/>
        <item x="159"/>
        <item x="662"/>
        <item x="854"/>
        <item x="1107"/>
        <item x="525"/>
        <item x="545"/>
        <item x="912"/>
        <item x="198"/>
        <item x="364"/>
        <item x="1140"/>
        <item x="1052"/>
        <item x="776"/>
        <item x="814"/>
        <item x="321"/>
        <item x="1041"/>
        <item x="1058"/>
        <item x="660"/>
        <item x="774"/>
        <item x="1085"/>
        <item x="558"/>
        <item x="839"/>
        <item x="782"/>
        <item x="204"/>
        <item x="790"/>
        <item x="645"/>
        <item x="769"/>
        <item x="199"/>
        <item x="894"/>
        <item x="51"/>
        <item x="375"/>
        <item x="677"/>
        <item x="617"/>
        <item x="1098"/>
        <item x="834"/>
        <item x="731"/>
        <item x="1151"/>
        <item x="368"/>
        <item x="231"/>
        <item x="614"/>
        <item x="479"/>
        <item x="422"/>
        <item x="157"/>
        <item x="963"/>
        <item x="15"/>
        <item x="108"/>
        <item x="552"/>
        <item x="652"/>
        <item x="278"/>
        <item x="181"/>
        <item x="563"/>
        <item x="441"/>
        <item x="560"/>
        <item x="1062"/>
        <item x="503"/>
        <item x="371"/>
        <item x="860"/>
        <item x="684"/>
        <item x="494"/>
        <item x="30"/>
        <item x="286"/>
        <item x="701"/>
        <item x="770"/>
        <item x="509"/>
        <item x="138"/>
        <item x="881"/>
        <item x="451"/>
        <item x="580"/>
        <item x="631"/>
        <item x="565"/>
        <item x="192"/>
        <item x="54"/>
        <item x="571"/>
        <item x="1073"/>
        <item x="722"/>
        <item x="205"/>
        <item x="902"/>
        <item x="79"/>
        <item x="1164"/>
        <item x="243"/>
        <item x="105"/>
        <item x="372"/>
        <item x="28"/>
        <item x="981"/>
        <item x="1145"/>
        <item x="928"/>
        <item x="847"/>
        <item x="1007"/>
        <item x="443"/>
        <item x="795"/>
        <item x="863"/>
        <item x="799"/>
        <item x="1147"/>
        <item x="699"/>
        <item x="679"/>
        <item x="685"/>
        <item x="490"/>
        <item x="518"/>
        <item x="464"/>
        <item x="802"/>
        <item x="561"/>
        <item x="1019"/>
        <item x="98"/>
        <item x="1040"/>
        <item x="267"/>
        <item x="461"/>
        <item x="78"/>
        <item x="128"/>
        <item x="954"/>
        <item x="1132"/>
        <item x="961"/>
        <item x="539"/>
        <item x="914"/>
        <item x="605"/>
        <item x="412"/>
        <item x="463"/>
        <item x="773"/>
        <item x="759"/>
        <item x="171"/>
        <item x="968"/>
        <item x="414"/>
        <item x="408"/>
        <item x="336"/>
        <item x="66"/>
        <item x="63"/>
        <item x="1128"/>
        <item x="797"/>
        <item x="313"/>
        <item x="751"/>
        <item x="285"/>
        <item x="927"/>
        <item x="445"/>
        <item x="574"/>
        <item x="104"/>
        <item x="365"/>
        <item x="57"/>
        <item x="360"/>
        <item x="648"/>
        <item x="1038"/>
        <item x="826"/>
        <item x="1176"/>
        <item x="625"/>
        <item x="328"/>
        <item x="469"/>
        <item x="431"/>
        <item x="459"/>
        <item x="931"/>
        <item x="46"/>
        <item x="118"/>
        <item x="944"/>
        <item x="856"/>
        <item x="1109"/>
        <item x="1127"/>
        <item x="636"/>
        <item x="850"/>
        <item x="791"/>
        <item x="941"/>
        <item x="763"/>
        <item x="36"/>
        <item x="1123"/>
        <item x="519"/>
        <item x="137"/>
        <item x="681"/>
        <item x="542"/>
        <item x="555"/>
        <item x="24"/>
        <item x="658"/>
        <item x="984"/>
        <item x="1076"/>
        <item x="191"/>
        <item x="734"/>
        <item x="456"/>
        <item x="255"/>
        <item x="592"/>
        <item x="379"/>
        <item x="1080"/>
        <item x="623"/>
        <item x="415"/>
        <item x="493"/>
        <item x="738"/>
        <item x="84"/>
        <item x="228"/>
        <item x="1069"/>
        <item x="761"/>
        <item x="433"/>
        <item x="295"/>
        <item x="718"/>
        <item x="596"/>
        <item x="203"/>
        <item x="345"/>
        <item x="284"/>
        <item x="45"/>
        <item x="241"/>
        <item x="608"/>
        <item x="246"/>
        <item x="999"/>
        <item x="1161"/>
        <item x="960"/>
        <item x="821"/>
        <item x="354"/>
        <item x="48"/>
        <item x="1173"/>
        <item x="25"/>
        <item x="801"/>
        <item x="695"/>
        <item x="871"/>
        <item x="1117"/>
        <item x="1066"/>
        <item x="353"/>
        <item x="683"/>
        <item x="111"/>
        <item x="980"/>
        <item x="566"/>
        <item x="107"/>
        <item x="447"/>
        <item x="179"/>
        <item x="874"/>
        <item x="2"/>
        <item x="151"/>
        <item x="760"/>
        <item x="538"/>
        <item x="306"/>
        <item x="1171"/>
        <item x="1018"/>
        <item x="7"/>
        <item x="240"/>
        <item x="713"/>
        <item x="329"/>
        <item x="207"/>
        <item x="5"/>
        <item x="1159"/>
        <item x="1047"/>
        <item x="253"/>
        <item x="200"/>
        <item x="254"/>
        <item x="1131"/>
        <item x="487"/>
        <item x="140"/>
        <item x="607"/>
        <item x="640"/>
        <item x="1071"/>
        <item x="1005"/>
        <item x="976"/>
        <item x="651"/>
        <item x="919"/>
        <item x="106"/>
        <item x="907"/>
        <item x="846"/>
        <item x="932"/>
        <item x="1054"/>
        <item x="998"/>
        <item x="727"/>
        <item x="512"/>
        <item x="618"/>
        <item x="391"/>
        <item x="628"/>
        <item x="676"/>
        <item x="362"/>
        <item x="312"/>
        <item x="266"/>
        <item x="130"/>
        <item x="930"/>
        <item x="916"/>
        <item x="164"/>
        <item x="279"/>
        <item x="735"/>
        <item x="969"/>
        <item x="996"/>
        <item x="861"/>
        <item x="1143"/>
        <item x="924"/>
        <item x="390"/>
        <item x="910"/>
        <item x="1119"/>
        <item x="290"/>
        <item x="1082"/>
        <item x="484"/>
        <item x="692"/>
        <item x="314"/>
        <item x="724"/>
        <item x="343"/>
        <item x="213"/>
        <item x="611"/>
        <item x="909"/>
        <item x="1060"/>
        <item x="455"/>
        <item x="440"/>
        <item x="374"/>
        <item x="511"/>
        <item x="983"/>
        <item x="409"/>
        <item x="929"/>
        <item x="1067"/>
        <item x="242"/>
        <item x="917"/>
        <item x="870"/>
        <item x="1130"/>
        <item x="815"/>
        <item x="945"/>
        <item x="736"/>
        <item x="301"/>
        <item x="166"/>
        <item x="1012"/>
        <item x="892"/>
        <item x="1057"/>
        <item x="1160"/>
        <item x="523"/>
        <item x="382"/>
        <item x="113"/>
        <item x="1177"/>
        <item x="419"/>
        <item x="296"/>
        <item x="1146"/>
        <item x="864"/>
        <item x="1150"/>
        <item x="879"/>
        <item x="642"/>
        <item x="70"/>
        <item x="752"/>
        <item x="949"/>
        <item x="194"/>
        <item x="824"/>
        <item x="578"/>
        <item x="506"/>
        <item x="466"/>
        <item x="272"/>
        <item x="356"/>
        <item x="920"/>
        <item x="1120"/>
        <item x="1165"/>
        <item x="453"/>
        <item x="468"/>
        <item x="276"/>
        <item x="822"/>
        <item x="633"/>
        <item x="1152"/>
        <item x="1053"/>
        <item x="467"/>
        <item x="569"/>
        <item x="369"/>
        <item x="476"/>
        <item x="1139"/>
        <item x="349"/>
        <item x="101"/>
        <item x="786"/>
        <item x="1042"/>
        <item x="547"/>
        <item x="765"/>
        <item x="594"/>
        <item x="841"/>
        <item x="392"/>
        <item x="1011"/>
        <item x="995"/>
        <item x="470"/>
        <item x="150"/>
        <item x="702"/>
        <item x="972"/>
        <item x="462"/>
        <item x="657"/>
        <item x="215"/>
        <item x="757"/>
        <item x="260"/>
        <item x="339"/>
        <item x="541"/>
        <item x="572"/>
        <item x="842"/>
        <item x="1089"/>
        <item x="947"/>
        <item x="196"/>
        <item x="1002"/>
        <item x="1144"/>
        <item x="647"/>
        <item x="126"/>
        <item x="537"/>
        <item x="833"/>
        <item x="471"/>
        <item x="500"/>
        <item x="946"/>
        <item x="146"/>
        <item x="966"/>
        <item x="189"/>
        <item x="132"/>
        <item x="27"/>
        <item x="160"/>
        <item x="263"/>
        <item x="403"/>
        <item x="488"/>
        <item x="672"/>
        <item x="224"/>
        <item x="35"/>
        <item x="869"/>
        <item x="489"/>
        <item x="395"/>
        <item x="143"/>
        <item x="923"/>
        <item x="650"/>
        <item x="55"/>
        <item x="85"/>
        <item x="708"/>
        <item x="942"/>
        <item x="38"/>
        <item x="304"/>
        <item x="297"/>
        <item x="586"/>
        <item x="627"/>
        <item x="234"/>
        <item x="167"/>
        <item x="641"/>
        <item x="217"/>
        <item x="56"/>
        <item x="125"/>
        <item x="1079"/>
        <item x="220"/>
        <item x="227"/>
        <item x="707"/>
        <item x="1025"/>
        <item x="90"/>
        <item x="1167"/>
        <item x="425"/>
        <item x="510"/>
        <item x="201"/>
        <item x="363"/>
        <item x="715"/>
        <item x="529"/>
        <item x="989"/>
        <item x="705"/>
        <item x="131"/>
        <item x="310"/>
        <item x="913"/>
        <item x="21"/>
        <item x="1010"/>
        <item x="10"/>
        <item x="14"/>
        <item x="348"/>
        <item x="875"/>
        <item x="789"/>
        <item x="58"/>
        <item x="559"/>
        <item x="423"/>
        <item x="753"/>
        <item x="606"/>
        <item x="971"/>
        <item x="393"/>
        <item x="1103"/>
        <item x="397"/>
        <item x="281"/>
        <item x="112"/>
        <item x="326"/>
        <item x="275"/>
        <item x="82"/>
        <item x="635"/>
        <item x="384"/>
        <item x="250"/>
        <item x="149"/>
        <item x="178"/>
        <item x="42"/>
        <item x="546"/>
        <item x="926"/>
        <item x="937"/>
        <item x="68"/>
        <item x="121"/>
        <item x="550"/>
        <item x="413"/>
        <item x="153"/>
        <item x="398"/>
        <item x="993"/>
        <item x="1094"/>
        <item x="210"/>
        <item x="967"/>
        <item x="117"/>
        <item x="615"/>
        <item x="729"/>
        <item x="120"/>
        <item x="259"/>
        <item x="399"/>
        <item x="110"/>
        <item x="898"/>
        <item x="997"/>
        <item x="638"/>
        <item x="882"/>
        <item x="330"/>
        <item x="862"/>
        <item x="576"/>
        <item x="1024"/>
        <item x="454"/>
        <item x="696"/>
        <item x="577"/>
        <item x="1017"/>
        <item x="307"/>
        <item x="71"/>
        <item x="749"/>
        <item x="92"/>
        <item x="495"/>
        <item x="16"/>
        <item x="1175"/>
        <item x="89"/>
        <item x="570"/>
        <item x="775"/>
        <item x="507"/>
        <item x="380"/>
        <item x="188"/>
        <item x="600"/>
        <item x="888"/>
        <item x="1121"/>
        <item x="400"/>
        <item x="1142"/>
        <item x="820"/>
        <item x="239"/>
        <item x="13"/>
        <item x="1092"/>
        <item x="908"/>
        <item x="515"/>
        <item x="502"/>
        <item x="225"/>
        <item x="630"/>
        <item x="1048"/>
        <item x="17"/>
        <item x="901"/>
        <item x="481"/>
        <item x="359"/>
        <item x="741"/>
        <item x="1035"/>
        <item x="19"/>
        <item x="1178"/>
        <item x="748"/>
        <item x="1063"/>
        <item x="784"/>
        <item x="973"/>
        <item x="437"/>
        <item x="918"/>
        <item x="288"/>
        <item x="87"/>
        <item x="436"/>
        <item x="477"/>
        <item x="1158"/>
        <item x="522"/>
        <item x="1001"/>
        <item x="75"/>
        <item x="812"/>
        <item x="712"/>
        <item x="483"/>
        <item x="548"/>
        <item x="804"/>
        <item x="849"/>
        <item x="637"/>
        <item x="610"/>
        <item x="885"/>
        <item x="256"/>
        <item x="897"/>
        <item x="163"/>
        <item x="305"/>
        <item x="536"/>
        <item x="81"/>
        <item x="1166"/>
        <item x="612"/>
        <item x="817"/>
        <item x="258"/>
        <item x="1077"/>
        <item x="283"/>
        <item x="1006"/>
        <item x="1072"/>
        <item x="922"/>
        <item x="144"/>
        <item x="309"/>
        <item x="693"/>
        <item x="823"/>
        <item x="803"/>
        <item x="69"/>
        <item x="1061"/>
        <item x="331"/>
        <item x="39"/>
        <item x="428"/>
        <item x="264"/>
        <item x="1030"/>
        <item x="1162"/>
        <item x="1059"/>
        <item x="83"/>
        <item x="185"/>
        <item x="405"/>
        <item x="77"/>
        <item x="212"/>
        <item x="686"/>
        <item x="197"/>
        <item x="177"/>
        <item x="1049"/>
        <item x="819"/>
        <item x="767"/>
        <item x="323"/>
        <item x="939"/>
        <item x="50"/>
        <item x="355"/>
        <item x="449"/>
        <item x="1097"/>
        <item x="37"/>
        <item x="1155"/>
        <item x="147"/>
        <item x="209"/>
        <item x="73"/>
        <item x="796"/>
        <item x="526"/>
        <item x="543"/>
        <item x="573"/>
        <item x="1118"/>
        <item x="646"/>
        <item x="53"/>
        <item x="698"/>
        <item x="1099"/>
        <item x="170"/>
        <item x="582"/>
        <item x="895"/>
        <item x="884"/>
        <item x="988"/>
        <item x="357"/>
        <item x="407"/>
        <item x="247"/>
        <item x="29"/>
        <item x="653"/>
        <item x="280"/>
        <item x="1114"/>
        <item x="950"/>
        <item x="1104"/>
        <item x="673"/>
        <item x="553"/>
        <item x="430"/>
        <item x="632"/>
        <item x="557"/>
        <item x="119"/>
        <item x="232"/>
        <item x="1133"/>
        <item x="72"/>
        <item x="588"/>
        <item x="486"/>
        <item x="86"/>
        <item x="794"/>
        <item x="420"/>
        <item x="300"/>
        <item x="338"/>
        <item x="721"/>
        <item x="593"/>
        <item x="202"/>
        <item x="122"/>
        <item x="245"/>
        <item x="226"/>
        <item x="176"/>
        <item x="332"/>
        <item x="161"/>
        <item x="873"/>
        <item x="282"/>
        <item x="1087"/>
        <item x="293"/>
        <item x="1115"/>
        <item x="982"/>
        <item x="891"/>
        <item x="298"/>
        <item x="248"/>
        <item x="955"/>
        <item x="987"/>
        <item x="233"/>
        <item x="959"/>
        <item x="1174"/>
        <item x="663"/>
        <item x="377"/>
        <item x="533"/>
        <item x="187"/>
        <item x="1172"/>
        <item x="952"/>
        <item x="1116"/>
        <item x="962"/>
        <item x="755"/>
        <item x="127"/>
        <item x="935"/>
        <item x="249"/>
        <item x="342"/>
        <item x="1170"/>
        <item x="402"/>
        <item x="921"/>
        <item x="688"/>
        <item x="866"/>
        <item x="504"/>
        <item x="777"/>
        <item x="903"/>
        <item x="899"/>
        <item x="341"/>
        <item x="1154"/>
        <item x="222"/>
        <item x="340"/>
        <item x="843"/>
        <item x="1029"/>
        <item x="661"/>
        <item x="268"/>
        <item x="792"/>
        <item x="1081"/>
        <item x="595"/>
        <item x="12"/>
        <item x="1014"/>
        <item x="270"/>
        <item x="829"/>
        <item x="1149"/>
        <item x="277"/>
        <item x="567"/>
        <item x="109"/>
        <item x="450"/>
        <item x="103"/>
        <item x="1074"/>
        <item x="123"/>
        <item x="788"/>
        <item x="844"/>
        <item x="1141"/>
        <item x="1008"/>
        <item x="116"/>
        <item x="583"/>
        <item x="219"/>
        <item x="186"/>
        <item x="442"/>
        <item x="318"/>
        <item x="404"/>
        <item x="527"/>
        <item x="8"/>
        <item x="986"/>
        <item x="1135"/>
        <item x="643"/>
        <item x="991"/>
        <item x="859"/>
        <item x="613"/>
        <item x="43"/>
        <item x="1050"/>
        <item x="497"/>
        <item x="575"/>
        <item x="1095"/>
        <item x="544"/>
        <item x="61"/>
        <item x="351"/>
        <item x="350"/>
        <item x="64"/>
        <item x="977"/>
        <item x="564"/>
        <item x="690"/>
        <item x="992"/>
        <item x="1"/>
        <item x="319"/>
        <item x="1096"/>
        <item x="411"/>
        <item x="401"/>
        <item x="554"/>
        <item x="175"/>
        <item x="948"/>
        <item x="896"/>
        <item x="810"/>
        <item x="236"/>
        <item x="1037"/>
        <item x="141"/>
        <item x="152"/>
        <item x="1064"/>
        <item x="1032"/>
        <item x="1125"/>
        <item x="145"/>
        <item x="373"/>
        <item x="251"/>
        <item x="609"/>
        <item x="1039"/>
        <item x="367"/>
        <item x="1126"/>
        <item x="855"/>
        <item x="156"/>
        <item x="1026"/>
        <item x="535"/>
        <item x="1156"/>
        <item x="813"/>
        <item x="957"/>
        <item x="474"/>
        <item x="99"/>
        <item x="809"/>
        <item x="334"/>
        <item x="252"/>
        <item x="680"/>
        <item x="785"/>
        <item x="174"/>
        <item x="524"/>
        <item x="1075"/>
        <item x="183"/>
        <item x="716"/>
        <item x="482"/>
        <item x="499"/>
        <item x="516"/>
        <item x="182"/>
        <item x="446"/>
        <item x="439"/>
        <item x="934"/>
        <item x="1070"/>
        <item x="235"/>
        <item x="173"/>
        <item x="383"/>
        <item x="1004"/>
        <item x="886"/>
        <item x="333"/>
        <item x="291"/>
        <item x="3"/>
        <item x="744"/>
        <item x="498"/>
        <item x="114"/>
        <item x="1110"/>
        <item x="851"/>
        <item x="540"/>
        <item x="827"/>
        <item x="754"/>
        <item x="1015"/>
        <item x="714"/>
        <item x="1028"/>
        <item x="868"/>
        <item x="597"/>
        <item x="135"/>
        <item x="1169"/>
        <item x="458"/>
        <item x="793"/>
        <item x="911"/>
        <item x="238"/>
        <item x="664"/>
        <item x="587"/>
        <item x="816"/>
        <item x="720"/>
        <item x="32"/>
        <item x="975"/>
        <item x="417"/>
        <item x="1101"/>
        <item x="344"/>
        <item x="416"/>
        <item x="1157"/>
        <item x="335"/>
        <item x="691"/>
        <item x="410"/>
        <item x="682"/>
        <item x="1093"/>
        <item x="501"/>
        <item x="1031"/>
        <item x="1046"/>
        <item x="4"/>
        <item x="134"/>
        <item x="670"/>
        <item x="386"/>
        <item x="756"/>
        <item x="492"/>
        <item x="838"/>
        <item x="352"/>
        <item x="478"/>
        <item x="396"/>
        <item x="764"/>
        <item x="387"/>
        <item x="978"/>
        <item x="315"/>
        <item x="808"/>
        <item x="905"/>
        <item x="644"/>
        <item x="505"/>
        <item x="584"/>
        <item x="289"/>
        <item x="1100"/>
        <item x="837"/>
        <item x="728"/>
        <item x="958"/>
        <item x="221"/>
        <item x="1086"/>
        <item x="88"/>
        <item x="528"/>
        <item x="629"/>
        <item x="940"/>
        <item x="549"/>
        <item x="1179"/>
        <item x="1009"/>
        <item x="877"/>
        <item x="890"/>
        <item x="697"/>
        <item x="772"/>
        <item x="1056"/>
        <item x="154"/>
        <item x="62"/>
        <item x="20"/>
        <item x="649"/>
        <item x="906"/>
        <item x="1108"/>
        <item x="1111"/>
        <item x="52"/>
        <item x="1055"/>
        <item x="700"/>
        <item x="142"/>
        <item x="639"/>
        <item x="1138"/>
        <item x="1021"/>
        <item x="320"/>
        <item x="316"/>
        <item x="883"/>
        <item x="223"/>
        <item x="124"/>
        <item x="475"/>
        <item x="388"/>
        <item x="421"/>
        <item x="762"/>
        <item x="91"/>
        <item x="1078"/>
        <item x="740"/>
        <item x="974"/>
        <item x="244"/>
        <item x="0"/>
        <item x="429"/>
        <item x="292"/>
        <item x="604"/>
        <item x="807"/>
        <item x="943"/>
        <item x="818"/>
        <item x="739"/>
        <item x="766"/>
        <item x="1023"/>
        <item x="857"/>
        <item x="1148"/>
        <item x="229"/>
        <item x="858"/>
        <item x="1091"/>
        <item x="1044"/>
        <item x="136"/>
        <item x="805"/>
        <item x="787"/>
        <item x="184"/>
        <item x="520"/>
        <item x="835"/>
        <item x="1102"/>
        <item x="385"/>
        <item x="517"/>
        <item x="448"/>
        <item x="985"/>
        <item x="723"/>
        <item x="41"/>
        <item x="22"/>
        <item x="100"/>
        <item x="1122"/>
        <item x="585"/>
        <item x="1124"/>
        <item x="601"/>
        <item x="915"/>
        <item x="732"/>
        <item x="711"/>
        <item x="165"/>
        <item x="214"/>
        <item x="325"/>
        <item x="979"/>
        <item x="34"/>
        <item x="687"/>
        <item x="485"/>
        <item x="889"/>
        <item x="668"/>
        <item x="158"/>
        <item x="531"/>
        <item x="1084"/>
        <item x="830"/>
        <item x="599"/>
        <item x="602"/>
        <item x="951"/>
        <item x="589"/>
        <item x="1105"/>
        <item x="726"/>
        <item x="534"/>
        <item x="139"/>
        <item x="1065"/>
        <item x="381"/>
        <item x="432"/>
        <item x="472"/>
        <item x="904"/>
        <item x="1022"/>
        <item x="848"/>
        <item x="709"/>
        <item x="1000"/>
        <item x="990"/>
        <item x="579"/>
        <item x="603"/>
        <item x="733"/>
        <item x="1134"/>
        <item x="1106"/>
        <item x="1043"/>
        <item x="887"/>
        <item x="322"/>
        <item x="302"/>
        <item x="9"/>
        <item x="845"/>
        <item x="880"/>
        <item x="465"/>
        <item x="530"/>
        <item x="193"/>
        <item x="1090"/>
        <item x="532"/>
        <item x="96"/>
        <item x="257"/>
        <item x="491"/>
        <item x="1027"/>
        <item x="675"/>
        <item x="426"/>
        <item x="97"/>
        <item x="1003"/>
        <item x="18"/>
        <item x="667"/>
        <item x="1168"/>
        <item x="1036"/>
        <item x="626"/>
        <item x="689"/>
        <item x="893"/>
        <item x="674"/>
        <item x="706"/>
        <item x="23"/>
        <item x="80"/>
        <item x="287"/>
        <item x="206"/>
        <item x="271"/>
        <item x="745"/>
        <item x="622"/>
        <item x="376"/>
        <item x="346"/>
        <item x="1016"/>
        <item x="435"/>
        <item x="370"/>
        <item x="619"/>
        <item x="742"/>
        <item x="269"/>
        <item x="218"/>
        <item x="743"/>
        <item x="514"/>
        <item x="1088"/>
        <item x="76"/>
        <item x="457"/>
        <item x="737"/>
        <item x="361"/>
        <item x="933"/>
        <item x="1153"/>
        <item x="406"/>
        <item x="148"/>
        <item x="581"/>
        <item x="900"/>
        <item x="620"/>
        <item x="666"/>
        <item x="779"/>
        <item x="840"/>
        <item x="303"/>
        <item x="11"/>
        <item x="746"/>
        <item x="717"/>
        <item x="460"/>
        <item x="274"/>
        <item x="452"/>
        <item x="1020"/>
        <item x="562"/>
        <item x="496"/>
        <item x="867"/>
        <item x="172"/>
        <item x="778"/>
        <item x="825"/>
        <item x="337"/>
        <item x="327"/>
        <item x="678"/>
        <item x="162"/>
        <item x="26"/>
        <item x="133"/>
        <item x="590"/>
        <item x="155"/>
        <item x="634"/>
        <item x="725"/>
        <item x="758"/>
        <item x="418"/>
        <item x="59"/>
        <item x="994"/>
        <item x="74"/>
        <item x="211"/>
        <item x="659"/>
        <item x="169"/>
        <item x="621"/>
        <item x="1137"/>
        <item x="671"/>
        <item x="513"/>
        <item x="876"/>
        <item x="378"/>
        <item x="655"/>
        <item x="168"/>
        <item x="938"/>
        <item x="1068"/>
        <item x="44"/>
        <item x="93"/>
        <item x="780"/>
        <item x="444"/>
        <item x="1129"/>
        <item x="508"/>
        <item x="730"/>
        <item x="195"/>
        <item x="60"/>
        <item x="669"/>
        <item x="31"/>
        <item x="798"/>
        <item x="719"/>
        <item x="216"/>
        <item x="190"/>
        <item x="434"/>
        <item x="208"/>
        <item x="953"/>
        <item x="67"/>
        <item x="115"/>
        <item x="521"/>
        <item x="262"/>
        <item x="828"/>
        <item x="389"/>
        <item x="750"/>
        <item t="default"/>
      </items>
    </pivotField>
    <pivotField showAll="0">
      <items count="5">
        <item x="0"/>
        <item x="2"/>
        <item x="3"/>
        <item x="1"/>
        <item t="default"/>
      </items>
    </pivotField>
    <pivotField showAll="0"/>
    <pivotField dataField="1" numFmtId="165" showAll="0"/>
    <pivotField numFmtId="165" showAll="0"/>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1">
    <field x="7"/>
  </rowFields>
  <rowItems count="4">
    <i>
      <x v="1"/>
    </i>
    <i>
      <x/>
    </i>
    <i>
      <x v="2"/>
    </i>
    <i t="grand">
      <x/>
    </i>
  </rowItems>
  <colItems count="1">
    <i/>
  </colItems>
  <dataFields count="1">
    <dataField name="Sum of Sales Amount" fld="4"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F1619D-D40F-4EAE-BDBF-9CDF7E18CC4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D8" firstHeaderRow="0" firstDataRow="1" firstDataCol="1"/>
  <pivotFields count="15">
    <pivotField showAll="0"/>
    <pivotField numFmtId="164" showAll="0">
      <items count="1181">
        <item x="832"/>
        <item x="811"/>
        <item x="831"/>
        <item x="1136"/>
        <item x="1013"/>
        <item x="783"/>
        <item x="768"/>
        <item x="480"/>
        <item x="65"/>
        <item x="865"/>
        <item x="358"/>
        <item x="852"/>
        <item x="261"/>
        <item x="568"/>
        <item x="427"/>
        <item x="299"/>
        <item x="624"/>
        <item x="800"/>
        <item x="394"/>
        <item x="936"/>
        <item x="424"/>
        <item x="40"/>
        <item x="806"/>
        <item x="878"/>
        <item x="95"/>
        <item x="970"/>
        <item x="1113"/>
        <item x="6"/>
        <item x="591"/>
        <item x="836"/>
        <item x="311"/>
        <item x="33"/>
        <item x="656"/>
        <item x="129"/>
        <item x="1034"/>
        <item x="347"/>
        <item x="956"/>
        <item x="703"/>
        <item x="294"/>
        <item x="1112"/>
        <item x="47"/>
        <item x="964"/>
        <item x="665"/>
        <item x="704"/>
        <item x="853"/>
        <item x="872"/>
        <item x="925"/>
        <item x="265"/>
        <item x="747"/>
        <item x="781"/>
        <item x="1033"/>
        <item x="1051"/>
        <item x="230"/>
        <item x="654"/>
        <item x="1045"/>
        <item x="180"/>
        <item x="710"/>
        <item x="317"/>
        <item x="473"/>
        <item x="616"/>
        <item x="237"/>
        <item x="49"/>
        <item x="324"/>
        <item x="102"/>
        <item x="598"/>
        <item x="694"/>
        <item x="771"/>
        <item x="1083"/>
        <item x="556"/>
        <item x="273"/>
        <item x="438"/>
        <item x="1163"/>
        <item x="551"/>
        <item x="308"/>
        <item x="366"/>
        <item x="94"/>
        <item x="965"/>
        <item x="159"/>
        <item x="662"/>
        <item x="854"/>
        <item x="1107"/>
        <item x="525"/>
        <item x="545"/>
        <item x="912"/>
        <item x="198"/>
        <item x="364"/>
        <item x="1140"/>
        <item x="1052"/>
        <item x="776"/>
        <item x="814"/>
        <item x="321"/>
        <item x="1041"/>
        <item x="1058"/>
        <item x="660"/>
        <item x="774"/>
        <item x="1085"/>
        <item x="558"/>
        <item x="839"/>
        <item x="782"/>
        <item x="204"/>
        <item x="790"/>
        <item x="645"/>
        <item x="769"/>
        <item x="199"/>
        <item x="894"/>
        <item x="51"/>
        <item x="375"/>
        <item x="677"/>
        <item x="617"/>
        <item x="1098"/>
        <item x="834"/>
        <item x="731"/>
        <item x="1151"/>
        <item x="368"/>
        <item x="231"/>
        <item x="614"/>
        <item x="479"/>
        <item x="422"/>
        <item x="157"/>
        <item x="963"/>
        <item x="15"/>
        <item x="108"/>
        <item x="552"/>
        <item x="652"/>
        <item x="278"/>
        <item x="181"/>
        <item x="563"/>
        <item x="441"/>
        <item x="560"/>
        <item x="1062"/>
        <item x="503"/>
        <item x="371"/>
        <item x="860"/>
        <item x="684"/>
        <item x="494"/>
        <item x="30"/>
        <item x="286"/>
        <item x="701"/>
        <item x="770"/>
        <item x="509"/>
        <item x="138"/>
        <item x="881"/>
        <item x="451"/>
        <item x="580"/>
        <item x="631"/>
        <item x="565"/>
        <item x="192"/>
        <item x="54"/>
        <item x="571"/>
        <item x="1073"/>
        <item x="722"/>
        <item x="205"/>
        <item x="902"/>
        <item x="79"/>
        <item x="1164"/>
        <item x="243"/>
        <item x="105"/>
        <item x="372"/>
        <item x="28"/>
        <item x="981"/>
        <item x="1145"/>
        <item x="928"/>
        <item x="847"/>
        <item x="1007"/>
        <item x="443"/>
        <item x="795"/>
        <item x="863"/>
        <item x="799"/>
        <item x="1147"/>
        <item x="699"/>
        <item x="679"/>
        <item x="685"/>
        <item x="490"/>
        <item x="518"/>
        <item x="464"/>
        <item x="802"/>
        <item x="561"/>
        <item x="1019"/>
        <item x="98"/>
        <item x="1040"/>
        <item x="267"/>
        <item x="461"/>
        <item x="78"/>
        <item x="128"/>
        <item x="954"/>
        <item x="1132"/>
        <item x="961"/>
        <item x="539"/>
        <item x="914"/>
        <item x="605"/>
        <item x="412"/>
        <item x="463"/>
        <item x="773"/>
        <item x="759"/>
        <item x="171"/>
        <item x="968"/>
        <item x="414"/>
        <item x="408"/>
        <item x="336"/>
        <item x="66"/>
        <item x="63"/>
        <item x="1128"/>
        <item x="797"/>
        <item x="313"/>
        <item x="751"/>
        <item x="285"/>
        <item x="927"/>
        <item x="445"/>
        <item x="574"/>
        <item x="104"/>
        <item x="365"/>
        <item x="57"/>
        <item x="360"/>
        <item x="648"/>
        <item x="1038"/>
        <item x="826"/>
        <item x="1176"/>
        <item x="625"/>
        <item x="328"/>
        <item x="469"/>
        <item x="431"/>
        <item x="459"/>
        <item x="931"/>
        <item x="46"/>
        <item x="118"/>
        <item x="944"/>
        <item x="856"/>
        <item x="1109"/>
        <item x="1127"/>
        <item x="636"/>
        <item x="850"/>
        <item x="791"/>
        <item x="941"/>
        <item x="763"/>
        <item x="36"/>
        <item x="1123"/>
        <item x="519"/>
        <item x="137"/>
        <item x="681"/>
        <item x="542"/>
        <item x="555"/>
        <item x="24"/>
        <item x="658"/>
        <item x="984"/>
        <item x="1076"/>
        <item x="191"/>
        <item x="734"/>
        <item x="456"/>
        <item x="255"/>
        <item x="592"/>
        <item x="379"/>
        <item x="1080"/>
        <item x="623"/>
        <item x="415"/>
        <item x="493"/>
        <item x="738"/>
        <item x="84"/>
        <item x="228"/>
        <item x="1069"/>
        <item x="761"/>
        <item x="433"/>
        <item x="295"/>
        <item x="718"/>
        <item x="596"/>
        <item x="203"/>
        <item x="345"/>
        <item x="284"/>
        <item x="45"/>
        <item x="241"/>
        <item x="608"/>
        <item x="246"/>
        <item x="999"/>
        <item x="1161"/>
        <item x="960"/>
        <item x="821"/>
        <item x="354"/>
        <item x="48"/>
        <item x="1173"/>
        <item x="25"/>
        <item x="801"/>
        <item x="695"/>
        <item x="871"/>
        <item x="1117"/>
        <item x="1066"/>
        <item x="353"/>
        <item x="683"/>
        <item x="111"/>
        <item x="980"/>
        <item x="566"/>
        <item x="107"/>
        <item x="447"/>
        <item x="179"/>
        <item x="874"/>
        <item x="2"/>
        <item x="151"/>
        <item x="760"/>
        <item x="538"/>
        <item x="306"/>
        <item x="1171"/>
        <item x="1018"/>
        <item x="7"/>
        <item x="240"/>
        <item x="713"/>
        <item x="329"/>
        <item x="207"/>
        <item x="5"/>
        <item x="1159"/>
        <item x="1047"/>
        <item x="253"/>
        <item x="200"/>
        <item x="254"/>
        <item x="1131"/>
        <item x="487"/>
        <item x="140"/>
        <item x="607"/>
        <item x="640"/>
        <item x="1071"/>
        <item x="1005"/>
        <item x="976"/>
        <item x="651"/>
        <item x="919"/>
        <item x="106"/>
        <item x="907"/>
        <item x="846"/>
        <item x="932"/>
        <item x="1054"/>
        <item x="998"/>
        <item x="727"/>
        <item x="512"/>
        <item x="618"/>
        <item x="391"/>
        <item x="628"/>
        <item x="676"/>
        <item x="362"/>
        <item x="312"/>
        <item x="266"/>
        <item x="130"/>
        <item x="930"/>
        <item x="916"/>
        <item x="164"/>
        <item x="279"/>
        <item x="735"/>
        <item x="969"/>
        <item x="996"/>
        <item x="861"/>
        <item x="1143"/>
        <item x="924"/>
        <item x="390"/>
        <item x="910"/>
        <item x="1119"/>
        <item x="290"/>
        <item x="1082"/>
        <item x="484"/>
        <item x="692"/>
        <item x="314"/>
        <item x="724"/>
        <item x="343"/>
        <item x="213"/>
        <item x="611"/>
        <item x="909"/>
        <item x="1060"/>
        <item x="455"/>
        <item x="440"/>
        <item x="374"/>
        <item x="511"/>
        <item x="983"/>
        <item x="409"/>
        <item x="929"/>
        <item x="1067"/>
        <item x="242"/>
        <item x="917"/>
        <item x="870"/>
        <item x="1130"/>
        <item x="815"/>
        <item x="945"/>
        <item x="736"/>
        <item x="301"/>
        <item x="166"/>
        <item x="1012"/>
        <item x="892"/>
        <item x="1057"/>
        <item x="1160"/>
        <item x="523"/>
        <item x="382"/>
        <item x="113"/>
        <item x="1177"/>
        <item x="419"/>
        <item x="296"/>
        <item x="1146"/>
        <item x="864"/>
        <item x="1150"/>
        <item x="879"/>
        <item x="642"/>
        <item x="70"/>
        <item x="752"/>
        <item x="949"/>
        <item x="194"/>
        <item x="824"/>
        <item x="578"/>
        <item x="506"/>
        <item x="466"/>
        <item x="272"/>
        <item x="356"/>
        <item x="920"/>
        <item x="1120"/>
        <item x="1165"/>
        <item x="453"/>
        <item x="468"/>
        <item x="276"/>
        <item x="822"/>
        <item x="633"/>
        <item x="1152"/>
        <item x="1053"/>
        <item x="467"/>
        <item x="569"/>
        <item x="369"/>
        <item x="476"/>
        <item x="1139"/>
        <item x="349"/>
        <item x="101"/>
        <item x="786"/>
        <item x="1042"/>
        <item x="547"/>
        <item x="765"/>
        <item x="594"/>
        <item x="841"/>
        <item x="392"/>
        <item x="1011"/>
        <item x="995"/>
        <item x="470"/>
        <item x="150"/>
        <item x="702"/>
        <item x="972"/>
        <item x="462"/>
        <item x="657"/>
        <item x="215"/>
        <item x="757"/>
        <item x="260"/>
        <item x="339"/>
        <item x="541"/>
        <item x="572"/>
        <item x="842"/>
        <item x="1089"/>
        <item x="947"/>
        <item x="196"/>
        <item x="1002"/>
        <item x="1144"/>
        <item x="647"/>
        <item x="126"/>
        <item x="537"/>
        <item x="833"/>
        <item x="471"/>
        <item x="500"/>
        <item x="946"/>
        <item x="146"/>
        <item x="966"/>
        <item x="189"/>
        <item x="132"/>
        <item x="27"/>
        <item x="160"/>
        <item x="263"/>
        <item x="403"/>
        <item x="488"/>
        <item x="672"/>
        <item x="224"/>
        <item x="35"/>
        <item x="869"/>
        <item x="489"/>
        <item x="395"/>
        <item x="143"/>
        <item x="923"/>
        <item x="650"/>
        <item x="55"/>
        <item x="85"/>
        <item x="708"/>
        <item x="942"/>
        <item x="38"/>
        <item x="304"/>
        <item x="297"/>
        <item x="586"/>
        <item x="627"/>
        <item x="234"/>
        <item x="167"/>
        <item x="641"/>
        <item x="217"/>
        <item x="56"/>
        <item x="125"/>
        <item x="1079"/>
        <item x="220"/>
        <item x="227"/>
        <item x="707"/>
        <item x="1025"/>
        <item x="90"/>
        <item x="1167"/>
        <item x="425"/>
        <item x="510"/>
        <item x="201"/>
        <item x="363"/>
        <item x="715"/>
        <item x="529"/>
        <item x="989"/>
        <item x="705"/>
        <item x="131"/>
        <item x="310"/>
        <item x="913"/>
        <item x="21"/>
        <item x="1010"/>
        <item x="10"/>
        <item x="14"/>
        <item x="348"/>
        <item x="875"/>
        <item x="789"/>
        <item x="58"/>
        <item x="559"/>
        <item x="423"/>
        <item x="753"/>
        <item x="606"/>
        <item x="971"/>
        <item x="393"/>
        <item x="1103"/>
        <item x="397"/>
        <item x="281"/>
        <item x="112"/>
        <item x="326"/>
        <item x="275"/>
        <item x="82"/>
        <item x="635"/>
        <item x="384"/>
        <item x="250"/>
        <item x="149"/>
        <item x="178"/>
        <item x="42"/>
        <item x="546"/>
        <item x="926"/>
        <item x="937"/>
        <item x="68"/>
        <item x="121"/>
        <item x="550"/>
        <item x="413"/>
        <item x="153"/>
        <item x="398"/>
        <item x="993"/>
        <item x="1094"/>
        <item x="210"/>
        <item x="967"/>
        <item x="117"/>
        <item x="615"/>
        <item x="729"/>
        <item x="120"/>
        <item x="259"/>
        <item x="399"/>
        <item x="110"/>
        <item x="898"/>
        <item x="997"/>
        <item x="638"/>
        <item x="882"/>
        <item x="330"/>
        <item x="862"/>
        <item x="576"/>
        <item x="1024"/>
        <item x="454"/>
        <item x="696"/>
        <item x="577"/>
        <item x="1017"/>
        <item x="307"/>
        <item x="71"/>
        <item x="749"/>
        <item x="92"/>
        <item x="495"/>
        <item x="16"/>
        <item x="1175"/>
        <item x="89"/>
        <item x="570"/>
        <item x="775"/>
        <item x="507"/>
        <item x="380"/>
        <item x="188"/>
        <item x="600"/>
        <item x="888"/>
        <item x="1121"/>
        <item x="400"/>
        <item x="1142"/>
        <item x="820"/>
        <item x="239"/>
        <item x="13"/>
        <item x="1092"/>
        <item x="908"/>
        <item x="515"/>
        <item x="502"/>
        <item x="225"/>
        <item x="630"/>
        <item x="1048"/>
        <item x="17"/>
        <item x="901"/>
        <item x="481"/>
        <item x="359"/>
        <item x="741"/>
        <item x="1035"/>
        <item x="19"/>
        <item x="1178"/>
        <item x="748"/>
        <item x="1063"/>
        <item x="784"/>
        <item x="973"/>
        <item x="437"/>
        <item x="918"/>
        <item x="288"/>
        <item x="87"/>
        <item x="436"/>
        <item x="477"/>
        <item x="1158"/>
        <item x="522"/>
        <item x="1001"/>
        <item x="75"/>
        <item x="812"/>
        <item x="712"/>
        <item x="483"/>
        <item x="548"/>
        <item x="804"/>
        <item x="849"/>
        <item x="637"/>
        <item x="610"/>
        <item x="885"/>
        <item x="256"/>
        <item x="897"/>
        <item x="163"/>
        <item x="305"/>
        <item x="536"/>
        <item x="81"/>
        <item x="1166"/>
        <item x="612"/>
        <item x="817"/>
        <item x="258"/>
        <item x="1077"/>
        <item x="283"/>
        <item x="1006"/>
        <item x="1072"/>
        <item x="922"/>
        <item x="144"/>
        <item x="309"/>
        <item x="693"/>
        <item x="823"/>
        <item x="803"/>
        <item x="69"/>
        <item x="1061"/>
        <item x="331"/>
        <item x="39"/>
        <item x="428"/>
        <item x="264"/>
        <item x="1030"/>
        <item x="1162"/>
        <item x="1059"/>
        <item x="83"/>
        <item x="185"/>
        <item x="405"/>
        <item x="77"/>
        <item x="212"/>
        <item x="686"/>
        <item x="197"/>
        <item x="177"/>
        <item x="1049"/>
        <item x="819"/>
        <item x="767"/>
        <item x="323"/>
        <item x="939"/>
        <item x="50"/>
        <item x="355"/>
        <item x="449"/>
        <item x="1097"/>
        <item x="37"/>
        <item x="1155"/>
        <item x="147"/>
        <item x="209"/>
        <item x="73"/>
        <item x="796"/>
        <item x="526"/>
        <item x="543"/>
        <item x="573"/>
        <item x="1118"/>
        <item x="646"/>
        <item x="53"/>
        <item x="698"/>
        <item x="1099"/>
        <item x="170"/>
        <item x="582"/>
        <item x="895"/>
        <item x="884"/>
        <item x="988"/>
        <item x="357"/>
        <item x="407"/>
        <item x="247"/>
        <item x="29"/>
        <item x="653"/>
        <item x="280"/>
        <item x="1114"/>
        <item x="950"/>
        <item x="1104"/>
        <item x="673"/>
        <item x="553"/>
        <item x="430"/>
        <item x="632"/>
        <item x="557"/>
        <item x="119"/>
        <item x="232"/>
        <item x="1133"/>
        <item x="72"/>
        <item x="588"/>
        <item x="486"/>
        <item x="86"/>
        <item x="794"/>
        <item x="420"/>
        <item x="300"/>
        <item x="338"/>
        <item x="721"/>
        <item x="593"/>
        <item x="202"/>
        <item x="122"/>
        <item x="245"/>
        <item x="226"/>
        <item x="176"/>
        <item x="332"/>
        <item x="161"/>
        <item x="873"/>
        <item x="282"/>
        <item x="1087"/>
        <item x="293"/>
        <item x="1115"/>
        <item x="982"/>
        <item x="891"/>
        <item x="298"/>
        <item x="248"/>
        <item x="955"/>
        <item x="987"/>
        <item x="233"/>
        <item x="959"/>
        <item x="1174"/>
        <item x="663"/>
        <item x="377"/>
        <item x="533"/>
        <item x="187"/>
        <item x="1172"/>
        <item x="952"/>
        <item x="1116"/>
        <item x="962"/>
        <item x="755"/>
        <item x="127"/>
        <item x="935"/>
        <item x="249"/>
        <item x="342"/>
        <item x="1170"/>
        <item x="402"/>
        <item x="921"/>
        <item x="688"/>
        <item x="866"/>
        <item x="504"/>
        <item x="777"/>
        <item x="903"/>
        <item x="899"/>
        <item x="341"/>
        <item x="1154"/>
        <item x="222"/>
        <item x="340"/>
        <item x="843"/>
        <item x="1029"/>
        <item x="661"/>
        <item x="268"/>
        <item x="792"/>
        <item x="1081"/>
        <item x="595"/>
        <item x="12"/>
        <item x="1014"/>
        <item x="270"/>
        <item x="829"/>
        <item x="1149"/>
        <item x="277"/>
        <item x="567"/>
        <item x="109"/>
        <item x="450"/>
        <item x="103"/>
        <item x="1074"/>
        <item x="123"/>
        <item x="788"/>
        <item x="844"/>
        <item x="1141"/>
        <item x="1008"/>
        <item x="116"/>
        <item x="583"/>
        <item x="219"/>
        <item x="186"/>
        <item x="442"/>
        <item x="318"/>
        <item x="404"/>
        <item x="527"/>
        <item x="8"/>
        <item x="986"/>
        <item x="1135"/>
        <item x="643"/>
        <item x="991"/>
        <item x="859"/>
        <item x="613"/>
        <item x="43"/>
        <item x="1050"/>
        <item x="497"/>
        <item x="575"/>
        <item x="1095"/>
        <item x="544"/>
        <item x="61"/>
        <item x="351"/>
        <item x="350"/>
        <item x="64"/>
        <item x="977"/>
        <item x="564"/>
        <item x="690"/>
        <item x="992"/>
        <item x="1"/>
        <item x="319"/>
        <item x="1096"/>
        <item x="411"/>
        <item x="401"/>
        <item x="554"/>
        <item x="175"/>
        <item x="948"/>
        <item x="896"/>
        <item x="810"/>
        <item x="236"/>
        <item x="1037"/>
        <item x="141"/>
        <item x="152"/>
        <item x="1064"/>
        <item x="1032"/>
        <item x="1125"/>
        <item x="145"/>
        <item x="373"/>
        <item x="251"/>
        <item x="609"/>
        <item x="1039"/>
        <item x="367"/>
        <item x="1126"/>
        <item x="855"/>
        <item x="156"/>
        <item x="1026"/>
        <item x="535"/>
        <item x="1156"/>
        <item x="813"/>
        <item x="957"/>
        <item x="474"/>
        <item x="99"/>
        <item x="809"/>
        <item x="334"/>
        <item x="252"/>
        <item x="680"/>
        <item x="785"/>
        <item x="174"/>
        <item x="524"/>
        <item x="1075"/>
        <item x="183"/>
        <item x="716"/>
        <item x="482"/>
        <item x="499"/>
        <item x="516"/>
        <item x="182"/>
        <item x="446"/>
        <item x="439"/>
        <item x="934"/>
        <item x="1070"/>
        <item x="235"/>
        <item x="173"/>
        <item x="383"/>
        <item x="1004"/>
        <item x="886"/>
        <item x="333"/>
        <item x="291"/>
        <item x="3"/>
        <item x="744"/>
        <item x="498"/>
        <item x="114"/>
        <item x="1110"/>
        <item x="851"/>
        <item x="540"/>
        <item x="827"/>
        <item x="754"/>
        <item x="1015"/>
        <item x="714"/>
        <item x="1028"/>
        <item x="868"/>
        <item x="597"/>
        <item x="135"/>
        <item x="1169"/>
        <item x="458"/>
        <item x="793"/>
        <item x="911"/>
        <item x="238"/>
        <item x="664"/>
        <item x="587"/>
        <item x="816"/>
        <item x="720"/>
        <item x="32"/>
        <item x="975"/>
        <item x="417"/>
        <item x="1101"/>
        <item x="344"/>
        <item x="416"/>
        <item x="1157"/>
        <item x="335"/>
        <item x="691"/>
        <item x="410"/>
        <item x="682"/>
        <item x="1093"/>
        <item x="501"/>
        <item x="1031"/>
        <item x="1046"/>
        <item x="4"/>
        <item x="134"/>
        <item x="670"/>
        <item x="386"/>
        <item x="756"/>
        <item x="492"/>
        <item x="838"/>
        <item x="352"/>
        <item x="478"/>
        <item x="396"/>
        <item x="764"/>
        <item x="387"/>
        <item x="978"/>
        <item x="315"/>
        <item x="808"/>
        <item x="905"/>
        <item x="644"/>
        <item x="505"/>
        <item x="584"/>
        <item x="289"/>
        <item x="1100"/>
        <item x="837"/>
        <item x="728"/>
        <item x="958"/>
        <item x="221"/>
        <item x="1086"/>
        <item x="88"/>
        <item x="528"/>
        <item x="629"/>
        <item x="940"/>
        <item x="549"/>
        <item x="1179"/>
        <item x="1009"/>
        <item x="877"/>
        <item x="890"/>
        <item x="697"/>
        <item x="772"/>
        <item x="1056"/>
        <item x="154"/>
        <item x="62"/>
        <item x="20"/>
        <item x="649"/>
        <item x="906"/>
        <item x="1108"/>
        <item x="1111"/>
        <item x="52"/>
        <item x="1055"/>
        <item x="700"/>
        <item x="142"/>
        <item x="639"/>
        <item x="1138"/>
        <item x="1021"/>
        <item x="320"/>
        <item x="316"/>
        <item x="883"/>
        <item x="223"/>
        <item x="124"/>
        <item x="475"/>
        <item x="388"/>
        <item x="421"/>
        <item x="762"/>
        <item x="91"/>
        <item x="1078"/>
        <item x="740"/>
        <item x="974"/>
        <item x="244"/>
        <item x="0"/>
        <item x="429"/>
        <item x="292"/>
        <item x="604"/>
        <item x="807"/>
        <item x="943"/>
        <item x="818"/>
        <item x="739"/>
        <item x="766"/>
        <item x="1023"/>
        <item x="857"/>
        <item x="1148"/>
        <item x="229"/>
        <item x="858"/>
        <item x="1091"/>
        <item x="1044"/>
        <item x="136"/>
        <item x="805"/>
        <item x="787"/>
        <item x="184"/>
        <item x="520"/>
        <item x="835"/>
        <item x="1102"/>
        <item x="385"/>
        <item x="517"/>
        <item x="448"/>
        <item x="985"/>
        <item x="723"/>
        <item x="41"/>
        <item x="22"/>
        <item x="100"/>
        <item x="1122"/>
        <item x="585"/>
        <item x="1124"/>
        <item x="601"/>
        <item x="915"/>
        <item x="732"/>
        <item x="711"/>
        <item x="165"/>
        <item x="214"/>
        <item x="325"/>
        <item x="979"/>
        <item x="34"/>
        <item x="687"/>
        <item x="485"/>
        <item x="889"/>
        <item x="668"/>
        <item x="158"/>
        <item x="531"/>
        <item x="1084"/>
        <item x="830"/>
        <item x="599"/>
        <item x="602"/>
        <item x="951"/>
        <item x="589"/>
        <item x="1105"/>
        <item x="726"/>
        <item x="534"/>
        <item x="139"/>
        <item x="1065"/>
        <item x="381"/>
        <item x="432"/>
        <item x="472"/>
        <item x="904"/>
        <item x="1022"/>
        <item x="848"/>
        <item x="709"/>
        <item x="1000"/>
        <item x="990"/>
        <item x="579"/>
        <item x="603"/>
        <item x="733"/>
        <item x="1134"/>
        <item x="1106"/>
        <item x="1043"/>
        <item x="887"/>
        <item x="322"/>
        <item x="302"/>
        <item x="9"/>
        <item x="845"/>
        <item x="880"/>
        <item x="465"/>
        <item x="530"/>
        <item x="193"/>
        <item x="1090"/>
        <item x="532"/>
        <item x="96"/>
        <item x="257"/>
        <item x="491"/>
        <item x="1027"/>
        <item x="675"/>
        <item x="426"/>
        <item x="97"/>
        <item x="1003"/>
        <item x="18"/>
        <item x="667"/>
        <item x="1168"/>
        <item x="1036"/>
        <item x="626"/>
        <item x="689"/>
        <item x="893"/>
        <item x="674"/>
        <item x="706"/>
        <item x="23"/>
        <item x="80"/>
        <item x="287"/>
        <item x="206"/>
        <item x="271"/>
        <item x="745"/>
        <item x="622"/>
        <item x="376"/>
        <item x="346"/>
        <item x="1016"/>
        <item x="435"/>
        <item x="370"/>
        <item x="619"/>
        <item x="742"/>
        <item x="269"/>
        <item x="218"/>
        <item x="743"/>
        <item x="514"/>
        <item x="1088"/>
        <item x="76"/>
        <item x="457"/>
        <item x="737"/>
        <item x="361"/>
        <item x="933"/>
        <item x="1153"/>
        <item x="406"/>
        <item x="148"/>
        <item x="581"/>
        <item x="900"/>
        <item x="620"/>
        <item x="666"/>
        <item x="779"/>
        <item x="840"/>
        <item x="303"/>
        <item x="11"/>
        <item x="746"/>
        <item x="717"/>
        <item x="460"/>
        <item x="274"/>
        <item x="452"/>
        <item x="1020"/>
        <item x="562"/>
        <item x="496"/>
        <item x="867"/>
        <item x="172"/>
        <item x="778"/>
        <item x="825"/>
        <item x="337"/>
        <item x="327"/>
        <item x="678"/>
        <item x="162"/>
        <item x="26"/>
        <item x="133"/>
        <item x="590"/>
        <item x="155"/>
        <item x="634"/>
        <item x="725"/>
        <item x="758"/>
        <item x="418"/>
        <item x="59"/>
        <item x="994"/>
        <item x="74"/>
        <item x="211"/>
        <item x="659"/>
        <item x="169"/>
        <item x="621"/>
        <item x="1137"/>
        <item x="671"/>
        <item x="513"/>
        <item x="876"/>
        <item x="378"/>
        <item x="655"/>
        <item x="168"/>
        <item x="938"/>
        <item x="1068"/>
        <item x="44"/>
        <item x="93"/>
        <item x="780"/>
        <item x="444"/>
        <item x="1129"/>
        <item x="508"/>
        <item x="730"/>
        <item x="195"/>
        <item x="60"/>
        <item x="669"/>
        <item x="31"/>
        <item x="798"/>
        <item x="719"/>
        <item x="216"/>
        <item x="190"/>
        <item x="434"/>
        <item x="208"/>
        <item x="953"/>
        <item x="67"/>
        <item x="115"/>
        <item x="521"/>
        <item x="262"/>
        <item x="828"/>
        <item x="389"/>
        <item x="750"/>
        <item t="default"/>
      </items>
    </pivotField>
    <pivotField showAll="0">
      <items count="5">
        <item x="0"/>
        <item x="2"/>
        <item x="3"/>
        <item x="1"/>
        <item t="default"/>
      </items>
    </pivotField>
    <pivotField showAll="0"/>
    <pivotField dataField="1" numFmtId="165" showAll="0"/>
    <pivotField dataField="1" numFmtId="165" showAll="0"/>
    <pivotField numFmtId="1" showAll="0"/>
    <pivotField axis="axisRow" showAll="0" sortType="descending">
      <items count="4">
        <item x="1"/>
        <item x="0"/>
        <item x="2"/>
        <item t="default"/>
      </items>
    </pivotField>
    <pivotField showAll="0"/>
    <pivotField showAll="0">
      <items count="4">
        <item x="1"/>
        <item x="2"/>
        <item x="0"/>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1">
    <field x="7"/>
  </rowFields>
  <rowItems count="4">
    <i>
      <x/>
    </i>
    <i>
      <x v="1"/>
    </i>
    <i>
      <x v="2"/>
    </i>
    <i t="grand">
      <x/>
    </i>
  </rowItems>
  <colFields count="1">
    <field x="-2"/>
  </colFields>
  <colItems count="2">
    <i>
      <x/>
    </i>
    <i i="1">
      <x v="1"/>
    </i>
  </colItems>
  <dataFields count="2">
    <dataField name="Sum of Sales Amount" fld="4" baseField="0" baseItem="0" numFmtId="165"/>
    <dataField name="Sum of Profit" fld="5" baseField="0" baseItem="0" numFmtId="16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9B3DEB-CD5F-4DDD-B384-0858C65C30E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E10" firstHeaderRow="0" firstDataRow="1" firstDataCol="1"/>
  <pivotFields count="13">
    <pivotField showAll="0"/>
    <pivotField numFmtId="164" showAll="0"/>
    <pivotField showAll="0"/>
    <pivotField showAll="0"/>
    <pivotField dataField="1" numFmtId="165" showAll="0"/>
    <pivotField numFmtId="165" showAll="0"/>
    <pivotField numFmtId="1"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s>
  <rowFields count="1">
    <field x="9"/>
  </rowFields>
  <rowItems count="4">
    <i>
      <x/>
    </i>
    <i>
      <x v="2"/>
    </i>
    <i>
      <x v="1"/>
    </i>
    <i t="grand">
      <x/>
    </i>
  </rowItems>
  <colFields count="1">
    <field x="-2"/>
  </colFields>
  <colItems count="2">
    <i>
      <x/>
    </i>
    <i i="1">
      <x v="1"/>
    </i>
  </colItems>
  <dataFields count="2">
    <dataField name="Sum of Sales Amount" fld="4" baseField="0" baseItem="0" numFmtId="165"/>
    <dataField name="Average of Profit Margin" fld="12" subtotal="average"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2C3E4F-1E63-4C28-B2B7-EE8EA08EC3D6}" sourceName="Region">
  <pivotTables>
    <pivotTable tabId="6" name="PivotTable4"/>
    <pivotTable tabId="5" name="PivotTable3"/>
    <pivotTable tabId="7" name="PivotTable5"/>
    <pivotTable tabId="8" name="PivotTable6"/>
    <pivotTable tabId="9" name="PivotTable17"/>
    <pivotTable tabId="10" name="PivotTable18"/>
  </pivotTables>
  <data>
    <tabular pivotCacheId="3082836" customListSort="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C98737B-D6F4-460F-BDB4-64C8AD230408}" sourceName="Product Category">
  <pivotTables>
    <pivotTable tabId="6" name="PivotTable4"/>
    <pivotTable tabId="5" name="PivotTable3"/>
    <pivotTable tabId="7" name="PivotTable5"/>
    <pivotTable tabId="8" name="PivotTable6"/>
    <pivotTable tabId="9" name="PivotTable17"/>
    <pivotTable tabId="10" name="PivotTable18"/>
  </pivotTables>
  <data>
    <tabular pivotCacheId="3082836" customListSort="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7D2564A-537F-40F5-A7E7-00280B462495}" sourceName="Months (Order Date)">
  <pivotTables>
    <pivotTable tabId="6" name="PivotTable4"/>
    <pivotTable tabId="5" name="PivotTable3"/>
    <pivotTable tabId="7" name="PivotTable5"/>
    <pivotTable tabId="8" name="PivotTable6"/>
    <pivotTable tabId="9" name="PivotTable17"/>
    <pivotTable tabId="10" name="PivotTable18"/>
  </pivotTables>
  <data>
    <tabular pivotCacheId="308283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FD64041-C21F-409D-9C2F-76DB82898B9E}" cache="Slicer_Region" caption="Region" rowHeight="234950"/>
  <slicer name="Product Category" xr10:uid="{6EE495BA-4AC1-4CB9-8393-F56EFDEC1EB8}" cache="Slicer_Product_Category" caption="Product Category" rowHeight="234950"/>
  <slicer name="Months (Order Date)" xr10:uid="{236256F5-5560-4899-A476-52E88FDF4222}" cache="Slicer_Months__Order_Date" caption="Month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3748495-858F-492D-BBAA-67B0AC82E85D}" cache="Slicer_Region" caption="Region" style="Slicer Style 1" rowHeight="234950"/>
  <slicer name="Product Category 1" xr10:uid="{A1644259-3D3B-4A58-B976-F201A962EA2B}" cache="Slicer_Product_Category" caption="Product Category" style="Slicer Style 1" rowHeight="234950"/>
  <slicer name="Months (Order Date) 1" xr10:uid="{1B1ED5FC-CD3B-4D25-A2FF-13911F8BB50F}" cache="Slicer_Months__Order_Date" caption="Months (Order Date)" columnCount="2" style="Slicer Style 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3" dT="2025-09-07T14:36:30.17" personId="{931CB9D3-F8E9-48B6-857F-8325603FA4BB}" id="{C17C3AD5-ECE2-4EE2-B56E-3C2AE0B3EEAF}">
    <text>DO NOT DELETE THIS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2002"/>
  <sheetViews>
    <sheetView topLeftCell="A3" workbookViewId="0">
      <selection activeCell="L7" sqref="L7"/>
    </sheetView>
  </sheetViews>
  <sheetFormatPr defaultRowHeight="14.4" x14ac:dyDescent="0.3"/>
  <cols>
    <col min="2" max="2" width="9" bestFit="1" customWidth="1"/>
    <col min="3" max="3" width="11.44140625" bestFit="1" customWidth="1"/>
    <col min="4" max="4" width="7.33203125" bestFit="1" customWidth="1"/>
    <col min="5" max="5" width="10.88671875" bestFit="1" customWidth="1"/>
    <col min="6" max="6" width="13.88671875" bestFit="1" customWidth="1"/>
    <col min="7" max="7" width="8.88671875" bestFit="1" customWidth="1"/>
    <col min="8" max="8" width="13.88671875" bestFit="1" customWidth="1"/>
    <col min="9" max="9" width="18.77734375" bestFit="1" customWidth="1"/>
    <col min="11" max="11" width="26.44140625" bestFit="1" customWidth="1"/>
    <col min="12" max="12" width="13.88671875" bestFit="1" customWidth="1"/>
    <col min="13" max="13" width="0" hidden="1" customWidth="1"/>
  </cols>
  <sheetData>
    <row r="2" spans="2:13" ht="15.6" x14ac:dyDescent="0.3">
      <c r="B2" s="1" t="s">
        <v>0</v>
      </c>
      <c r="C2" s="1" t="s">
        <v>1</v>
      </c>
      <c r="D2" s="1" t="s">
        <v>2</v>
      </c>
      <c r="E2" s="1" t="s">
        <v>3</v>
      </c>
      <c r="F2" s="1" t="s">
        <v>5</v>
      </c>
      <c r="G2" s="1" t="s">
        <v>6</v>
      </c>
      <c r="H2" s="1" t="s">
        <v>7</v>
      </c>
      <c r="I2" s="1" t="s">
        <v>8</v>
      </c>
      <c r="K2" s="23"/>
    </row>
    <row r="3" spans="2:13" x14ac:dyDescent="0.3">
      <c r="B3" s="2" t="s">
        <v>9</v>
      </c>
      <c r="C3" s="3">
        <v>45302</v>
      </c>
      <c r="D3" s="2" t="s">
        <v>2009</v>
      </c>
      <c r="E3" s="2" t="s">
        <v>2013</v>
      </c>
      <c r="F3" s="4">
        <v>1908.61</v>
      </c>
      <c r="G3" s="5">
        <v>397.75</v>
      </c>
      <c r="H3" s="6">
        <v>13</v>
      </c>
      <c r="I3" s="2" t="s">
        <v>2116</v>
      </c>
      <c r="M3">
        <f>COUNTA(OrderID)</f>
        <v>2000</v>
      </c>
    </row>
    <row r="4" spans="2:13" x14ac:dyDescent="0.3">
      <c r="B4" s="2" t="s">
        <v>10</v>
      </c>
      <c r="C4" s="3">
        <v>45039</v>
      </c>
      <c r="D4" s="2" t="s">
        <v>2010</v>
      </c>
      <c r="E4" s="2" t="s">
        <v>2014</v>
      </c>
      <c r="F4" s="4">
        <v>3605.39</v>
      </c>
      <c r="G4" s="5">
        <v>960.26</v>
      </c>
      <c r="H4" s="6">
        <v>19</v>
      </c>
      <c r="I4" s="2" t="s">
        <v>2117</v>
      </c>
    </row>
    <row r="5" spans="2:13" x14ac:dyDescent="0.3">
      <c r="B5" s="2" t="s">
        <v>11</v>
      </c>
      <c r="C5" s="3">
        <v>44276</v>
      </c>
      <c r="D5" s="2" t="s">
        <v>2009</v>
      </c>
      <c r="E5" s="2" t="s">
        <v>2015</v>
      </c>
      <c r="F5" s="4">
        <v>3804.89</v>
      </c>
      <c r="G5" s="5">
        <v>922.51</v>
      </c>
      <c r="H5" s="6">
        <v>18</v>
      </c>
      <c r="I5" s="2" t="s">
        <v>2116</v>
      </c>
    </row>
    <row r="6" spans="2:13" x14ac:dyDescent="0.3">
      <c r="B6" s="2" t="s">
        <v>12</v>
      </c>
      <c r="C6" s="3">
        <v>45129</v>
      </c>
      <c r="D6" s="2" t="s">
        <v>2011</v>
      </c>
      <c r="E6" s="2" t="s">
        <v>2016</v>
      </c>
      <c r="F6" s="4">
        <v>3516.82</v>
      </c>
      <c r="G6" s="5">
        <v>304.19</v>
      </c>
      <c r="H6" s="6">
        <v>6</v>
      </c>
      <c r="I6" s="2" t="s">
        <v>2117</v>
      </c>
      <c r="K6" s="44" t="s">
        <v>2321</v>
      </c>
      <c r="L6" s="44"/>
    </row>
    <row r="7" spans="2:13" x14ac:dyDescent="0.3">
      <c r="B7" s="2" t="s">
        <v>13</v>
      </c>
      <c r="C7" s="3">
        <v>45198</v>
      </c>
      <c r="D7" s="2" t="s">
        <v>2012</v>
      </c>
      <c r="E7" s="2" t="s">
        <v>2017</v>
      </c>
      <c r="F7" s="4">
        <v>1236.98</v>
      </c>
      <c r="G7" s="5">
        <v>623.91</v>
      </c>
      <c r="H7" s="6">
        <v>2</v>
      </c>
      <c r="I7" s="2" t="s">
        <v>2116</v>
      </c>
      <c r="K7" s="18" t="s">
        <v>2320</v>
      </c>
      <c r="L7" s="19">
        <f>SUM(Sales)</f>
        <v>5187520.1000000043</v>
      </c>
    </row>
    <row r="8" spans="2:13" x14ac:dyDescent="0.3">
      <c r="B8" s="2" t="s">
        <v>14</v>
      </c>
      <c r="C8" s="3">
        <v>44292</v>
      </c>
      <c r="D8" s="2" t="s">
        <v>2010</v>
      </c>
      <c r="E8" s="2" t="s">
        <v>2018</v>
      </c>
      <c r="F8" s="4">
        <v>1074.73</v>
      </c>
      <c r="G8" s="5">
        <v>331.69</v>
      </c>
      <c r="H8" s="6">
        <v>9</v>
      </c>
      <c r="I8" s="2" t="s">
        <v>2117</v>
      </c>
      <c r="K8" s="18" t="s">
        <v>2322</v>
      </c>
      <c r="L8" s="4">
        <f>AVERAGE(Profit)</f>
        <v>504.24505499999924</v>
      </c>
    </row>
    <row r="9" spans="2:13" x14ac:dyDescent="0.3">
      <c r="B9" s="2" t="s">
        <v>15</v>
      </c>
      <c r="C9" s="3">
        <v>43876</v>
      </c>
      <c r="D9" s="2" t="s">
        <v>2012</v>
      </c>
      <c r="E9" s="2" t="s">
        <v>2019</v>
      </c>
      <c r="F9" s="4">
        <v>3182.57</v>
      </c>
      <c r="G9" s="5">
        <v>938.95</v>
      </c>
      <c r="H9" s="6">
        <v>2</v>
      </c>
      <c r="I9" s="2" t="s">
        <v>2117</v>
      </c>
      <c r="K9" s="18" t="s">
        <v>2323</v>
      </c>
      <c r="L9" s="4">
        <f>L7/M3</f>
        <v>2593.7600500000021</v>
      </c>
    </row>
    <row r="10" spans="2:13" x14ac:dyDescent="0.3">
      <c r="B10" s="2" t="s">
        <v>16</v>
      </c>
      <c r="C10" s="3">
        <v>44285</v>
      </c>
      <c r="D10" s="2" t="s">
        <v>2012</v>
      </c>
      <c r="E10" s="2" t="s">
        <v>2020</v>
      </c>
      <c r="F10" s="4">
        <v>4694.2</v>
      </c>
      <c r="G10" s="5">
        <v>945.15</v>
      </c>
      <c r="H10" s="6">
        <v>2</v>
      </c>
      <c r="I10" s="2" t="s">
        <v>2117</v>
      </c>
      <c r="K10" s="18" t="s">
        <v>2324</v>
      </c>
      <c r="L10" s="4">
        <v>4996.41</v>
      </c>
    </row>
    <row r="11" spans="2:13" x14ac:dyDescent="0.3">
      <c r="B11" s="2" t="s">
        <v>17</v>
      </c>
      <c r="C11" s="3">
        <v>45007</v>
      </c>
      <c r="D11" s="2" t="s">
        <v>2009</v>
      </c>
      <c r="E11" s="2" t="s">
        <v>2021</v>
      </c>
      <c r="F11" s="4">
        <v>2514.25</v>
      </c>
      <c r="G11" s="5">
        <v>311.77999999999997</v>
      </c>
      <c r="H11" s="6">
        <v>12</v>
      </c>
      <c r="I11" s="2" t="s">
        <v>2117</v>
      </c>
      <c r="K11" s="18" t="s">
        <v>2325</v>
      </c>
      <c r="L11" s="20">
        <v>50.76</v>
      </c>
    </row>
    <row r="12" spans="2:13" x14ac:dyDescent="0.3">
      <c r="B12" s="2" t="s">
        <v>18</v>
      </c>
      <c r="C12" s="3">
        <v>45416</v>
      </c>
      <c r="D12" s="2" t="s">
        <v>2012</v>
      </c>
      <c r="E12" s="2" t="s">
        <v>2022</v>
      </c>
      <c r="F12" s="4">
        <v>1179.95</v>
      </c>
      <c r="G12" s="5">
        <v>726.44</v>
      </c>
      <c r="H12" s="6">
        <v>14</v>
      </c>
      <c r="I12" s="2" t="s">
        <v>2118</v>
      </c>
    </row>
    <row r="13" spans="2:13" x14ac:dyDescent="0.3">
      <c r="B13" s="2" t="s">
        <v>19</v>
      </c>
      <c r="C13" s="3">
        <v>44572</v>
      </c>
      <c r="D13" s="2" t="s">
        <v>2012</v>
      </c>
      <c r="E13" s="2" t="s">
        <v>2023</v>
      </c>
      <c r="F13" s="4">
        <v>2945.07</v>
      </c>
      <c r="G13" s="5">
        <v>532.04</v>
      </c>
      <c r="H13" s="6">
        <v>4</v>
      </c>
      <c r="I13" s="2" t="s">
        <v>2117</v>
      </c>
    </row>
    <row r="14" spans="2:13" x14ac:dyDescent="0.3">
      <c r="B14" s="2" t="s">
        <v>20</v>
      </c>
      <c r="C14" s="3">
        <v>44572</v>
      </c>
      <c r="D14" s="2" t="s">
        <v>2010</v>
      </c>
      <c r="E14" s="2" t="s">
        <v>2024</v>
      </c>
      <c r="F14" s="4">
        <v>401</v>
      </c>
      <c r="G14" s="5">
        <v>135.59</v>
      </c>
      <c r="H14" s="6">
        <v>16</v>
      </c>
      <c r="I14" s="2" t="s">
        <v>2117</v>
      </c>
    </row>
    <row r="15" spans="2:13" x14ac:dyDescent="0.3">
      <c r="B15" s="2" t="s">
        <v>21</v>
      </c>
      <c r="C15" s="3">
        <v>45516</v>
      </c>
      <c r="D15" s="2" t="s">
        <v>2012</v>
      </c>
      <c r="E15" s="2" t="s">
        <v>2025</v>
      </c>
      <c r="F15" s="4">
        <v>508.92</v>
      </c>
      <c r="G15" s="5">
        <v>702.4</v>
      </c>
      <c r="H15" s="6">
        <v>3</v>
      </c>
      <c r="I15" s="2" t="s">
        <v>2116</v>
      </c>
    </row>
    <row r="16" spans="2:13" x14ac:dyDescent="0.3">
      <c r="B16" s="2" t="s">
        <v>22</v>
      </c>
      <c r="C16" s="3">
        <v>44950</v>
      </c>
      <c r="D16" s="2" t="s">
        <v>2011</v>
      </c>
      <c r="E16" s="2" t="s">
        <v>2026</v>
      </c>
      <c r="F16" s="4">
        <v>3178.29</v>
      </c>
      <c r="G16" s="5">
        <v>199.73</v>
      </c>
      <c r="H16" s="6">
        <v>10</v>
      </c>
      <c r="I16" s="2" t="s">
        <v>2118</v>
      </c>
    </row>
    <row r="17" spans="2:9" x14ac:dyDescent="0.3">
      <c r="B17" s="2" t="s">
        <v>23</v>
      </c>
      <c r="C17" s="3">
        <v>44682</v>
      </c>
      <c r="D17" s="2" t="s">
        <v>2011</v>
      </c>
      <c r="E17" s="2" t="s">
        <v>2027</v>
      </c>
      <c r="F17" s="4">
        <v>1642.61</v>
      </c>
      <c r="G17" s="5">
        <v>869.14</v>
      </c>
      <c r="H17" s="6">
        <v>5</v>
      </c>
      <c r="I17" s="2" t="s">
        <v>2117</v>
      </c>
    </row>
    <row r="18" spans="2:9" x14ac:dyDescent="0.3">
      <c r="B18" s="2" t="s">
        <v>24</v>
      </c>
      <c r="C18" s="3">
        <v>44573</v>
      </c>
      <c r="D18" s="2" t="s">
        <v>2010</v>
      </c>
      <c r="E18" s="2" t="s">
        <v>2028</v>
      </c>
      <c r="F18" s="4">
        <v>2717.48</v>
      </c>
      <c r="G18" s="5">
        <v>317</v>
      </c>
      <c r="H18" s="6">
        <v>15</v>
      </c>
      <c r="I18" s="2" t="s">
        <v>2116</v>
      </c>
    </row>
    <row r="19" spans="2:9" x14ac:dyDescent="0.3">
      <c r="B19" s="2" t="s">
        <v>25</v>
      </c>
      <c r="C19" s="3">
        <v>44015</v>
      </c>
      <c r="D19" s="2" t="s">
        <v>2012</v>
      </c>
      <c r="E19" s="2" t="s">
        <v>2029</v>
      </c>
      <c r="F19" s="4">
        <v>2183.89</v>
      </c>
      <c r="G19" s="5">
        <v>229.89</v>
      </c>
      <c r="H19" s="6">
        <v>1</v>
      </c>
      <c r="I19" s="2" t="s">
        <v>2117</v>
      </c>
    </row>
    <row r="20" spans="2:9" x14ac:dyDescent="0.3">
      <c r="B20" s="2" t="s">
        <v>26</v>
      </c>
      <c r="C20" s="3">
        <v>44664</v>
      </c>
      <c r="D20" s="2" t="s">
        <v>2012</v>
      </c>
      <c r="E20" s="2" t="s">
        <v>2030</v>
      </c>
      <c r="F20" s="4">
        <v>4686.58</v>
      </c>
      <c r="G20" s="5">
        <v>591.41999999999996</v>
      </c>
      <c r="H20" s="6">
        <v>16</v>
      </c>
      <c r="I20" s="2" t="s">
        <v>2116</v>
      </c>
    </row>
    <row r="21" spans="2:9" x14ac:dyDescent="0.3">
      <c r="B21" s="2" t="s">
        <v>27</v>
      </c>
      <c r="C21" s="3">
        <v>44694</v>
      </c>
      <c r="D21" s="2" t="s">
        <v>2012</v>
      </c>
      <c r="E21" s="2" t="s">
        <v>2028</v>
      </c>
      <c r="F21" s="4">
        <v>3425.69</v>
      </c>
      <c r="G21" s="5">
        <v>948.19</v>
      </c>
      <c r="H21" s="6">
        <v>3</v>
      </c>
      <c r="I21" s="2" t="s">
        <v>2118</v>
      </c>
    </row>
    <row r="22" spans="2:9" x14ac:dyDescent="0.3">
      <c r="B22" s="2" t="s">
        <v>28</v>
      </c>
      <c r="C22" s="3">
        <v>45447</v>
      </c>
      <c r="D22" s="2" t="s">
        <v>2009</v>
      </c>
      <c r="E22" s="2" t="s">
        <v>2031</v>
      </c>
      <c r="F22" s="4">
        <v>561.88</v>
      </c>
      <c r="G22" s="5">
        <v>477.79</v>
      </c>
      <c r="H22" s="6">
        <v>13</v>
      </c>
      <c r="I22" s="2" t="s">
        <v>2116</v>
      </c>
    </row>
    <row r="23" spans="2:9" x14ac:dyDescent="0.3">
      <c r="B23" s="2" t="s">
        <v>29</v>
      </c>
      <c r="C23" s="3">
        <v>44701</v>
      </c>
      <c r="D23" s="2" t="s">
        <v>2011</v>
      </c>
      <c r="E23" s="2" t="s">
        <v>2032</v>
      </c>
      <c r="F23" s="4">
        <v>4818.87</v>
      </c>
      <c r="G23" s="5">
        <v>902.62</v>
      </c>
      <c r="H23" s="6">
        <v>17</v>
      </c>
      <c r="I23" s="2" t="s">
        <v>2118</v>
      </c>
    </row>
    <row r="24" spans="2:9" x14ac:dyDescent="0.3">
      <c r="B24" s="2" t="s">
        <v>30</v>
      </c>
      <c r="C24" s="3">
        <v>45267</v>
      </c>
      <c r="D24" s="2" t="s">
        <v>2011</v>
      </c>
      <c r="E24" s="2" t="s">
        <v>2033</v>
      </c>
      <c r="F24" s="4">
        <v>1001.81</v>
      </c>
      <c r="G24" s="5">
        <v>840.05</v>
      </c>
      <c r="H24" s="6">
        <v>8</v>
      </c>
      <c r="I24" s="2" t="s">
        <v>2117</v>
      </c>
    </row>
    <row r="25" spans="2:9" x14ac:dyDescent="0.3">
      <c r="B25" s="2" t="s">
        <v>31</v>
      </c>
      <c r="C25" s="3">
        <v>44570</v>
      </c>
      <c r="D25" s="2" t="s">
        <v>2009</v>
      </c>
      <c r="E25" s="2" t="s">
        <v>2034</v>
      </c>
      <c r="F25" s="4">
        <v>3266.83</v>
      </c>
      <c r="G25" s="5">
        <v>763.26</v>
      </c>
      <c r="H25" s="6">
        <v>1</v>
      </c>
      <c r="I25" s="2" t="s">
        <v>2117</v>
      </c>
    </row>
    <row r="26" spans="2:9" x14ac:dyDescent="0.3">
      <c r="B26" s="2" t="s">
        <v>32</v>
      </c>
      <c r="C26" s="3">
        <v>45343</v>
      </c>
      <c r="D26" s="2" t="s">
        <v>2009</v>
      </c>
      <c r="E26" s="2" t="s">
        <v>2035</v>
      </c>
      <c r="F26" s="4">
        <v>2511.89</v>
      </c>
      <c r="G26" s="5">
        <v>578.23</v>
      </c>
      <c r="H26" s="6">
        <v>1</v>
      </c>
      <c r="I26" s="2" t="s">
        <v>2118</v>
      </c>
    </row>
    <row r="27" spans="2:9" x14ac:dyDescent="0.3">
      <c r="B27" s="2" t="s">
        <v>33</v>
      </c>
      <c r="C27" s="3">
        <v>45461</v>
      </c>
      <c r="D27" s="2" t="s">
        <v>2009</v>
      </c>
      <c r="E27" s="2" t="s">
        <v>2028</v>
      </c>
      <c r="F27" s="4">
        <v>4069.56</v>
      </c>
      <c r="G27" s="5">
        <v>479.89</v>
      </c>
      <c r="H27" s="6">
        <v>2</v>
      </c>
      <c r="I27" s="2" t="s">
        <v>2118</v>
      </c>
    </row>
    <row r="28" spans="2:9" x14ac:dyDescent="0.3">
      <c r="B28" s="2" t="s">
        <v>34</v>
      </c>
      <c r="C28" s="3">
        <v>44191</v>
      </c>
      <c r="D28" s="2" t="s">
        <v>2009</v>
      </c>
      <c r="E28" s="2" t="s">
        <v>2036</v>
      </c>
      <c r="F28" s="4">
        <v>4565.33</v>
      </c>
      <c r="G28" s="5">
        <v>387.7</v>
      </c>
      <c r="H28" s="6">
        <v>15</v>
      </c>
      <c r="I28" s="2" t="s">
        <v>2118</v>
      </c>
    </row>
    <row r="29" spans="2:9" x14ac:dyDescent="0.3">
      <c r="B29" s="2" t="s">
        <v>35</v>
      </c>
      <c r="C29" s="3">
        <v>44251</v>
      </c>
      <c r="D29" s="2" t="s">
        <v>2012</v>
      </c>
      <c r="E29" s="2" t="s">
        <v>2037</v>
      </c>
      <c r="F29" s="4">
        <v>3357.15</v>
      </c>
      <c r="G29" s="5">
        <v>499.99</v>
      </c>
      <c r="H29" s="6">
        <v>4</v>
      </c>
      <c r="I29" s="2" t="s">
        <v>2116</v>
      </c>
    </row>
    <row r="30" spans="2:9" x14ac:dyDescent="0.3">
      <c r="B30" s="2" t="s">
        <v>36</v>
      </c>
      <c r="C30" s="3">
        <v>45535</v>
      </c>
      <c r="D30" s="2" t="s">
        <v>2010</v>
      </c>
      <c r="E30" s="2" t="s">
        <v>2038</v>
      </c>
      <c r="F30" s="4">
        <v>1315.66</v>
      </c>
      <c r="G30" s="5">
        <v>295.93</v>
      </c>
      <c r="H30" s="6">
        <v>11</v>
      </c>
      <c r="I30" s="2" t="s">
        <v>2118</v>
      </c>
    </row>
    <row r="31" spans="2:9" x14ac:dyDescent="0.3">
      <c r="B31" s="2" t="s">
        <v>37</v>
      </c>
      <c r="C31" s="3">
        <v>44504</v>
      </c>
      <c r="D31" s="2" t="s">
        <v>2009</v>
      </c>
      <c r="E31" s="2" t="s">
        <v>2039</v>
      </c>
      <c r="F31" s="4">
        <v>4143.2</v>
      </c>
      <c r="G31" s="5">
        <v>95.25</v>
      </c>
      <c r="H31" s="6">
        <v>15</v>
      </c>
      <c r="I31" s="2" t="s">
        <v>2116</v>
      </c>
    </row>
    <row r="32" spans="2:9" x14ac:dyDescent="0.3">
      <c r="B32" s="2" t="s">
        <v>38</v>
      </c>
      <c r="C32" s="3">
        <v>44075</v>
      </c>
      <c r="D32" s="2" t="s">
        <v>2012</v>
      </c>
      <c r="E32" s="2" t="s">
        <v>2040</v>
      </c>
      <c r="F32" s="4">
        <v>4738.3900000000003</v>
      </c>
      <c r="G32" s="5">
        <v>574.78</v>
      </c>
      <c r="H32" s="6">
        <v>18</v>
      </c>
      <c r="I32" s="2" t="s">
        <v>2117</v>
      </c>
    </row>
    <row r="33" spans="2:9" x14ac:dyDescent="0.3">
      <c r="B33" s="2" t="s">
        <v>39</v>
      </c>
      <c r="C33" s="3">
        <v>44834</v>
      </c>
      <c r="D33" s="2" t="s">
        <v>2011</v>
      </c>
      <c r="E33" s="2" t="s">
        <v>2041</v>
      </c>
      <c r="F33" s="4">
        <v>2251.63</v>
      </c>
      <c r="G33" s="5">
        <v>350.41</v>
      </c>
      <c r="H33" s="6">
        <v>15</v>
      </c>
      <c r="I33" s="2" t="s">
        <v>2116</v>
      </c>
    </row>
    <row r="34" spans="2:9" x14ac:dyDescent="0.3">
      <c r="B34" s="2" t="s">
        <v>40</v>
      </c>
      <c r="C34" s="3">
        <v>44037</v>
      </c>
      <c r="D34" s="2" t="s">
        <v>2011</v>
      </c>
      <c r="E34" s="2" t="s">
        <v>2016</v>
      </c>
      <c r="F34" s="4">
        <v>1451.5</v>
      </c>
      <c r="G34" s="5">
        <v>238.18</v>
      </c>
      <c r="H34" s="6">
        <v>18</v>
      </c>
      <c r="I34" s="2" t="s">
        <v>2117</v>
      </c>
    </row>
    <row r="35" spans="2:9" x14ac:dyDescent="0.3">
      <c r="B35" s="2" t="s">
        <v>41</v>
      </c>
      <c r="C35" s="3">
        <v>45578</v>
      </c>
      <c r="D35" s="2" t="s">
        <v>2010</v>
      </c>
      <c r="E35" s="2" t="s">
        <v>2042</v>
      </c>
      <c r="F35" s="4">
        <v>2767.9</v>
      </c>
      <c r="G35" s="5">
        <v>416.17</v>
      </c>
      <c r="H35" s="6">
        <v>3</v>
      </c>
      <c r="I35" s="2" t="s">
        <v>2117</v>
      </c>
    </row>
    <row r="36" spans="2:9" x14ac:dyDescent="0.3">
      <c r="B36" s="2" t="s">
        <v>42</v>
      </c>
      <c r="C36" s="3">
        <v>45173</v>
      </c>
      <c r="D36" s="2" t="s">
        <v>2011</v>
      </c>
      <c r="E36" s="2" t="s">
        <v>2043</v>
      </c>
      <c r="F36" s="4">
        <v>488.99</v>
      </c>
      <c r="G36" s="5">
        <v>730</v>
      </c>
      <c r="H36" s="6">
        <v>12</v>
      </c>
      <c r="I36" s="2" t="s">
        <v>2117</v>
      </c>
    </row>
    <row r="37" spans="2:9" x14ac:dyDescent="0.3">
      <c r="B37" s="2" t="s">
        <v>43</v>
      </c>
      <c r="C37" s="3">
        <v>43881</v>
      </c>
      <c r="D37" s="2" t="s">
        <v>2010</v>
      </c>
      <c r="E37" s="2" t="s">
        <v>2017</v>
      </c>
      <c r="F37" s="4">
        <v>198.88</v>
      </c>
      <c r="G37" s="5">
        <v>904.77</v>
      </c>
      <c r="H37" s="6">
        <v>19</v>
      </c>
      <c r="I37" s="2" t="s">
        <v>2117</v>
      </c>
    </row>
    <row r="38" spans="2:9" x14ac:dyDescent="0.3">
      <c r="B38" s="2" t="s">
        <v>44</v>
      </c>
      <c r="C38" s="3">
        <v>45360</v>
      </c>
      <c r="D38" s="2" t="s">
        <v>2012</v>
      </c>
      <c r="E38" s="2" t="s">
        <v>2044</v>
      </c>
      <c r="F38" s="4">
        <v>4224.26</v>
      </c>
      <c r="G38" s="5">
        <v>964.81</v>
      </c>
      <c r="H38" s="6">
        <v>19</v>
      </c>
      <c r="I38" s="2" t="s">
        <v>2118</v>
      </c>
    </row>
    <row r="39" spans="2:9" x14ac:dyDescent="0.3">
      <c r="B39" s="2" t="s">
        <v>45</v>
      </c>
      <c r="C39" s="3">
        <v>44511</v>
      </c>
      <c r="D39" s="2" t="s">
        <v>2012</v>
      </c>
      <c r="E39" s="2" t="s">
        <v>2045</v>
      </c>
      <c r="F39" s="4">
        <v>1006.65</v>
      </c>
      <c r="G39" s="5">
        <v>541.97</v>
      </c>
      <c r="H39" s="6">
        <v>2</v>
      </c>
      <c r="I39" s="2" t="s">
        <v>2117</v>
      </c>
    </row>
    <row r="40" spans="2:9" x14ac:dyDescent="0.3">
      <c r="B40" s="2" t="s">
        <v>46</v>
      </c>
      <c r="C40" s="3">
        <v>44180</v>
      </c>
      <c r="D40" s="2" t="s">
        <v>2009</v>
      </c>
      <c r="E40" s="2" t="s">
        <v>2046</v>
      </c>
      <c r="F40" s="4">
        <v>462.16</v>
      </c>
      <c r="G40" s="5">
        <v>56.5</v>
      </c>
      <c r="H40" s="6">
        <v>14</v>
      </c>
      <c r="I40" s="2" t="s">
        <v>2116</v>
      </c>
    </row>
    <row r="41" spans="2:9" x14ac:dyDescent="0.3">
      <c r="B41" s="2" t="s">
        <v>47</v>
      </c>
      <c r="C41" s="3">
        <v>44808</v>
      </c>
      <c r="D41" s="2" t="s">
        <v>2009</v>
      </c>
      <c r="E41" s="2" t="s">
        <v>2047</v>
      </c>
      <c r="F41" s="4">
        <v>1200.4100000000001</v>
      </c>
      <c r="G41" s="5">
        <v>415.28</v>
      </c>
      <c r="H41" s="6">
        <v>13</v>
      </c>
      <c r="I41" s="2" t="s">
        <v>2118</v>
      </c>
    </row>
    <row r="42" spans="2:9" x14ac:dyDescent="0.3">
      <c r="B42" s="2" t="s">
        <v>48</v>
      </c>
      <c r="C42" s="3">
        <v>44529</v>
      </c>
      <c r="D42" s="2" t="s">
        <v>2010</v>
      </c>
      <c r="E42" s="2" t="s">
        <v>2022</v>
      </c>
      <c r="F42" s="4">
        <v>420.01</v>
      </c>
      <c r="G42" s="5">
        <v>261.82</v>
      </c>
      <c r="H42" s="6">
        <v>2</v>
      </c>
      <c r="I42" s="2" t="s">
        <v>2118</v>
      </c>
    </row>
    <row r="43" spans="2:9" x14ac:dyDescent="0.3">
      <c r="B43" s="2" t="s">
        <v>49</v>
      </c>
      <c r="C43" s="3">
        <v>44778</v>
      </c>
      <c r="D43" s="2" t="s">
        <v>2012</v>
      </c>
      <c r="E43" s="2" t="s">
        <v>2048</v>
      </c>
      <c r="F43" s="4">
        <v>214.18</v>
      </c>
      <c r="G43" s="5">
        <v>910.8</v>
      </c>
      <c r="H43" s="6">
        <v>17</v>
      </c>
      <c r="I43" s="2" t="s">
        <v>2116</v>
      </c>
    </row>
    <row r="44" spans="2:9" x14ac:dyDescent="0.3">
      <c r="B44" s="2" t="s">
        <v>50</v>
      </c>
      <c r="C44" s="3">
        <v>43863</v>
      </c>
      <c r="D44" s="2" t="s">
        <v>2009</v>
      </c>
      <c r="E44" s="2" t="s">
        <v>2049</v>
      </c>
      <c r="F44" s="4">
        <v>113.07</v>
      </c>
      <c r="G44" s="5">
        <v>470.47</v>
      </c>
      <c r="H44" s="6">
        <v>6</v>
      </c>
      <c r="I44" s="2" t="s">
        <v>2118</v>
      </c>
    </row>
    <row r="45" spans="2:9" x14ac:dyDescent="0.3">
      <c r="B45" s="2" t="s">
        <v>51</v>
      </c>
      <c r="C45" s="3">
        <v>45341</v>
      </c>
      <c r="D45" s="2" t="s">
        <v>2012</v>
      </c>
      <c r="E45" s="2" t="s">
        <v>2050</v>
      </c>
      <c r="F45" s="4">
        <v>4560.07</v>
      </c>
      <c r="G45" s="5">
        <v>748.73</v>
      </c>
      <c r="H45" s="6">
        <v>15</v>
      </c>
      <c r="I45" s="2" t="s">
        <v>2116</v>
      </c>
    </row>
    <row r="46" spans="2:9" x14ac:dyDescent="0.3">
      <c r="B46" s="2" t="s">
        <v>52</v>
      </c>
      <c r="C46" s="3">
        <v>44611</v>
      </c>
      <c r="D46" s="2" t="s">
        <v>2012</v>
      </c>
      <c r="E46" s="2" t="s">
        <v>2047</v>
      </c>
      <c r="F46" s="4">
        <v>283.73</v>
      </c>
      <c r="G46" s="5">
        <v>224.86</v>
      </c>
      <c r="H46" s="6">
        <v>9</v>
      </c>
      <c r="I46" s="2" t="s">
        <v>2116</v>
      </c>
    </row>
    <row r="47" spans="2:9" x14ac:dyDescent="0.3">
      <c r="B47" s="2" t="s">
        <v>53</v>
      </c>
      <c r="C47" s="3">
        <v>45016</v>
      </c>
      <c r="D47" s="2" t="s">
        <v>2011</v>
      </c>
      <c r="E47" s="2" t="s">
        <v>2045</v>
      </c>
      <c r="F47" s="4">
        <v>685.2</v>
      </c>
      <c r="G47" s="5">
        <v>167.41</v>
      </c>
      <c r="H47" s="6">
        <v>20</v>
      </c>
      <c r="I47" s="2" t="s">
        <v>2117</v>
      </c>
    </row>
    <row r="48" spans="2:9" x14ac:dyDescent="0.3">
      <c r="B48" s="2" t="s">
        <v>54</v>
      </c>
      <c r="C48" s="3">
        <v>45565</v>
      </c>
      <c r="D48" s="2" t="s">
        <v>2010</v>
      </c>
      <c r="E48" s="2" t="s">
        <v>2034</v>
      </c>
      <c r="F48" s="4">
        <v>3541.72</v>
      </c>
      <c r="G48" s="5">
        <v>777.6</v>
      </c>
      <c r="H48" s="6">
        <v>2</v>
      </c>
      <c r="I48" s="2" t="s">
        <v>2118</v>
      </c>
    </row>
    <row r="49" spans="2:9" x14ac:dyDescent="0.3">
      <c r="B49" s="2" t="s">
        <v>55</v>
      </c>
      <c r="C49" s="3">
        <v>44236</v>
      </c>
      <c r="D49" s="2" t="s">
        <v>2012</v>
      </c>
      <c r="E49" s="2" t="s">
        <v>2044</v>
      </c>
      <c r="F49" s="4">
        <v>2239.04</v>
      </c>
      <c r="G49" s="5">
        <v>880.78</v>
      </c>
      <c r="H49" s="6">
        <v>10</v>
      </c>
      <c r="I49" s="2" t="s">
        <v>2117</v>
      </c>
    </row>
    <row r="50" spans="2:9" x14ac:dyDescent="0.3">
      <c r="B50" s="2" t="s">
        <v>56</v>
      </c>
      <c r="C50" s="3">
        <v>44166</v>
      </c>
      <c r="D50" s="2" t="s">
        <v>2011</v>
      </c>
      <c r="E50" s="2" t="s">
        <v>2050</v>
      </c>
      <c r="F50" s="4">
        <v>3761.19</v>
      </c>
      <c r="G50" s="5">
        <v>952.42</v>
      </c>
      <c r="H50" s="6">
        <v>17</v>
      </c>
      <c r="I50" s="2" t="s">
        <v>2118</v>
      </c>
    </row>
    <row r="51" spans="2:9" x14ac:dyDescent="0.3">
      <c r="B51" s="2" t="s">
        <v>57</v>
      </c>
      <c r="C51" s="3">
        <v>43894</v>
      </c>
      <c r="D51" s="2" t="s">
        <v>2011</v>
      </c>
      <c r="E51" s="2" t="s">
        <v>2051</v>
      </c>
      <c r="F51" s="4">
        <v>3633.29</v>
      </c>
      <c r="G51" s="5">
        <v>451.59</v>
      </c>
      <c r="H51" s="6">
        <v>12</v>
      </c>
      <c r="I51" s="2" t="s">
        <v>2116</v>
      </c>
    </row>
    <row r="52" spans="2:9" x14ac:dyDescent="0.3">
      <c r="B52" s="2" t="s">
        <v>58</v>
      </c>
      <c r="C52" s="3">
        <v>44248</v>
      </c>
      <c r="D52" s="2" t="s">
        <v>2010</v>
      </c>
      <c r="E52" s="2" t="s">
        <v>2052</v>
      </c>
      <c r="F52" s="4">
        <v>220.85</v>
      </c>
      <c r="G52" s="5">
        <v>109.89</v>
      </c>
      <c r="H52" s="6">
        <v>14</v>
      </c>
      <c r="I52" s="2" t="s">
        <v>2118</v>
      </c>
    </row>
    <row r="53" spans="2:9" x14ac:dyDescent="0.3">
      <c r="B53" s="2" t="s">
        <v>59</v>
      </c>
      <c r="C53" s="3">
        <v>43926</v>
      </c>
      <c r="D53" s="2" t="s">
        <v>2009</v>
      </c>
      <c r="E53" s="2" t="s">
        <v>2053</v>
      </c>
      <c r="F53" s="4">
        <v>4626.08</v>
      </c>
      <c r="G53" s="5">
        <v>836.58</v>
      </c>
      <c r="H53" s="6">
        <v>9</v>
      </c>
      <c r="I53" s="2" t="s">
        <v>2118</v>
      </c>
    </row>
    <row r="54" spans="2:9" x14ac:dyDescent="0.3">
      <c r="B54" s="2" t="s">
        <v>60</v>
      </c>
      <c r="C54" s="3">
        <v>44801</v>
      </c>
      <c r="D54" s="2" t="s">
        <v>2010</v>
      </c>
      <c r="E54" s="2" t="s">
        <v>2054</v>
      </c>
      <c r="F54" s="4">
        <v>1984.99</v>
      </c>
      <c r="G54" s="5">
        <v>139.36000000000001</v>
      </c>
      <c r="H54" s="6">
        <v>13</v>
      </c>
      <c r="I54" s="2" t="s">
        <v>2118</v>
      </c>
    </row>
    <row r="55" spans="2:9" x14ac:dyDescent="0.3">
      <c r="B55" s="2" t="s">
        <v>61</v>
      </c>
      <c r="C55" s="3">
        <v>43989</v>
      </c>
      <c r="D55" s="2" t="s">
        <v>2010</v>
      </c>
      <c r="E55" s="2" t="s">
        <v>2054</v>
      </c>
      <c r="F55" s="4">
        <v>2620.37</v>
      </c>
      <c r="G55" s="5">
        <v>423.47</v>
      </c>
      <c r="H55" s="6">
        <v>7</v>
      </c>
      <c r="I55" s="2" t="s">
        <v>2118</v>
      </c>
    </row>
    <row r="56" spans="2:9" x14ac:dyDescent="0.3">
      <c r="B56" s="2" t="s">
        <v>62</v>
      </c>
      <c r="C56" s="3">
        <v>45275</v>
      </c>
      <c r="D56" s="2" t="s">
        <v>2009</v>
      </c>
      <c r="E56" s="2" t="s">
        <v>2055</v>
      </c>
      <c r="F56" s="4">
        <v>2145.6799999999998</v>
      </c>
      <c r="G56" s="5">
        <v>281.61</v>
      </c>
      <c r="H56" s="6">
        <v>15</v>
      </c>
      <c r="I56" s="2" t="s">
        <v>2116</v>
      </c>
    </row>
    <row r="57" spans="2:9" x14ac:dyDescent="0.3">
      <c r="B57" s="2" t="s">
        <v>63</v>
      </c>
      <c r="C57" s="3">
        <v>44822</v>
      </c>
      <c r="D57" s="2" t="s">
        <v>2009</v>
      </c>
      <c r="E57" s="2" t="s">
        <v>2056</v>
      </c>
      <c r="F57" s="4">
        <v>1537.19</v>
      </c>
      <c r="G57" s="5">
        <v>500.98</v>
      </c>
      <c r="H57" s="6">
        <v>6</v>
      </c>
      <c r="I57" s="2" t="s">
        <v>2117</v>
      </c>
    </row>
    <row r="58" spans="2:9" x14ac:dyDescent="0.3">
      <c r="B58" s="2" t="s">
        <v>64</v>
      </c>
      <c r="C58" s="3">
        <v>44057</v>
      </c>
      <c r="D58" s="2" t="s">
        <v>2011</v>
      </c>
      <c r="E58" s="2" t="s">
        <v>2057</v>
      </c>
      <c r="F58" s="4">
        <v>2035.47</v>
      </c>
      <c r="G58" s="5">
        <v>815.92</v>
      </c>
      <c r="H58" s="6">
        <v>15</v>
      </c>
      <c r="I58" s="2" t="s">
        <v>2116</v>
      </c>
    </row>
    <row r="59" spans="2:9" x14ac:dyDescent="0.3">
      <c r="B59" s="2" t="s">
        <v>65</v>
      </c>
      <c r="C59" s="3">
        <v>44524</v>
      </c>
      <c r="D59" s="2" t="s">
        <v>2012</v>
      </c>
      <c r="E59" s="2" t="s">
        <v>2051</v>
      </c>
      <c r="F59" s="4">
        <v>2205.2600000000002</v>
      </c>
      <c r="G59" s="5">
        <v>165.29</v>
      </c>
      <c r="H59" s="6">
        <v>14</v>
      </c>
      <c r="I59" s="2" t="s">
        <v>2116</v>
      </c>
    </row>
    <row r="60" spans="2:9" x14ac:dyDescent="0.3">
      <c r="B60" s="2" t="s">
        <v>66</v>
      </c>
      <c r="C60" s="3">
        <v>44539</v>
      </c>
      <c r="D60" s="2" t="s">
        <v>2011</v>
      </c>
      <c r="E60" s="2" t="s">
        <v>2016</v>
      </c>
      <c r="F60" s="4">
        <v>1729.08</v>
      </c>
      <c r="G60" s="5">
        <v>945.46</v>
      </c>
      <c r="H60" s="6">
        <v>5</v>
      </c>
      <c r="I60" s="2" t="s">
        <v>2116</v>
      </c>
    </row>
    <row r="61" spans="2:9" x14ac:dyDescent="0.3">
      <c r="B61" s="2" t="s">
        <v>67</v>
      </c>
      <c r="C61" s="3">
        <v>44147</v>
      </c>
      <c r="D61" s="2" t="s">
        <v>2010</v>
      </c>
      <c r="E61" s="2" t="s">
        <v>2048</v>
      </c>
      <c r="F61" s="4">
        <v>4169.8999999999996</v>
      </c>
      <c r="G61" s="5">
        <v>98.29</v>
      </c>
      <c r="H61" s="6">
        <v>1</v>
      </c>
      <c r="I61" s="2" t="s">
        <v>2118</v>
      </c>
    </row>
    <row r="62" spans="2:9" x14ac:dyDescent="0.3">
      <c r="B62" s="2" t="s">
        <v>68</v>
      </c>
      <c r="C62" s="3">
        <v>44579</v>
      </c>
      <c r="D62" s="2" t="s">
        <v>2012</v>
      </c>
      <c r="E62" s="2" t="s">
        <v>2058</v>
      </c>
      <c r="F62" s="4">
        <v>1527.8</v>
      </c>
      <c r="G62" s="5">
        <v>558.34</v>
      </c>
      <c r="H62" s="6">
        <v>10</v>
      </c>
      <c r="I62" s="2" t="s">
        <v>2117</v>
      </c>
    </row>
    <row r="63" spans="2:9" x14ac:dyDescent="0.3">
      <c r="B63" s="2" t="s">
        <v>69</v>
      </c>
      <c r="C63" s="3">
        <v>45544</v>
      </c>
      <c r="D63" s="2" t="s">
        <v>2011</v>
      </c>
      <c r="E63" s="2" t="s">
        <v>2059</v>
      </c>
      <c r="F63" s="4">
        <v>4379.74</v>
      </c>
      <c r="G63" s="5">
        <v>385.67</v>
      </c>
      <c r="H63" s="6">
        <v>12</v>
      </c>
      <c r="I63" s="2" t="s">
        <v>2117</v>
      </c>
    </row>
    <row r="64" spans="2:9" x14ac:dyDescent="0.3">
      <c r="B64" s="2" t="s">
        <v>70</v>
      </c>
      <c r="C64" s="3">
        <v>45574</v>
      </c>
      <c r="D64" s="2" t="s">
        <v>2012</v>
      </c>
      <c r="E64" s="2" t="s">
        <v>2060</v>
      </c>
      <c r="F64" s="4">
        <v>4310.79</v>
      </c>
      <c r="G64" s="5">
        <v>691.64</v>
      </c>
      <c r="H64" s="6">
        <v>2</v>
      </c>
      <c r="I64" s="2" t="s">
        <v>2117</v>
      </c>
    </row>
    <row r="65" spans="2:9" x14ac:dyDescent="0.3">
      <c r="B65" s="2" t="s">
        <v>71</v>
      </c>
      <c r="C65" s="3">
        <v>45031</v>
      </c>
      <c r="D65" s="2" t="s">
        <v>2010</v>
      </c>
      <c r="E65" s="2" t="s">
        <v>2061</v>
      </c>
      <c r="F65" s="4">
        <v>2035.86</v>
      </c>
      <c r="G65" s="5">
        <v>737.24</v>
      </c>
      <c r="H65" s="6">
        <v>14</v>
      </c>
      <c r="I65" s="2" t="s">
        <v>2116</v>
      </c>
    </row>
    <row r="66" spans="2:9" x14ac:dyDescent="0.3">
      <c r="B66" s="2" t="s">
        <v>72</v>
      </c>
      <c r="C66" s="3">
        <v>45266</v>
      </c>
      <c r="D66" s="2" t="s">
        <v>2010</v>
      </c>
      <c r="E66" s="2" t="s">
        <v>2062</v>
      </c>
      <c r="F66" s="4">
        <v>4531.28</v>
      </c>
      <c r="G66" s="5">
        <v>662.12</v>
      </c>
      <c r="H66" s="6">
        <v>3</v>
      </c>
      <c r="I66" s="2" t="s">
        <v>2116</v>
      </c>
    </row>
    <row r="67" spans="2:9" x14ac:dyDescent="0.3">
      <c r="B67" s="2" t="s">
        <v>73</v>
      </c>
      <c r="C67" s="3">
        <v>44130</v>
      </c>
      <c r="D67" s="2" t="s">
        <v>2011</v>
      </c>
      <c r="E67" s="2" t="s">
        <v>2063</v>
      </c>
      <c r="F67" s="4">
        <v>101.99</v>
      </c>
      <c r="G67" s="5">
        <v>391.49</v>
      </c>
      <c r="H67" s="6">
        <v>18</v>
      </c>
      <c r="I67" s="2" t="s">
        <v>2116</v>
      </c>
    </row>
    <row r="68" spans="2:9" x14ac:dyDescent="0.3">
      <c r="B68" s="2" t="s">
        <v>74</v>
      </c>
      <c r="C68" s="3">
        <v>45034</v>
      </c>
      <c r="D68" s="2" t="s">
        <v>2009</v>
      </c>
      <c r="E68" s="2" t="s">
        <v>2013</v>
      </c>
      <c r="F68" s="4">
        <v>2687.89</v>
      </c>
      <c r="G68" s="5">
        <v>514.78</v>
      </c>
      <c r="H68" s="6">
        <v>7</v>
      </c>
      <c r="I68" s="2" t="s">
        <v>2118</v>
      </c>
    </row>
    <row r="69" spans="2:9" x14ac:dyDescent="0.3">
      <c r="B69" s="2" t="s">
        <v>75</v>
      </c>
      <c r="C69" s="3">
        <v>45544</v>
      </c>
      <c r="D69" s="2" t="s">
        <v>2011</v>
      </c>
      <c r="E69" s="2" t="s">
        <v>2064</v>
      </c>
      <c r="F69" s="4">
        <v>2001.89</v>
      </c>
      <c r="G69" s="5">
        <v>537.45000000000005</v>
      </c>
      <c r="H69" s="6">
        <v>14</v>
      </c>
      <c r="I69" s="2" t="s">
        <v>2116</v>
      </c>
    </row>
    <row r="70" spans="2:9" x14ac:dyDescent="0.3">
      <c r="B70" s="2" t="s">
        <v>76</v>
      </c>
      <c r="C70" s="3">
        <v>43843</v>
      </c>
      <c r="D70" s="2" t="s">
        <v>2009</v>
      </c>
      <c r="E70" s="2" t="s">
        <v>2065</v>
      </c>
      <c r="F70" s="4">
        <v>1672.71</v>
      </c>
      <c r="G70" s="5">
        <v>525.21</v>
      </c>
      <c r="H70" s="6">
        <v>13</v>
      </c>
      <c r="I70" s="2" t="s">
        <v>2118</v>
      </c>
    </row>
    <row r="71" spans="2:9" x14ac:dyDescent="0.3">
      <c r="B71" s="2" t="s">
        <v>77</v>
      </c>
      <c r="C71" s="3">
        <v>44129</v>
      </c>
      <c r="D71" s="2" t="s">
        <v>2011</v>
      </c>
      <c r="E71" s="2" t="s">
        <v>2020</v>
      </c>
      <c r="F71" s="4">
        <v>3639.49</v>
      </c>
      <c r="G71" s="5">
        <v>992.3</v>
      </c>
      <c r="H71" s="6">
        <v>3</v>
      </c>
      <c r="I71" s="2" t="s">
        <v>2117</v>
      </c>
    </row>
    <row r="72" spans="2:9" x14ac:dyDescent="0.3">
      <c r="B72" s="2" t="s">
        <v>78</v>
      </c>
      <c r="C72" s="3">
        <v>45594</v>
      </c>
      <c r="D72" s="2" t="s">
        <v>2010</v>
      </c>
      <c r="E72" s="2" t="s">
        <v>2039</v>
      </c>
      <c r="F72" s="4">
        <v>2618.38</v>
      </c>
      <c r="G72" s="5">
        <v>122.11</v>
      </c>
      <c r="H72" s="6">
        <v>8</v>
      </c>
      <c r="I72" s="2" t="s">
        <v>2116</v>
      </c>
    </row>
    <row r="73" spans="2:9" x14ac:dyDescent="0.3">
      <c r="B73" s="2" t="s">
        <v>79</v>
      </c>
      <c r="C73" s="3">
        <v>44615</v>
      </c>
      <c r="D73" s="2" t="s">
        <v>2012</v>
      </c>
      <c r="E73" s="2" t="s">
        <v>2066</v>
      </c>
      <c r="F73" s="4">
        <v>393.09</v>
      </c>
      <c r="G73" s="5">
        <v>456.81</v>
      </c>
      <c r="H73" s="6">
        <v>2</v>
      </c>
      <c r="I73" s="2" t="s">
        <v>2117</v>
      </c>
    </row>
    <row r="74" spans="2:9" x14ac:dyDescent="0.3">
      <c r="B74" s="2" t="s">
        <v>80</v>
      </c>
      <c r="C74" s="3">
        <v>44774</v>
      </c>
      <c r="D74" s="2" t="s">
        <v>2010</v>
      </c>
      <c r="E74" s="2" t="s">
        <v>2030</v>
      </c>
      <c r="F74" s="4">
        <v>3460.49</v>
      </c>
      <c r="G74" s="5">
        <v>116.35</v>
      </c>
      <c r="H74" s="6">
        <v>1</v>
      </c>
      <c r="I74" s="2" t="s">
        <v>2116</v>
      </c>
    </row>
    <row r="75" spans="2:9" x14ac:dyDescent="0.3">
      <c r="B75" s="2" t="s">
        <v>81</v>
      </c>
      <c r="C75" s="3">
        <v>44416</v>
      </c>
      <c r="D75" s="2" t="s">
        <v>2010</v>
      </c>
      <c r="E75" s="2" t="s">
        <v>2067</v>
      </c>
      <c r="F75" s="4">
        <v>3208.49</v>
      </c>
      <c r="G75" s="5">
        <v>810.28</v>
      </c>
      <c r="H75" s="6">
        <v>1</v>
      </c>
      <c r="I75" s="2" t="s">
        <v>2117</v>
      </c>
    </row>
    <row r="76" spans="2:9" x14ac:dyDescent="0.3">
      <c r="B76" s="2" t="s">
        <v>82</v>
      </c>
      <c r="C76" s="3">
        <v>44660</v>
      </c>
      <c r="D76" s="2" t="s">
        <v>2009</v>
      </c>
      <c r="E76" s="2" t="s">
        <v>2068</v>
      </c>
      <c r="F76" s="4">
        <v>3643.91</v>
      </c>
      <c r="G76" s="5">
        <v>342.82</v>
      </c>
      <c r="H76" s="6">
        <v>15</v>
      </c>
      <c r="I76" s="2" t="s">
        <v>2117</v>
      </c>
    </row>
    <row r="77" spans="2:9" x14ac:dyDescent="0.3">
      <c r="B77" s="2" t="s">
        <v>83</v>
      </c>
      <c r="C77" s="3">
        <v>44858</v>
      </c>
      <c r="D77" s="2" t="s">
        <v>2009</v>
      </c>
      <c r="E77" s="2" t="s">
        <v>2069</v>
      </c>
      <c r="F77" s="4">
        <v>1237.7</v>
      </c>
      <c r="G77" s="5">
        <v>180.14</v>
      </c>
      <c r="H77" s="6">
        <v>5</v>
      </c>
      <c r="I77" s="2" t="s">
        <v>2117</v>
      </c>
    </row>
    <row r="78" spans="2:9" x14ac:dyDescent="0.3">
      <c r="B78" s="2" t="s">
        <v>84</v>
      </c>
      <c r="C78" s="3">
        <v>44813</v>
      </c>
      <c r="D78" s="2" t="s">
        <v>2012</v>
      </c>
      <c r="E78" s="2" t="s">
        <v>2028</v>
      </c>
      <c r="F78" s="4">
        <v>4890.7299999999996</v>
      </c>
      <c r="G78" s="5">
        <v>756.15</v>
      </c>
      <c r="H78" s="6">
        <v>19</v>
      </c>
      <c r="I78" s="2" t="s">
        <v>2117</v>
      </c>
    </row>
    <row r="79" spans="2:9" x14ac:dyDescent="0.3">
      <c r="B79" s="2" t="s">
        <v>85</v>
      </c>
      <c r="C79" s="3">
        <v>45547</v>
      </c>
      <c r="D79" s="2" t="s">
        <v>2012</v>
      </c>
      <c r="E79" s="2" t="s">
        <v>2016</v>
      </c>
      <c r="F79" s="4">
        <v>4786.6000000000004</v>
      </c>
      <c r="G79" s="5">
        <v>486.41</v>
      </c>
      <c r="H79" s="6">
        <v>4</v>
      </c>
      <c r="I79" s="2" t="s">
        <v>2117</v>
      </c>
    </row>
    <row r="80" spans="2:9" x14ac:dyDescent="0.3">
      <c r="B80" s="2" t="s">
        <v>86</v>
      </c>
      <c r="C80" s="3">
        <v>44727</v>
      </c>
      <c r="D80" s="2" t="s">
        <v>2009</v>
      </c>
      <c r="E80" s="2" t="s">
        <v>2039</v>
      </c>
      <c r="F80" s="4">
        <v>2641.75</v>
      </c>
      <c r="G80" s="5">
        <v>304.49</v>
      </c>
      <c r="H80" s="6">
        <v>17</v>
      </c>
      <c r="I80" s="2" t="s">
        <v>2116</v>
      </c>
    </row>
    <row r="81" spans="2:9" x14ac:dyDescent="0.3">
      <c r="B81" s="2" t="s">
        <v>87</v>
      </c>
      <c r="C81" s="3">
        <v>45492</v>
      </c>
      <c r="D81" s="2" t="s">
        <v>2011</v>
      </c>
      <c r="E81" s="2" t="s">
        <v>2068</v>
      </c>
      <c r="F81" s="4">
        <v>1068.8599999999999</v>
      </c>
      <c r="G81" s="5">
        <v>100.98</v>
      </c>
      <c r="H81" s="6">
        <v>14</v>
      </c>
      <c r="I81" s="2" t="s">
        <v>2117</v>
      </c>
    </row>
    <row r="82" spans="2:9" x14ac:dyDescent="0.3">
      <c r="B82" s="2" t="s">
        <v>88</v>
      </c>
      <c r="C82" s="3">
        <v>44790</v>
      </c>
      <c r="D82" s="2" t="s">
        <v>2010</v>
      </c>
      <c r="E82" s="2" t="s">
        <v>2070</v>
      </c>
      <c r="F82" s="4">
        <v>3337.96</v>
      </c>
      <c r="G82" s="5">
        <v>286.08999999999997</v>
      </c>
      <c r="H82" s="6">
        <v>18</v>
      </c>
      <c r="I82" s="2" t="s">
        <v>2118</v>
      </c>
    </row>
    <row r="83" spans="2:9" x14ac:dyDescent="0.3">
      <c r="B83" s="2" t="s">
        <v>89</v>
      </c>
      <c r="C83" s="3">
        <v>44105</v>
      </c>
      <c r="D83" s="2" t="s">
        <v>2009</v>
      </c>
      <c r="E83" s="2" t="s">
        <v>2039</v>
      </c>
      <c r="F83" s="4">
        <v>903.63</v>
      </c>
      <c r="G83" s="5">
        <v>741.36</v>
      </c>
      <c r="H83" s="6">
        <v>14</v>
      </c>
      <c r="I83" s="2" t="s">
        <v>2118</v>
      </c>
    </row>
    <row r="84" spans="2:9" x14ac:dyDescent="0.3">
      <c r="B84" s="2" t="s">
        <v>90</v>
      </c>
      <c r="C84" s="3">
        <v>44066</v>
      </c>
      <c r="D84" s="2" t="s">
        <v>2011</v>
      </c>
      <c r="E84" s="2" t="s">
        <v>2071</v>
      </c>
      <c r="F84" s="4">
        <v>3829.31</v>
      </c>
      <c r="G84" s="5">
        <v>204.65</v>
      </c>
      <c r="H84" s="6">
        <v>16</v>
      </c>
      <c r="I84" s="2" t="s">
        <v>2116</v>
      </c>
    </row>
    <row r="85" spans="2:9" x14ac:dyDescent="0.3">
      <c r="B85" s="2" t="s">
        <v>91</v>
      </c>
      <c r="C85" s="3">
        <v>45462</v>
      </c>
      <c r="D85" s="2" t="s">
        <v>2009</v>
      </c>
      <c r="E85" s="2" t="s">
        <v>2067</v>
      </c>
      <c r="F85" s="4">
        <v>3634.59</v>
      </c>
      <c r="G85" s="5">
        <v>385.68</v>
      </c>
      <c r="H85" s="6">
        <v>16</v>
      </c>
      <c r="I85" s="2" t="s">
        <v>2116</v>
      </c>
    </row>
    <row r="86" spans="2:9" x14ac:dyDescent="0.3">
      <c r="B86" s="2" t="s">
        <v>92</v>
      </c>
      <c r="C86" s="3">
        <v>44747</v>
      </c>
      <c r="D86" s="2" t="s">
        <v>2011</v>
      </c>
      <c r="E86" s="2" t="s">
        <v>2041</v>
      </c>
      <c r="F86" s="4">
        <v>2832.09</v>
      </c>
      <c r="G86" s="5">
        <v>172.78</v>
      </c>
      <c r="H86" s="6">
        <v>16</v>
      </c>
      <c r="I86" s="2" t="s">
        <v>2118</v>
      </c>
    </row>
    <row r="87" spans="2:9" x14ac:dyDescent="0.3">
      <c r="B87" s="2" t="s">
        <v>93</v>
      </c>
      <c r="C87" s="3">
        <v>44600</v>
      </c>
      <c r="D87" s="2" t="s">
        <v>2010</v>
      </c>
      <c r="E87" s="2" t="s">
        <v>2048</v>
      </c>
      <c r="F87" s="4">
        <v>2362.11</v>
      </c>
      <c r="G87" s="5">
        <v>505.07</v>
      </c>
      <c r="H87" s="6">
        <v>19</v>
      </c>
      <c r="I87" s="2" t="s">
        <v>2118</v>
      </c>
    </row>
    <row r="88" spans="2:9" x14ac:dyDescent="0.3">
      <c r="B88" s="2" t="s">
        <v>94</v>
      </c>
      <c r="C88" s="3">
        <v>44785</v>
      </c>
      <c r="D88" s="2" t="s">
        <v>2010</v>
      </c>
      <c r="E88" s="2" t="s">
        <v>2046</v>
      </c>
      <c r="F88" s="4">
        <v>1703.89</v>
      </c>
      <c r="G88" s="5">
        <v>136.19</v>
      </c>
      <c r="H88" s="6">
        <v>12</v>
      </c>
      <c r="I88" s="2" t="s">
        <v>2116</v>
      </c>
    </row>
    <row r="89" spans="2:9" x14ac:dyDescent="0.3">
      <c r="B89" s="2" t="s">
        <v>95</v>
      </c>
      <c r="C89" s="3">
        <v>44212</v>
      </c>
      <c r="D89" s="2" t="s">
        <v>2009</v>
      </c>
      <c r="E89" s="2" t="s">
        <v>2015</v>
      </c>
      <c r="F89" s="4">
        <v>658.29</v>
      </c>
      <c r="G89" s="5">
        <v>638.54999999999995</v>
      </c>
      <c r="H89" s="6">
        <v>7</v>
      </c>
      <c r="I89" s="2" t="s">
        <v>2118</v>
      </c>
    </row>
    <row r="90" spans="2:9" x14ac:dyDescent="0.3">
      <c r="B90" s="2" t="s">
        <v>96</v>
      </c>
      <c r="C90" s="3">
        <v>44525</v>
      </c>
      <c r="D90" s="2" t="s">
        <v>2010</v>
      </c>
      <c r="E90" s="2" t="s">
        <v>2072</v>
      </c>
      <c r="F90" s="4">
        <v>2740.1</v>
      </c>
      <c r="G90" s="5">
        <v>728.43</v>
      </c>
      <c r="H90" s="6">
        <v>6</v>
      </c>
      <c r="I90" s="2" t="s">
        <v>2117</v>
      </c>
    </row>
    <row r="91" spans="2:9" x14ac:dyDescent="0.3">
      <c r="B91" s="2" t="s">
        <v>97</v>
      </c>
      <c r="C91" s="3">
        <v>44863</v>
      </c>
      <c r="D91" s="2" t="s">
        <v>2010</v>
      </c>
      <c r="E91" s="2" t="s">
        <v>2073</v>
      </c>
      <c r="F91" s="4">
        <v>1005.44</v>
      </c>
      <c r="G91" s="5">
        <v>661.3</v>
      </c>
      <c r="H91" s="6">
        <v>2</v>
      </c>
      <c r="I91" s="2" t="s">
        <v>2117</v>
      </c>
    </row>
    <row r="92" spans="2:9" x14ac:dyDescent="0.3">
      <c r="B92" s="2" t="s">
        <v>98</v>
      </c>
      <c r="C92" s="3">
        <v>44720</v>
      </c>
      <c r="D92" s="2" t="s">
        <v>2009</v>
      </c>
      <c r="E92" s="2" t="s">
        <v>2074</v>
      </c>
      <c r="F92" s="4">
        <v>1844.31</v>
      </c>
      <c r="G92" s="5">
        <v>371.71</v>
      </c>
      <c r="H92" s="6">
        <v>9</v>
      </c>
      <c r="I92" s="2" t="s">
        <v>2118</v>
      </c>
    </row>
    <row r="93" spans="2:9" x14ac:dyDescent="0.3">
      <c r="B93" s="2" t="s">
        <v>99</v>
      </c>
      <c r="C93" s="3">
        <v>44524</v>
      </c>
      <c r="D93" s="2" t="s">
        <v>2011</v>
      </c>
      <c r="E93" s="2" t="s">
        <v>2075</v>
      </c>
      <c r="F93" s="4">
        <v>3305.44</v>
      </c>
      <c r="G93" s="5">
        <v>361.4</v>
      </c>
      <c r="H93" s="6">
        <v>18</v>
      </c>
      <c r="I93" s="2" t="s">
        <v>2118</v>
      </c>
    </row>
    <row r="94" spans="2:9" x14ac:dyDescent="0.3">
      <c r="B94" s="2" t="s">
        <v>100</v>
      </c>
      <c r="C94" s="3">
        <v>45242</v>
      </c>
      <c r="D94" s="2" t="s">
        <v>2012</v>
      </c>
      <c r="E94" s="2" t="s">
        <v>2035</v>
      </c>
      <c r="F94" s="4">
        <v>2568.64</v>
      </c>
      <c r="G94" s="5">
        <v>206.74</v>
      </c>
      <c r="H94" s="6">
        <v>6</v>
      </c>
      <c r="I94" s="2" t="s">
        <v>2116</v>
      </c>
    </row>
    <row r="95" spans="2:9" x14ac:dyDescent="0.3">
      <c r="B95" s="2" t="s">
        <v>101</v>
      </c>
      <c r="C95" s="3">
        <v>44666</v>
      </c>
      <c r="D95" s="2" t="s">
        <v>2011</v>
      </c>
      <c r="E95" s="2" t="s">
        <v>2076</v>
      </c>
      <c r="F95" s="4">
        <v>3682.52</v>
      </c>
      <c r="G95" s="5">
        <v>202.32</v>
      </c>
      <c r="H95" s="6">
        <v>4</v>
      </c>
      <c r="I95" s="2" t="s">
        <v>2116</v>
      </c>
    </row>
    <row r="96" spans="2:9" x14ac:dyDescent="0.3">
      <c r="B96" s="2" t="s">
        <v>102</v>
      </c>
      <c r="C96" s="3">
        <v>44548</v>
      </c>
      <c r="D96" s="2" t="s">
        <v>2010</v>
      </c>
      <c r="E96" s="2" t="s">
        <v>2062</v>
      </c>
      <c r="F96" s="4">
        <v>1611.44</v>
      </c>
      <c r="G96" s="5">
        <v>695.93</v>
      </c>
      <c r="H96" s="6">
        <v>10</v>
      </c>
      <c r="I96" s="2" t="s">
        <v>2118</v>
      </c>
    </row>
    <row r="97" spans="2:9" x14ac:dyDescent="0.3">
      <c r="B97" s="2" t="s">
        <v>103</v>
      </c>
      <c r="C97" s="3">
        <v>45297</v>
      </c>
      <c r="D97" s="2" t="s">
        <v>2011</v>
      </c>
      <c r="E97" s="2" t="s">
        <v>2031</v>
      </c>
      <c r="F97" s="4">
        <v>4920.3500000000004</v>
      </c>
      <c r="G97" s="5">
        <v>79.150000000000006</v>
      </c>
      <c r="H97" s="6">
        <v>8</v>
      </c>
      <c r="I97" s="2" t="s">
        <v>2118</v>
      </c>
    </row>
    <row r="98" spans="2:9" x14ac:dyDescent="0.3">
      <c r="B98" s="2" t="s">
        <v>104</v>
      </c>
      <c r="C98" s="3">
        <v>44662</v>
      </c>
      <c r="D98" s="2" t="s">
        <v>2012</v>
      </c>
      <c r="E98" s="2" t="s">
        <v>2039</v>
      </c>
      <c r="F98" s="4">
        <v>4129.58</v>
      </c>
      <c r="G98" s="5">
        <v>476.54</v>
      </c>
      <c r="H98" s="6">
        <v>17</v>
      </c>
      <c r="I98" s="2" t="s">
        <v>2117</v>
      </c>
    </row>
    <row r="99" spans="2:9" x14ac:dyDescent="0.3">
      <c r="B99" s="2" t="s">
        <v>105</v>
      </c>
      <c r="C99" s="3">
        <v>45566</v>
      </c>
      <c r="D99" s="2" t="s">
        <v>2010</v>
      </c>
      <c r="E99" s="2" t="s">
        <v>2020</v>
      </c>
      <c r="F99" s="4">
        <v>2597.71</v>
      </c>
      <c r="G99" s="5">
        <v>378.42</v>
      </c>
      <c r="H99" s="6">
        <v>15</v>
      </c>
      <c r="I99" s="2" t="s">
        <v>2116</v>
      </c>
    </row>
    <row r="100" spans="2:9" x14ac:dyDescent="0.3">
      <c r="B100" s="2" t="s">
        <v>106</v>
      </c>
      <c r="C100" s="3">
        <v>43948</v>
      </c>
      <c r="D100" s="2" t="s">
        <v>2011</v>
      </c>
      <c r="E100" s="2" t="s">
        <v>2030</v>
      </c>
      <c r="F100" s="4">
        <v>3382.39</v>
      </c>
      <c r="G100" s="5">
        <v>273.31</v>
      </c>
      <c r="H100" s="6">
        <v>12</v>
      </c>
      <c r="I100" s="2" t="s">
        <v>2117</v>
      </c>
    </row>
    <row r="101" spans="2:9" x14ac:dyDescent="0.3">
      <c r="B101" s="2" t="s">
        <v>107</v>
      </c>
      <c r="C101" s="3">
        <v>43869</v>
      </c>
      <c r="D101" s="2" t="s">
        <v>2010</v>
      </c>
      <c r="E101" s="2" t="s">
        <v>2077</v>
      </c>
      <c r="F101" s="4">
        <v>2253.66</v>
      </c>
      <c r="G101" s="5">
        <v>453.84</v>
      </c>
      <c r="H101" s="6">
        <v>2</v>
      </c>
      <c r="I101" s="2" t="s">
        <v>2118</v>
      </c>
    </row>
    <row r="102" spans="2:9" x14ac:dyDescent="0.3">
      <c r="B102" s="2" t="s">
        <v>108</v>
      </c>
      <c r="C102" s="3">
        <v>45435</v>
      </c>
      <c r="D102" s="2" t="s">
        <v>2012</v>
      </c>
      <c r="E102" s="2" t="s">
        <v>2078</v>
      </c>
      <c r="F102" s="4">
        <v>4827.91</v>
      </c>
      <c r="G102" s="5">
        <v>333</v>
      </c>
      <c r="H102" s="6">
        <v>14</v>
      </c>
      <c r="I102" s="2" t="s">
        <v>2118</v>
      </c>
    </row>
    <row r="103" spans="2:9" x14ac:dyDescent="0.3">
      <c r="B103" s="2" t="s">
        <v>109</v>
      </c>
      <c r="C103" s="3">
        <v>45444</v>
      </c>
      <c r="D103" s="2" t="s">
        <v>2012</v>
      </c>
      <c r="E103" s="2" t="s">
        <v>2047</v>
      </c>
      <c r="F103" s="4">
        <v>387.17</v>
      </c>
      <c r="G103" s="5">
        <v>616.64</v>
      </c>
      <c r="H103" s="6">
        <v>16</v>
      </c>
      <c r="I103" s="2" t="s">
        <v>2117</v>
      </c>
    </row>
    <row r="104" spans="2:9" x14ac:dyDescent="0.3">
      <c r="B104" s="2" t="s">
        <v>110</v>
      </c>
      <c r="C104" s="3">
        <v>44099</v>
      </c>
      <c r="D104" s="2" t="s">
        <v>2009</v>
      </c>
      <c r="E104" s="2" t="s">
        <v>2079</v>
      </c>
      <c r="F104" s="4">
        <v>1063.9000000000001</v>
      </c>
      <c r="G104" s="5">
        <v>554.38</v>
      </c>
      <c r="H104" s="6">
        <v>5</v>
      </c>
      <c r="I104" s="2" t="s">
        <v>2117</v>
      </c>
    </row>
    <row r="105" spans="2:9" x14ac:dyDescent="0.3">
      <c r="B105" s="2" t="s">
        <v>111</v>
      </c>
      <c r="C105" s="3">
        <v>45092</v>
      </c>
      <c r="D105" s="2" t="s">
        <v>2012</v>
      </c>
      <c r="E105" s="2" t="s">
        <v>2013</v>
      </c>
      <c r="F105" s="4">
        <v>2753.78</v>
      </c>
      <c r="G105" s="5">
        <v>930.89</v>
      </c>
      <c r="H105" s="6">
        <v>18</v>
      </c>
      <c r="I105" s="2" t="s">
        <v>2117</v>
      </c>
    </row>
    <row r="106" spans="2:9" x14ac:dyDescent="0.3">
      <c r="B106" s="2" t="s">
        <v>112</v>
      </c>
      <c r="C106" s="3">
        <v>45344</v>
      </c>
      <c r="D106" s="2" t="s">
        <v>2011</v>
      </c>
      <c r="E106" s="2" t="s">
        <v>2080</v>
      </c>
      <c r="F106" s="4">
        <v>3121.82</v>
      </c>
      <c r="G106" s="5">
        <v>719.48</v>
      </c>
      <c r="H106" s="6">
        <v>20</v>
      </c>
      <c r="I106" s="2" t="s">
        <v>2116</v>
      </c>
    </row>
    <row r="107" spans="2:9" x14ac:dyDescent="0.3">
      <c r="B107" s="2" t="s">
        <v>113</v>
      </c>
      <c r="C107" s="3">
        <v>44456</v>
      </c>
      <c r="D107" s="2" t="s">
        <v>2012</v>
      </c>
      <c r="E107" s="2" t="s">
        <v>2081</v>
      </c>
      <c r="F107" s="4">
        <v>1684.63</v>
      </c>
      <c r="G107" s="5">
        <v>652.88</v>
      </c>
      <c r="H107" s="6">
        <v>3</v>
      </c>
      <c r="I107" s="2" t="s">
        <v>2116</v>
      </c>
    </row>
    <row r="108" spans="2:9" x14ac:dyDescent="0.3">
      <c r="B108" s="2" t="s">
        <v>114</v>
      </c>
      <c r="C108" s="3">
        <v>43932</v>
      </c>
      <c r="D108" s="2" t="s">
        <v>2012</v>
      </c>
      <c r="E108" s="2" t="s">
        <v>2048</v>
      </c>
      <c r="F108" s="4">
        <v>4769.18</v>
      </c>
      <c r="G108" s="5">
        <v>802.33</v>
      </c>
      <c r="H108" s="6">
        <v>1</v>
      </c>
      <c r="I108" s="2" t="s">
        <v>2118</v>
      </c>
    </row>
    <row r="109" spans="2:9" x14ac:dyDescent="0.3">
      <c r="B109" s="2" t="s">
        <v>115</v>
      </c>
      <c r="C109" s="3">
        <v>45594</v>
      </c>
      <c r="D109" s="2" t="s">
        <v>2009</v>
      </c>
      <c r="E109" s="2" t="s">
        <v>2078</v>
      </c>
      <c r="F109" s="4">
        <v>2019.54</v>
      </c>
      <c r="G109" s="5">
        <v>481.76</v>
      </c>
      <c r="H109" s="6">
        <v>8</v>
      </c>
      <c r="I109" s="2" t="s">
        <v>2118</v>
      </c>
    </row>
    <row r="110" spans="2:9" x14ac:dyDescent="0.3">
      <c r="B110" s="2" t="s">
        <v>116</v>
      </c>
      <c r="C110" s="3">
        <v>44974</v>
      </c>
      <c r="D110" s="2" t="s">
        <v>2012</v>
      </c>
      <c r="E110" s="2" t="s">
        <v>2082</v>
      </c>
      <c r="F110" s="4">
        <v>3675.57</v>
      </c>
      <c r="G110" s="5">
        <v>672.7</v>
      </c>
      <c r="H110" s="6">
        <v>7</v>
      </c>
      <c r="I110" s="2" t="s">
        <v>2117</v>
      </c>
    </row>
    <row r="111" spans="2:9" x14ac:dyDescent="0.3">
      <c r="B111" s="2" t="s">
        <v>117</v>
      </c>
      <c r="C111" s="3">
        <v>44144</v>
      </c>
      <c r="D111" s="2" t="s">
        <v>2011</v>
      </c>
      <c r="E111" s="2" t="s">
        <v>2024</v>
      </c>
      <c r="F111" s="4">
        <v>1729.87</v>
      </c>
      <c r="G111" s="5">
        <v>119.79</v>
      </c>
      <c r="H111" s="6">
        <v>5</v>
      </c>
      <c r="I111" s="2" t="s">
        <v>2116</v>
      </c>
    </row>
    <row r="112" spans="2:9" x14ac:dyDescent="0.3">
      <c r="B112" s="2" t="s">
        <v>118</v>
      </c>
      <c r="C112" s="3">
        <v>44072</v>
      </c>
      <c r="D112" s="2" t="s">
        <v>2011</v>
      </c>
      <c r="E112" s="2" t="s">
        <v>2074</v>
      </c>
      <c r="F112" s="4">
        <v>195.33</v>
      </c>
      <c r="G112" s="5">
        <v>843.64</v>
      </c>
      <c r="H112" s="6">
        <v>8</v>
      </c>
      <c r="I112" s="2" t="s">
        <v>2116</v>
      </c>
    </row>
    <row r="113" spans="2:9" x14ac:dyDescent="0.3">
      <c r="B113" s="2" t="s">
        <v>119</v>
      </c>
      <c r="C113" s="3">
        <v>44316</v>
      </c>
      <c r="D113" s="2" t="s">
        <v>2012</v>
      </c>
      <c r="E113" s="2" t="s">
        <v>2083</v>
      </c>
      <c r="F113" s="4">
        <v>2923.5</v>
      </c>
      <c r="G113" s="5">
        <v>134.44</v>
      </c>
      <c r="H113" s="6">
        <v>3</v>
      </c>
      <c r="I113" s="2" t="s">
        <v>2116</v>
      </c>
    </row>
    <row r="114" spans="2:9" x14ac:dyDescent="0.3">
      <c r="B114" s="2" t="s">
        <v>120</v>
      </c>
      <c r="C114" s="3">
        <v>44270</v>
      </c>
      <c r="D114" s="2" t="s">
        <v>2010</v>
      </c>
      <c r="E114" s="2" t="s">
        <v>2013</v>
      </c>
      <c r="F114" s="4">
        <v>639.13</v>
      </c>
      <c r="G114" s="5">
        <v>168.42</v>
      </c>
      <c r="H114" s="6">
        <v>1</v>
      </c>
      <c r="I114" s="2" t="s">
        <v>2117</v>
      </c>
    </row>
    <row r="115" spans="2:9" x14ac:dyDescent="0.3">
      <c r="B115" s="2" t="s">
        <v>121</v>
      </c>
      <c r="C115" s="3">
        <v>44016</v>
      </c>
      <c r="D115" s="2" t="s">
        <v>2009</v>
      </c>
      <c r="E115" s="2" t="s">
        <v>2036</v>
      </c>
      <c r="F115" s="4">
        <v>2832.75</v>
      </c>
      <c r="G115" s="5">
        <v>384.31</v>
      </c>
      <c r="H115" s="6">
        <v>19</v>
      </c>
      <c r="I115" s="2" t="s">
        <v>2118</v>
      </c>
    </row>
    <row r="116" spans="2:9" x14ac:dyDescent="0.3">
      <c r="B116" s="2" t="s">
        <v>122</v>
      </c>
      <c r="C116" s="3">
        <v>44966</v>
      </c>
      <c r="D116" s="2" t="s">
        <v>2012</v>
      </c>
      <c r="E116" s="2" t="s">
        <v>2038</v>
      </c>
      <c r="F116" s="4">
        <v>3777.35</v>
      </c>
      <c r="G116" s="5">
        <v>139.49</v>
      </c>
      <c r="H116" s="6">
        <v>2</v>
      </c>
      <c r="I116" s="2" t="s">
        <v>2118</v>
      </c>
    </row>
    <row r="117" spans="2:9" x14ac:dyDescent="0.3">
      <c r="B117" s="2" t="s">
        <v>123</v>
      </c>
      <c r="C117" s="3">
        <v>44636</v>
      </c>
      <c r="D117" s="2" t="s">
        <v>2012</v>
      </c>
      <c r="E117" s="2" t="s">
        <v>2061</v>
      </c>
      <c r="F117" s="4">
        <v>2239.63</v>
      </c>
      <c r="G117" s="5">
        <v>763.75</v>
      </c>
      <c r="H117" s="6">
        <v>1</v>
      </c>
      <c r="I117" s="2" t="s">
        <v>2117</v>
      </c>
    </row>
    <row r="118" spans="2:9" x14ac:dyDescent="0.3">
      <c r="B118" s="2" t="s">
        <v>124</v>
      </c>
      <c r="C118" s="3">
        <v>44266</v>
      </c>
      <c r="D118" s="2" t="s">
        <v>2010</v>
      </c>
      <c r="E118" s="2" t="s">
        <v>2044</v>
      </c>
      <c r="F118" s="4">
        <v>685.74</v>
      </c>
      <c r="G118" s="5">
        <v>939.28</v>
      </c>
      <c r="H118" s="6">
        <v>20</v>
      </c>
      <c r="I118" s="2" t="s">
        <v>2117</v>
      </c>
    </row>
    <row r="119" spans="2:9" x14ac:dyDescent="0.3">
      <c r="B119" s="2" t="s">
        <v>125</v>
      </c>
      <c r="C119" s="3">
        <v>44596</v>
      </c>
      <c r="D119" s="2" t="s">
        <v>2012</v>
      </c>
      <c r="E119" s="2" t="s">
        <v>2039</v>
      </c>
      <c r="F119" s="4">
        <v>2271.3200000000002</v>
      </c>
      <c r="G119" s="5">
        <v>876.32</v>
      </c>
      <c r="H119" s="6">
        <v>7</v>
      </c>
      <c r="I119" s="2" t="s">
        <v>2116</v>
      </c>
    </row>
    <row r="120" spans="2:9" x14ac:dyDescent="0.3">
      <c r="B120" s="2" t="s">
        <v>126</v>
      </c>
      <c r="C120" s="3">
        <v>44405</v>
      </c>
      <c r="D120" s="2" t="s">
        <v>2010</v>
      </c>
      <c r="E120" s="2" t="s">
        <v>2073</v>
      </c>
      <c r="F120" s="4">
        <v>256.39999999999998</v>
      </c>
      <c r="G120" s="5">
        <v>839.85</v>
      </c>
      <c r="H120" s="6">
        <v>4</v>
      </c>
      <c r="I120" s="2" t="s">
        <v>2118</v>
      </c>
    </row>
    <row r="121" spans="2:9" x14ac:dyDescent="0.3">
      <c r="B121" s="2" t="s">
        <v>127</v>
      </c>
      <c r="C121" s="3">
        <v>45133</v>
      </c>
      <c r="D121" s="2" t="s">
        <v>2012</v>
      </c>
      <c r="E121" s="2" t="s">
        <v>2029</v>
      </c>
      <c r="F121" s="4">
        <v>1491.89</v>
      </c>
      <c r="G121" s="5">
        <v>170.24</v>
      </c>
      <c r="H121" s="6">
        <v>9</v>
      </c>
      <c r="I121" s="2" t="s">
        <v>2117</v>
      </c>
    </row>
    <row r="122" spans="2:9" x14ac:dyDescent="0.3">
      <c r="B122" s="2" t="s">
        <v>128</v>
      </c>
      <c r="C122" s="3">
        <v>45595</v>
      </c>
      <c r="D122" s="2" t="s">
        <v>2011</v>
      </c>
      <c r="E122" s="2" t="s">
        <v>2055</v>
      </c>
      <c r="F122" s="4">
        <v>2937.57</v>
      </c>
      <c r="G122" s="5">
        <v>358.77</v>
      </c>
      <c r="H122" s="6">
        <v>9</v>
      </c>
      <c r="I122" s="2" t="s">
        <v>2116</v>
      </c>
    </row>
    <row r="123" spans="2:9" x14ac:dyDescent="0.3">
      <c r="B123" s="2" t="s">
        <v>129</v>
      </c>
      <c r="C123" s="3">
        <v>44996</v>
      </c>
      <c r="D123" s="2" t="s">
        <v>2010</v>
      </c>
      <c r="E123" s="2" t="s">
        <v>2013</v>
      </c>
      <c r="F123" s="4">
        <v>2768.6</v>
      </c>
      <c r="G123" s="5">
        <v>199.98</v>
      </c>
      <c r="H123" s="6">
        <v>2</v>
      </c>
      <c r="I123" s="2" t="s">
        <v>2117</v>
      </c>
    </row>
    <row r="124" spans="2:9" x14ac:dyDescent="0.3">
      <c r="B124" s="2" t="s">
        <v>130</v>
      </c>
      <c r="C124" s="3">
        <v>44628</v>
      </c>
      <c r="D124" s="2" t="s">
        <v>2009</v>
      </c>
      <c r="E124" s="2" t="s">
        <v>2084</v>
      </c>
      <c r="F124" s="4">
        <v>2167.1</v>
      </c>
      <c r="G124" s="5">
        <v>632.48</v>
      </c>
      <c r="H124" s="6">
        <v>4</v>
      </c>
      <c r="I124" s="2" t="s">
        <v>2118</v>
      </c>
    </row>
    <row r="125" spans="2:9" x14ac:dyDescent="0.3">
      <c r="B125" s="2" t="s">
        <v>131</v>
      </c>
      <c r="C125" s="3">
        <v>44167</v>
      </c>
      <c r="D125" s="2" t="s">
        <v>2012</v>
      </c>
      <c r="E125" s="2" t="s">
        <v>2085</v>
      </c>
      <c r="F125" s="4">
        <v>2265.2399999999998</v>
      </c>
      <c r="G125" s="5">
        <v>75.39</v>
      </c>
      <c r="H125" s="6">
        <v>2</v>
      </c>
      <c r="I125" s="2" t="s">
        <v>2117</v>
      </c>
    </row>
    <row r="126" spans="2:9" x14ac:dyDescent="0.3">
      <c r="B126" s="2" t="s">
        <v>132</v>
      </c>
      <c r="C126" s="3">
        <v>44854</v>
      </c>
      <c r="D126" s="2" t="s">
        <v>2012</v>
      </c>
      <c r="E126" s="2" t="s">
        <v>2069</v>
      </c>
      <c r="F126" s="4">
        <v>3647.86</v>
      </c>
      <c r="G126" s="5">
        <v>906.62</v>
      </c>
      <c r="H126" s="6">
        <v>8</v>
      </c>
      <c r="I126" s="2" t="s">
        <v>2117</v>
      </c>
    </row>
    <row r="127" spans="2:9" x14ac:dyDescent="0.3">
      <c r="B127" s="2" t="s">
        <v>133</v>
      </c>
      <c r="C127" s="3">
        <v>44631</v>
      </c>
      <c r="D127" s="2" t="s">
        <v>2009</v>
      </c>
      <c r="E127" s="2" t="s">
        <v>2049</v>
      </c>
      <c r="F127" s="4">
        <v>2665.73</v>
      </c>
      <c r="G127" s="5">
        <v>80.39</v>
      </c>
      <c r="H127" s="6">
        <v>4</v>
      </c>
      <c r="I127" s="2" t="s">
        <v>2118</v>
      </c>
    </row>
    <row r="128" spans="2:9" x14ac:dyDescent="0.3">
      <c r="B128" s="2" t="s">
        <v>134</v>
      </c>
      <c r="C128" s="3">
        <v>44618</v>
      </c>
      <c r="D128" s="2" t="s">
        <v>2011</v>
      </c>
      <c r="E128" s="2" t="s">
        <v>2056</v>
      </c>
      <c r="F128" s="4">
        <v>4087.08</v>
      </c>
      <c r="G128" s="5">
        <v>207.95</v>
      </c>
      <c r="H128" s="6">
        <v>8</v>
      </c>
      <c r="I128" s="2" t="s">
        <v>2116</v>
      </c>
    </row>
    <row r="129" spans="2:9" x14ac:dyDescent="0.3">
      <c r="B129" s="2" t="s">
        <v>135</v>
      </c>
      <c r="C129" s="3">
        <v>44873</v>
      </c>
      <c r="D129" s="2" t="s">
        <v>2012</v>
      </c>
      <c r="E129" s="2" t="s">
        <v>2086</v>
      </c>
      <c r="F129" s="4">
        <v>4777.8599999999997</v>
      </c>
      <c r="G129" s="5">
        <v>458.06</v>
      </c>
      <c r="H129" s="6">
        <v>5</v>
      </c>
      <c r="I129" s="2" t="s">
        <v>2118</v>
      </c>
    </row>
    <row r="130" spans="2:9" x14ac:dyDescent="0.3">
      <c r="B130" s="2" t="s">
        <v>136</v>
      </c>
      <c r="C130" s="3">
        <v>44982</v>
      </c>
      <c r="D130" s="2" t="s">
        <v>2009</v>
      </c>
      <c r="E130" s="2" t="s">
        <v>2043</v>
      </c>
      <c r="F130" s="4">
        <v>641.27</v>
      </c>
      <c r="G130" s="5">
        <v>865.72</v>
      </c>
      <c r="H130" s="6">
        <v>14</v>
      </c>
      <c r="I130" s="2" t="s">
        <v>2118</v>
      </c>
    </row>
    <row r="131" spans="2:9" x14ac:dyDescent="0.3">
      <c r="B131" s="2" t="s">
        <v>137</v>
      </c>
      <c r="C131" s="3">
        <v>45289</v>
      </c>
      <c r="D131" s="2" t="s">
        <v>2012</v>
      </c>
      <c r="E131" s="2" t="s">
        <v>2064</v>
      </c>
      <c r="F131" s="4">
        <v>1738.23</v>
      </c>
      <c r="G131" s="5">
        <v>284.85000000000002</v>
      </c>
      <c r="H131" s="6">
        <v>7</v>
      </c>
      <c r="I131" s="2" t="s">
        <v>2116</v>
      </c>
    </row>
    <row r="132" spans="2:9" x14ac:dyDescent="0.3">
      <c r="B132" s="2" t="s">
        <v>138</v>
      </c>
      <c r="C132" s="3">
        <v>44541</v>
      </c>
      <c r="D132" s="2" t="s">
        <v>2011</v>
      </c>
      <c r="E132" s="2" t="s">
        <v>2087</v>
      </c>
      <c r="F132" s="4">
        <v>3693.88</v>
      </c>
      <c r="G132" s="5">
        <v>733.18</v>
      </c>
      <c r="H132" s="6">
        <v>10</v>
      </c>
      <c r="I132" s="2" t="s">
        <v>2117</v>
      </c>
    </row>
    <row r="133" spans="2:9" x14ac:dyDescent="0.3">
      <c r="B133" s="2" t="s">
        <v>139</v>
      </c>
      <c r="C133" s="3">
        <v>44492</v>
      </c>
      <c r="D133" s="2" t="s">
        <v>2009</v>
      </c>
      <c r="E133" s="2" t="s">
        <v>2083</v>
      </c>
      <c r="F133" s="4">
        <v>4480.79</v>
      </c>
      <c r="G133" s="5">
        <v>137.77000000000001</v>
      </c>
      <c r="H133" s="6">
        <v>10</v>
      </c>
      <c r="I133" s="2" t="s">
        <v>2117</v>
      </c>
    </row>
    <row r="134" spans="2:9" x14ac:dyDescent="0.3">
      <c r="B134" s="2" t="s">
        <v>140</v>
      </c>
      <c r="C134" s="3">
        <v>44913</v>
      </c>
      <c r="D134" s="2" t="s">
        <v>2012</v>
      </c>
      <c r="E134" s="2" t="s">
        <v>2087</v>
      </c>
      <c r="F134" s="4">
        <v>1203.18</v>
      </c>
      <c r="G134" s="5">
        <v>365.08</v>
      </c>
      <c r="H134" s="6">
        <v>18</v>
      </c>
      <c r="I134" s="2" t="s">
        <v>2117</v>
      </c>
    </row>
    <row r="135" spans="2:9" x14ac:dyDescent="0.3">
      <c r="B135" s="2" t="s">
        <v>141</v>
      </c>
      <c r="C135" s="3">
        <v>44106</v>
      </c>
      <c r="D135" s="2" t="s">
        <v>2012</v>
      </c>
      <c r="E135" s="2" t="s">
        <v>2072</v>
      </c>
      <c r="F135" s="4">
        <v>4075.22</v>
      </c>
      <c r="G135" s="5">
        <v>840.06</v>
      </c>
      <c r="H135" s="6">
        <v>1</v>
      </c>
      <c r="I135" s="2" t="s">
        <v>2117</v>
      </c>
    </row>
    <row r="136" spans="2:9" x14ac:dyDescent="0.3">
      <c r="B136" s="2" t="s">
        <v>142</v>
      </c>
      <c r="C136" s="3">
        <v>43883</v>
      </c>
      <c r="D136" s="2" t="s">
        <v>2011</v>
      </c>
      <c r="E136" s="2" t="s">
        <v>2038</v>
      </c>
      <c r="F136" s="4">
        <v>2468.8000000000002</v>
      </c>
      <c r="G136" s="5">
        <v>427.74</v>
      </c>
      <c r="H136" s="6">
        <v>1</v>
      </c>
      <c r="I136" s="2" t="s">
        <v>2116</v>
      </c>
    </row>
    <row r="137" spans="2:9" x14ac:dyDescent="0.3">
      <c r="B137" s="2" t="s">
        <v>143</v>
      </c>
      <c r="C137" s="3">
        <v>44338</v>
      </c>
      <c r="D137" s="2" t="s">
        <v>2012</v>
      </c>
      <c r="E137" s="2" t="s">
        <v>2049</v>
      </c>
      <c r="F137" s="4">
        <v>3101.77</v>
      </c>
      <c r="G137" s="5">
        <v>948.71</v>
      </c>
      <c r="H137" s="6">
        <v>4</v>
      </c>
      <c r="I137" s="2" t="s">
        <v>2116</v>
      </c>
    </row>
    <row r="138" spans="2:9" x14ac:dyDescent="0.3">
      <c r="B138" s="2" t="s">
        <v>144</v>
      </c>
      <c r="C138" s="3">
        <v>44565</v>
      </c>
      <c r="D138" s="2" t="s">
        <v>2009</v>
      </c>
      <c r="E138" s="2" t="s">
        <v>2023</v>
      </c>
      <c r="F138" s="4">
        <v>812.1</v>
      </c>
      <c r="G138" s="5">
        <v>331.59</v>
      </c>
      <c r="H138" s="6">
        <v>15</v>
      </c>
      <c r="I138" s="2" t="s">
        <v>2116</v>
      </c>
    </row>
    <row r="139" spans="2:9" x14ac:dyDescent="0.3">
      <c r="B139" s="2" t="s">
        <v>145</v>
      </c>
      <c r="C139" s="3">
        <v>44503</v>
      </c>
      <c r="D139" s="2" t="s">
        <v>2009</v>
      </c>
      <c r="E139" s="2" t="s">
        <v>2021</v>
      </c>
      <c r="F139" s="4">
        <v>208.41</v>
      </c>
      <c r="G139" s="5">
        <v>76.42</v>
      </c>
      <c r="H139" s="6">
        <v>17</v>
      </c>
      <c r="I139" s="2" t="s">
        <v>2118</v>
      </c>
    </row>
    <row r="140" spans="2:9" x14ac:dyDescent="0.3">
      <c r="B140" s="2" t="s">
        <v>146</v>
      </c>
      <c r="C140" s="3">
        <v>45537</v>
      </c>
      <c r="D140" s="2" t="s">
        <v>2012</v>
      </c>
      <c r="E140" s="2" t="s">
        <v>2017</v>
      </c>
      <c r="F140" s="4">
        <v>601.79</v>
      </c>
      <c r="G140" s="5">
        <v>203.76</v>
      </c>
      <c r="H140" s="6">
        <v>6</v>
      </c>
      <c r="I140" s="2" t="s">
        <v>2116</v>
      </c>
    </row>
    <row r="141" spans="2:9" x14ac:dyDescent="0.3">
      <c r="B141" s="2" t="s">
        <v>147</v>
      </c>
      <c r="C141" s="3">
        <v>45242</v>
      </c>
      <c r="D141" s="2" t="s">
        <v>2010</v>
      </c>
      <c r="E141" s="2" t="s">
        <v>2048</v>
      </c>
      <c r="F141" s="4">
        <v>1113.25</v>
      </c>
      <c r="G141" s="5">
        <v>659.07</v>
      </c>
      <c r="H141" s="6">
        <v>4</v>
      </c>
      <c r="I141" s="2" t="s">
        <v>2117</v>
      </c>
    </row>
    <row r="142" spans="2:9" x14ac:dyDescent="0.3">
      <c r="B142" s="2" t="s">
        <v>148</v>
      </c>
      <c r="C142" s="3">
        <v>45199</v>
      </c>
      <c r="D142" s="2" t="s">
        <v>2010</v>
      </c>
      <c r="E142" s="2" t="s">
        <v>2079</v>
      </c>
      <c r="F142" s="4">
        <v>4648.99</v>
      </c>
      <c r="G142" s="5">
        <v>209.64</v>
      </c>
      <c r="H142" s="6">
        <v>13</v>
      </c>
      <c r="I142" s="2" t="s">
        <v>2117</v>
      </c>
    </row>
    <row r="143" spans="2:9" x14ac:dyDescent="0.3">
      <c r="B143" s="2" t="s">
        <v>149</v>
      </c>
      <c r="C143" s="3">
        <v>45151</v>
      </c>
      <c r="D143" s="2" t="s">
        <v>2011</v>
      </c>
      <c r="E143" s="2" t="s">
        <v>2088</v>
      </c>
      <c r="F143" s="4">
        <v>428.54</v>
      </c>
      <c r="G143" s="5">
        <v>844.3</v>
      </c>
      <c r="H143" s="6">
        <v>3</v>
      </c>
      <c r="I143" s="2" t="s">
        <v>2116</v>
      </c>
    </row>
    <row r="144" spans="2:9" x14ac:dyDescent="0.3">
      <c r="B144" s="2" t="s">
        <v>150</v>
      </c>
      <c r="C144" s="3">
        <v>45325</v>
      </c>
      <c r="D144" s="2" t="s">
        <v>2011</v>
      </c>
      <c r="E144" s="2" t="s">
        <v>2089</v>
      </c>
      <c r="F144" s="4">
        <v>2541.0100000000002</v>
      </c>
      <c r="G144" s="5">
        <v>608.61</v>
      </c>
      <c r="H144" s="6">
        <v>10</v>
      </c>
      <c r="I144" s="2" t="s">
        <v>2117</v>
      </c>
    </row>
    <row r="145" spans="2:9" x14ac:dyDescent="0.3">
      <c r="B145" s="2" t="s">
        <v>151</v>
      </c>
      <c r="C145" s="3">
        <v>45435</v>
      </c>
      <c r="D145" s="2" t="s">
        <v>2011</v>
      </c>
      <c r="E145" s="2" t="s">
        <v>2090</v>
      </c>
      <c r="F145" s="4">
        <v>595.72</v>
      </c>
      <c r="G145" s="5">
        <v>380.99</v>
      </c>
      <c r="H145" s="6">
        <v>3</v>
      </c>
      <c r="I145" s="2" t="s">
        <v>2116</v>
      </c>
    </row>
    <row r="146" spans="2:9" x14ac:dyDescent="0.3">
      <c r="B146" s="2" t="s">
        <v>152</v>
      </c>
      <c r="C146" s="3">
        <v>44185</v>
      </c>
      <c r="D146" s="2" t="s">
        <v>2010</v>
      </c>
      <c r="E146" s="2" t="s">
        <v>2091</v>
      </c>
      <c r="F146" s="4">
        <v>77.16</v>
      </c>
      <c r="G146" s="5">
        <v>542.99</v>
      </c>
      <c r="H146" s="6">
        <v>12</v>
      </c>
      <c r="I146" s="2" t="s">
        <v>2118</v>
      </c>
    </row>
    <row r="147" spans="2:9" x14ac:dyDescent="0.3">
      <c r="B147" s="2" t="s">
        <v>153</v>
      </c>
      <c r="C147" s="3">
        <v>44660</v>
      </c>
      <c r="D147" s="2" t="s">
        <v>2009</v>
      </c>
      <c r="E147" s="2" t="s">
        <v>2064</v>
      </c>
      <c r="F147" s="4">
        <v>597.87</v>
      </c>
      <c r="G147" s="5">
        <v>928.2</v>
      </c>
      <c r="H147" s="6">
        <v>16</v>
      </c>
      <c r="I147" s="2" t="s">
        <v>2117</v>
      </c>
    </row>
    <row r="148" spans="2:9" x14ac:dyDescent="0.3">
      <c r="B148" s="2" t="s">
        <v>154</v>
      </c>
      <c r="C148" s="3">
        <v>44046</v>
      </c>
      <c r="D148" s="2" t="s">
        <v>2010</v>
      </c>
      <c r="E148" s="2" t="s">
        <v>2092</v>
      </c>
      <c r="F148" s="4">
        <v>4374.3500000000004</v>
      </c>
      <c r="G148" s="5">
        <v>420.7</v>
      </c>
      <c r="H148" s="6">
        <v>12</v>
      </c>
      <c r="I148" s="2" t="s">
        <v>2116</v>
      </c>
    </row>
    <row r="149" spans="2:9" x14ac:dyDescent="0.3">
      <c r="B149" s="2" t="s">
        <v>155</v>
      </c>
      <c r="C149" s="3">
        <v>45382</v>
      </c>
      <c r="D149" s="2" t="s">
        <v>2010</v>
      </c>
      <c r="E149" s="2" t="s">
        <v>2093</v>
      </c>
      <c r="F149" s="4">
        <v>677.19</v>
      </c>
      <c r="G149" s="5">
        <v>494.93</v>
      </c>
      <c r="H149" s="6">
        <v>19</v>
      </c>
      <c r="I149" s="2" t="s">
        <v>2116</v>
      </c>
    </row>
    <row r="150" spans="2:9" x14ac:dyDescent="0.3">
      <c r="B150" s="2" t="s">
        <v>156</v>
      </c>
      <c r="C150" s="3">
        <v>44304</v>
      </c>
      <c r="D150" s="2" t="s">
        <v>2009</v>
      </c>
      <c r="E150" s="2" t="s">
        <v>2074</v>
      </c>
      <c r="F150" s="4">
        <v>3472.91</v>
      </c>
      <c r="G150" s="5">
        <v>991.68</v>
      </c>
      <c r="H150" s="6">
        <v>9</v>
      </c>
      <c r="I150" s="2" t="s">
        <v>2117</v>
      </c>
    </row>
    <row r="151" spans="2:9" x14ac:dyDescent="0.3">
      <c r="B151" s="2" t="s">
        <v>157</v>
      </c>
      <c r="C151" s="3">
        <v>45062</v>
      </c>
      <c r="D151" s="2" t="s">
        <v>2010</v>
      </c>
      <c r="E151" s="2" t="s">
        <v>2087</v>
      </c>
      <c r="F151" s="4">
        <v>3484.07</v>
      </c>
      <c r="G151" s="5">
        <v>177.94</v>
      </c>
      <c r="H151" s="6">
        <v>5</v>
      </c>
      <c r="I151" s="2" t="s">
        <v>2116</v>
      </c>
    </row>
    <row r="152" spans="2:9" x14ac:dyDescent="0.3">
      <c r="B152" s="2" t="s">
        <v>158</v>
      </c>
      <c r="C152" s="3">
        <v>45279</v>
      </c>
      <c r="D152" s="2" t="s">
        <v>2011</v>
      </c>
      <c r="E152" s="2" t="s">
        <v>2094</v>
      </c>
      <c r="F152" s="4">
        <v>2569.12</v>
      </c>
      <c r="G152" s="5">
        <v>125.16</v>
      </c>
      <c r="H152" s="6">
        <v>19</v>
      </c>
      <c r="I152" s="2" t="s">
        <v>2116</v>
      </c>
    </row>
    <row r="153" spans="2:9" x14ac:dyDescent="0.3">
      <c r="B153" s="2" t="s">
        <v>159</v>
      </c>
      <c r="C153" s="3">
        <v>44517</v>
      </c>
      <c r="D153" s="2" t="s">
        <v>2010</v>
      </c>
      <c r="E153" s="2" t="s">
        <v>2095</v>
      </c>
      <c r="F153" s="4">
        <v>2303.34</v>
      </c>
      <c r="G153" s="5">
        <v>883.93</v>
      </c>
      <c r="H153" s="6">
        <v>2</v>
      </c>
      <c r="I153" s="2" t="s">
        <v>2117</v>
      </c>
    </row>
    <row r="154" spans="2:9" x14ac:dyDescent="0.3">
      <c r="B154" s="2" t="s">
        <v>160</v>
      </c>
      <c r="C154" s="3">
        <v>44767</v>
      </c>
      <c r="D154" s="2" t="s">
        <v>2011</v>
      </c>
      <c r="E154" s="2" t="s">
        <v>2096</v>
      </c>
      <c r="F154" s="4">
        <v>2817.1</v>
      </c>
      <c r="G154" s="5">
        <v>518.97</v>
      </c>
      <c r="H154" s="6">
        <v>17</v>
      </c>
      <c r="I154" s="2" t="s">
        <v>2117</v>
      </c>
    </row>
    <row r="155" spans="2:9" x14ac:dyDescent="0.3">
      <c r="B155" s="2" t="s">
        <v>161</v>
      </c>
      <c r="C155" s="3">
        <v>45072</v>
      </c>
      <c r="D155" s="2" t="s">
        <v>2012</v>
      </c>
      <c r="E155" s="2" t="s">
        <v>2069</v>
      </c>
      <c r="F155" s="4">
        <v>4931.68</v>
      </c>
      <c r="G155" s="5">
        <v>915.91</v>
      </c>
      <c r="H155" s="6">
        <v>5</v>
      </c>
      <c r="I155" s="2" t="s">
        <v>2118</v>
      </c>
    </row>
    <row r="156" spans="2:9" x14ac:dyDescent="0.3">
      <c r="B156" s="2" t="s">
        <v>162</v>
      </c>
      <c r="C156" s="3">
        <v>44499</v>
      </c>
      <c r="D156" s="2" t="s">
        <v>2010</v>
      </c>
      <c r="E156" s="2" t="s">
        <v>2097</v>
      </c>
      <c r="F156" s="4">
        <v>672.65</v>
      </c>
      <c r="G156" s="5">
        <v>456.45</v>
      </c>
      <c r="H156" s="6">
        <v>14</v>
      </c>
      <c r="I156" s="2" t="s">
        <v>2117</v>
      </c>
    </row>
    <row r="157" spans="2:9" x14ac:dyDescent="0.3">
      <c r="B157" s="2" t="s">
        <v>163</v>
      </c>
      <c r="C157" s="3">
        <v>44811</v>
      </c>
      <c r="D157" s="2" t="s">
        <v>2011</v>
      </c>
      <c r="E157" s="2" t="s">
        <v>2098</v>
      </c>
      <c r="F157" s="4">
        <v>4118.74</v>
      </c>
      <c r="G157" s="5">
        <v>624.41999999999996</v>
      </c>
      <c r="H157" s="6">
        <v>1</v>
      </c>
      <c r="I157" s="2" t="s">
        <v>2118</v>
      </c>
    </row>
    <row r="158" spans="2:9" x14ac:dyDescent="0.3">
      <c r="B158" s="2" t="s">
        <v>164</v>
      </c>
      <c r="C158" s="3">
        <v>45506</v>
      </c>
      <c r="D158" s="2" t="s">
        <v>2009</v>
      </c>
      <c r="E158" s="2" t="s">
        <v>2099</v>
      </c>
      <c r="F158" s="4">
        <v>1284.75</v>
      </c>
      <c r="G158" s="5">
        <v>628.16</v>
      </c>
      <c r="H158" s="6">
        <v>9</v>
      </c>
      <c r="I158" s="2" t="s">
        <v>2117</v>
      </c>
    </row>
    <row r="159" spans="2:9" x14ac:dyDescent="0.3">
      <c r="B159" s="2" t="s">
        <v>165</v>
      </c>
      <c r="C159" s="3">
        <v>44167</v>
      </c>
      <c r="D159" s="2" t="s">
        <v>2010</v>
      </c>
      <c r="E159" s="2" t="s">
        <v>2024</v>
      </c>
      <c r="F159" s="4">
        <v>3289.46</v>
      </c>
      <c r="G159" s="5">
        <v>615.78</v>
      </c>
      <c r="H159" s="6">
        <v>20</v>
      </c>
      <c r="I159" s="2" t="s">
        <v>2118</v>
      </c>
    </row>
    <row r="160" spans="2:9" x14ac:dyDescent="0.3">
      <c r="B160" s="2" t="s">
        <v>166</v>
      </c>
      <c r="C160" s="3">
        <v>44608</v>
      </c>
      <c r="D160" s="2" t="s">
        <v>2011</v>
      </c>
      <c r="E160" s="2" t="s">
        <v>2079</v>
      </c>
      <c r="F160" s="4">
        <v>1625.58</v>
      </c>
      <c r="G160" s="5">
        <v>956.16</v>
      </c>
      <c r="H160" s="6">
        <v>8</v>
      </c>
      <c r="I160" s="2" t="s">
        <v>2117</v>
      </c>
    </row>
    <row r="161" spans="2:9" x14ac:dyDescent="0.3">
      <c r="B161" s="2" t="s">
        <v>167</v>
      </c>
      <c r="C161" s="3">
        <v>44539</v>
      </c>
      <c r="D161" s="2" t="s">
        <v>2011</v>
      </c>
      <c r="E161" s="2" t="s">
        <v>2100</v>
      </c>
      <c r="F161" s="4">
        <v>1161.1300000000001</v>
      </c>
      <c r="G161" s="5">
        <v>764.92</v>
      </c>
      <c r="H161" s="6">
        <v>17</v>
      </c>
      <c r="I161" s="2" t="s">
        <v>2118</v>
      </c>
    </row>
    <row r="162" spans="2:9" x14ac:dyDescent="0.3">
      <c r="B162" s="2" t="s">
        <v>168</v>
      </c>
      <c r="C162" s="3">
        <v>44468</v>
      </c>
      <c r="D162" s="2" t="s">
        <v>2012</v>
      </c>
      <c r="E162" s="2" t="s">
        <v>2101</v>
      </c>
      <c r="F162" s="4">
        <v>2223.36</v>
      </c>
      <c r="G162" s="5">
        <v>731.25</v>
      </c>
      <c r="H162" s="6">
        <v>11</v>
      </c>
      <c r="I162" s="2" t="s">
        <v>2117</v>
      </c>
    </row>
    <row r="163" spans="2:9" x14ac:dyDescent="0.3">
      <c r="B163" s="2" t="s">
        <v>169</v>
      </c>
      <c r="C163" s="3">
        <v>44278</v>
      </c>
      <c r="D163" s="2" t="s">
        <v>2010</v>
      </c>
      <c r="E163" s="2" t="s">
        <v>2092</v>
      </c>
      <c r="F163" s="4">
        <v>2688.84</v>
      </c>
      <c r="G163" s="5">
        <v>615.79</v>
      </c>
      <c r="H163" s="6">
        <v>12</v>
      </c>
      <c r="I163" s="2" t="s">
        <v>2117</v>
      </c>
    </row>
    <row r="164" spans="2:9" x14ac:dyDescent="0.3">
      <c r="B164" s="2" t="s">
        <v>170</v>
      </c>
      <c r="C164" s="3">
        <v>45063</v>
      </c>
      <c r="D164" s="2" t="s">
        <v>2012</v>
      </c>
      <c r="E164" s="2" t="s">
        <v>2088</v>
      </c>
      <c r="F164" s="4">
        <v>4700.6499999999996</v>
      </c>
      <c r="G164" s="5">
        <v>706.17</v>
      </c>
      <c r="H164" s="6">
        <v>15</v>
      </c>
      <c r="I164" s="2" t="s">
        <v>2118</v>
      </c>
    </row>
    <row r="165" spans="2:9" x14ac:dyDescent="0.3">
      <c r="B165" s="2" t="s">
        <v>171</v>
      </c>
      <c r="C165" s="3">
        <v>44621</v>
      </c>
      <c r="D165" s="2" t="s">
        <v>2010</v>
      </c>
      <c r="E165" s="2" t="s">
        <v>2022</v>
      </c>
      <c r="F165" s="4">
        <v>3126.49</v>
      </c>
      <c r="G165" s="5">
        <v>972.35</v>
      </c>
      <c r="H165" s="6">
        <v>16</v>
      </c>
      <c r="I165" s="2" t="s">
        <v>2117</v>
      </c>
    </row>
    <row r="166" spans="2:9" x14ac:dyDescent="0.3">
      <c r="B166" s="2" t="s">
        <v>172</v>
      </c>
      <c r="C166" s="3">
        <v>45265</v>
      </c>
      <c r="D166" s="2" t="s">
        <v>2012</v>
      </c>
      <c r="E166" s="2" t="s">
        <v>2030</v>
      </c>
      <c r="F166" s="4">
        <v>228.14</v>
      </c>
      <c r="G166" s="5">
        <v>942.02</v>
      </c>
      <c r="H166" s="6">
        <v>6</v>
      </c>
      <c r="I166" s="2" t="s">
        <v>2116</v>
      </c>
    </row>
    <row r="167" spans="2:9" x14ac:dyDescent="0.3">
      <c r="B167" s="2" t="s">
        <v>173</v>
      </c>
      <c r="C167" s="3">
        <v>45539</v>
      </c>
      <c r="D167" s="2" t="s">
        <v>2012</v>
      </c>
      <c r="E167" s="2" t="s">
        <v>2080</v>
      </c>
      <c r="F167" s="4">
        <v>3685.18</v>
      </c>
      <c r="G167" s="5">
        <v>343</v>
      </c>
      <c r="H167" s="6">
        <v>20</v>
      </c>
      <c r="I167" s="2" t="s">
        <v>2116</v>
      </c>
    </row>
    <row r="168" spans="2:9" x14ac:dyDescent="0.3">
      <c r="B168" s="2" t="s">
        <v>174</v>
      </c>
      <c r="C168" s="3">
        <v>45083</v>
      </c>
      <c r="D168" s="2" t="s">
        <v>2011</v>
      </c>
      <c r="E168" s="2" t="s">
        <v>2026</v>
      </c>
      <c r="F168" s="4">
        <v>3120.96</v>
      </c>
      <c r="G168" s="5">
        <v>848.72</v>
      </c>
      <c r="H168" s="6">
        <v>5</v>
      </c>
      <c r="I168" s="2" t="s">
        <v>2116</v>
      </c>
    </row>
    <row r="169" spans="2:9" x14ac:dyDescent="0.3">
      <c r="B169" s="2" t="s">
        <v>175</v>
      </c>
      <c r="C169" s="3">
        <v>44012</v>
      </c>
      <c r="D169" s="2" t="s">
        <v>2011</v>
      </c>
      <c r="E169" s="2" t="s">
        <v>2027</v>
      </c>
      <c r="F169" s="4">
        <v>4220.93</v>
      </c>
      <c r="G169" s="5">
        <v>165.78</v>
      </c>
      <c r="H169" s="6">
        <v>18</v>
      </c>
      <c r="I169" s="2" t="s">
        <v>2117</v>
      </c>
    </row>
    <row r="170" spans="2:9" x14ac:dyDescent="0.3">
      <c r="B170" s="2" t="s">
        <v>176</v>
      </c>
      <c r="C170" s="3">
        <v>45366</v>
      </c>
      <c r="D170" s="2" t="s">
        <v>2010</v>
      </c>
      <c r="E170" s="2" t="s">
        <v>2093</v>
      </c>
      <c r="F170" s="4">
        <v>3206.76</v>
      </c>
      <c r="G170" s="5">
        <v>254.78</v>
      </c>
      <c r="H170" s="6">
        <v>2</v>
      </c>
      <c r="I170" s="2" t="s">
        <v>2117</v>
      </c>
    </row>
    <row r="171" spans="2:9" x14ac:dyDescent="0.3">
      <c r="B171" s="2" t="s">
        <v>177</v>
      </c>
      <c r="C171" s="3">
        <v>43950</v>
      </c>
      <c r="D171" s="2" t="s">
        <v>2012</v>
      </c>
      <c r="E171" s="2" t="s">
        <v>2079</v>
      </c>
      <c r="F171" s="4">
        <v>2652.73</v>
      </c>
      <c r="G171" s="5">
        <v>587.5</v>
      </c>
      <c r="H171" s="6">
        <v>6</v>
      </c>
      <c r="I171" s="2" t="s">
        <v>2117</v>
      </c>
    </row>
    <row r="172" spans="2:9" x14ac:dyDescent="0.3">
      <c r="B172" s="2" t="s">
        <v>178</v>
      </c>
      <c r="C172" s="3">
        <v>44596</v>
      </c>
      <c r="D172" s="2" t="s">
        <v>2012</v>
      </c>
      <c r="E172" s="2" t="s">
        <v>2094</v>
      </c>
      <c r="F172" s="4">
        <v>437.36</v>
      </c>
      <c r="G172" s="5">
        <v>853.06</v>
      </c>
      <c r="H172" s="6">
        <v>8</v>
      </c>
      <c r="I172" s="2" t="s">
        <v>2118</v>
      </c>
    </row>
    <row r="173" spans="2:9" x14ac:dyDescent="0.3">
      <c r="B173" s="2" t="s">
        <v>179</v>
      </c>
      <c r="C173" s="3">
        <v>44505</v>
      </c>
      <c r="D173" s="2" t="s">
        <v>2012</v>
      </c>
      <c r="E173" s="2" t="s">
        <v>2068</v>
      </c>
      <c r="F173" s="4">
        <v>3676</v>
      </c>
      <c r="G173" s="5">
        <v>655.83</v>
      </c>
      <c r="H173" s="6">
        <v>12</v>
      </c>
      <c r="I173" s="2" t="s">
        <v>2117</v>
      </c>
    </row>
    <row r="174" spans="2:9" x14ac:dyDescent="0.3">
      <c r="B174" s="2" t="s">
        <v>180</v>
      </c>
      <c r="C174" s="3">
        <v>44878</v>
      </c>
      <c r="D174" s="2" t="s">
        <v>2009</v>
      </c>
      <c r="E174" s="2" t="s">
        <v>2092</v>
      </c>
      <c r="F174" s="4">
        <v>1784.7</v>
      </c>
      <c r="G174" s="5">
        <v>921.65</v>
      </c>
      <c r="H174" s="6">
        <v>14</v>
      </c>
      <c r="I174" s="2" t="s">
        <v>2117</v>
      </c>
    </row>
    <row r="175" spans="2:9" x14ac:dyDescent="0.3">
      <c r="B175" s="2" t="s">
        <v>181</v>
      </c>
      <c r="C175" s="3">
        <v>45533</v>
      </c>
      <c r="D175" s="2" t="s">
        <v>2010</v>
      </c>
      <c r="E175" s="2" t="s">
        <v>2020</v>
      </c>
      <c r="F175" s="4">
        <v>1005.16</v>
      </c>
      <c r="G175" s="5">
        <v>456.81</v>
      </c>
      <c r="H175" s="6">
        <v>11</v>
      </c>
      <c r="I175" s="2" t="s">
        <v>2117</v>
      </c>
    </row>
    <row r="176" spans="2:9" x14ac:dyDescent="0.3">
      <c r="B176" s="2" t="s">
        <v>182</v>
      </c>
      <c r="C176" s="3">
        <v>44743</v>
      </c>
      <c r="D176" s="2" t="s">
        <v>2009</v>
      </c>
      <c r="E176" s="2" t="s">
        <v>2037</v>
      </c>
      <c r="F176" s="4">
        <v>2804.49</v>
      </c>
      <c r="G176" s="5">
        <v>639.09</v>
      </c>
      <c r="H176" s="6">
        <v>13</v>
      </c>
      <c r="I176" s="2" t="s">
        <v>2118</v>
      </c>
    </row>
    <row r="177" spans="2:9" x14ac:dyDescent="0.3">
      <c r="B177" s="2" t="s">
        <v>183</v>
      </c>
      <c r="C177" s="3">
        <v>44341</v>
      </c>
      <c r="D177" s="2" t="s">
        <v>2009</v>
      </c>
      <c r="E177" s="2" t="s">
        <v>2057</v>
      </c>
      <c r="F177" s="4">
        <v>4878.17</v>
      </c>
      <c r="G177" s="5">
        <v>114.47</v>
      </c>
      <c r="H177" s="6">
        <v>9</v>
      </c>
      <c r="I177" s="2" t="s">
        <v>2117</v>
      </c>
    </row>
    <row r="178" spans="2:9" x14ac:dyDescent="0.3">
      <c r="B178" s="2" t="s">
        <v>184</v>
      </c>
      <c r="C178" s="3">
        <v>45355</v>
      </c>
      <c r="D178" s="2" t="s">
        <v>2009</v>
      </c>
      <c r="E178" s="2" t="s">
        <v>2015</v>
      </c>
      <c r="F178" s="4">
        <v>4851.63</v>
      </c>
      <c r="G178" s="5">
        <v>626.78</v>
      </c>
      <c r="H178" s="6">
        <v>20</v>
      </c>
      <c r="I178" s="2" t="s">
        <v>2117</v>
      </c>
    </row>
    <row r="179" spans="2:9" x14ac:dyDescent="0.3">
      <c r="B179" s="2" t="s">
        <v>185</v>
      </c>
      <c r="C179" s="3">
        <v>44397</v>
      </c>
      <c r="D179" s="2" t="s">
        <v>2012</v>
      </c>
      <c r="E179" s="2" t="s">
        <v>2036</v>
      </c>
      <c r="F179" s="4">
        <v>3491.38</v>
      </c>
      <c r="G179" s="5">
        <v>823.11</v>
      </c>
      <c r="H179" s="6">
        <v>17</v>
      </c>
      <c r="I179" s="2" t="s">
        <v>2118</v>
      </c>
    </row>
    <row r="180" spans="2:9" x14ac:dyDescent="0.3">
      <c r="B180" s="2" t="s">
        <v>186</v>
      </c>
      <c r="C180" s="3">
        <v>44701</v>
      </c>
      <c r="D180" s="2" t="s">
        <v>2011</v>
      </c>
      <c r="E180" s="2" t="s">
        <v>2102</v>
      </c>
      <c r="F180" s="4">
        <v>1584.51</v>
      </c>
      <c r="G180" s="5">
        <v>628.84</v>
      </c>
      <c r="H180" s="6">
        <v>5</v>
      </c>
      <c r="I180" s="2" t="s">
        <v>2116</v>
      </c>
    </row>
    <row r="181" spans="2:9" x14ac:dyDescent="0.3">
      <c r="B181" s="2" t="s">
        <v>187</v>
      </c>
      <c r="C181" s="3">
        <v>44536</v>
      </c>
      <c r="D181" s="2" t="s">
        <v>2011</v>
      </c>
      <c r="E181" s="2" t="s">
        <v>2070</v>
      </c>
      <c r="F181" s="4">
        <v>3878.18</v>
      </c>
      <c r="G181" s="5">
        <v>610.32000000000005</v>
      </c>
      <c r="H181" s="6">
        <v>2</v>
      </c>
      <c r="I181" s="2" t="s">
        <v>2118</v>
      </c>
    </row>
    <row r="182" spans="2:9" x14ac:dyDescent="0.3">
      <c r="B182" s="2" t="s">
        <v>188</v>
      </c>
      <c r="C182" s="3">
        <v>45561</v>
      </c>
      <c r="D182" s="2" t="s">
        <v>2011</v>
      </c>
      <c r="E182" s="2" t="s">
        <v>2103</v>
      </c>
      <c r="F182" s="4">
        <v>4544.66</v>
      </c>
      <c r="G182" s="5">
        <v>340.69</v>
      </c>
      <c r="H182" s="6">
        <v>6</v>
      </c>
      <c r="I182" s="2" t="s">
        <v>2116</v>
      </c>
    </row>
    <row r="183" spans="2:9" x14ac:dyDescent="0.3">
      <c r="B183" s="2" t="s">
        <v>189</v>
      </c>
      <c r="C183" s="3">
        <v>45550</v>
      </c>
      <c r="D183" s="2" t="s">
        <v>2009</v>
      </c>
      <c r="E183" s="2" t="s">
        <v>2095</v>
      </c>
      <c r="F183" s="4">
        <v>1458.71</v>
      </c>
      <c r="G183" s="5">
        <v>563.96</v>
      </c>
      <c r="H183" s="6">
        <v>5</v>
      </c>
      <c r="I183" s="2" t="s">
        <v>2116</v>
      </c>
    </row>
    <row r="184" spans="2:9" x14ac:dyDescent="0.3">
      <c r="B184" s="2" t="s">
        <v>190</v>
      </c>
      <c r="C184" s="3">
        <v>44825</v>
      </c>
      <c r="D184" s="2" t="s">
        <v>2012</v>
      </c>
      <c r="E184" s="2" t="s">
        <v>2084</v>
      </c>
      <c r="F184" s="4">
        <v>4868.8100000000004</v>
      </c>
      <c r="G184" s="5">
        <v>758.59</v>
      </c>
      <c r="H184" s="6">
        <v>19</v>
      </c>
      <c r="I184" s="2" t="s">
        <v>2117</v>
      </c>
    </row>
    <row r="185" spans="2:9" x14ac:dyDescent="0.3">
      <c r="B185" s="2" t="s">
        <v>191</v>
      </c>
      <c r="C185" s="3">
        <v>44120</v>
      </c>
      <c r="D185" s="2" t="s">
        <v>2011</v>
      </c>
      <c r="E185" s="2" t="s">
        <v>2024</v>
      </c>
      <c r="F185" s="4">
        <v>2317.48</v>
      </c>
      <c r="G185" s="5">
        <v>171.48</v>
      </c>
      <c r="H185" s="6">
        <v>17</v>
      </c>
      <c r="I185" s="2" t="s">
        <v>2117</v>
      </c>
    </row>
    <row r="186" spans="2:9" x14ac:dyDescent="0.3">
      <c r="B186" s="2" t="s">
        <v>192</v>
      </c>
      <c r="C186" s="3">
        <v>45527</v>
      </c>
      <c r="D186" s="2" t="s">
        <v>2011</v>
      </c>
      <c r="E186" s="2" t="s">
        <v>2076</v>
      </c>
      <c r="F186" s="4">
        <v>1471.68</v>
      </c>
      <c r="G186" s="5">
        <v>565.17999999999995</v>
      </c>
      <c r="H186" s="6">
        <v>2</v>
      </c>
      <c r="I186" s="2" t="s">
        <v>2116</v>
      </c>
    </row>
    <row r="187" spans="2:9" x14ac:dyDescent="0.3">
      <c r="B187" s="2" t="s">
        <v>193</v>
      </c>
      <c r="C187" s="3">
        <v>45117</v>
      </c>
      <c r="D187" s="2" t="s">
        <v>2012</v>
      </c>
      <c r="E187" s="2" t="s">
        <v>2058</v>
      </c>
      <c r="F187" s="4">
        <v>89.71</v>
      </c>
      <c r="G187" s="5">
        <v>392.31</v>
      </c>
      <c r="H187" s="6">
        <v>14</v>
      </c>
      <c r="I187" s="2" t="s">
        <v>2116</v>
      </c>
    </row>
    <row r="188" spans="2:9" x14ac:dyDescent="0.3">
      <c r="B188" s="2" t="s">
        <v>194</v>
      </c>
      <c r="C188" s="3">
        <v>45100</v>
      </c>
      <c r="D188" s="2" t="s">
        <v>2012</v>
      </c>
      <c r="E188" s="2" t="s">
        <v>2032</v>
      </c>
      <c r="F188" s="4">
        <v>1556.46</v>
      </c>
      <c r="G188" s="5">
        <v>691.61</v>
      </c>
      <c r="H188" s="6">
        <v>14</v>
      </c>
      <c r="I188" s="2" t="s">
        <v>2117</v>
      </c>
    </row>
    <row r="189" spans="2:9" x14ac:dyDescent="0.3">
      <c r="B189" s="2" t="s">
        <v>195</v>
      </c>
      <c r="C189" s="3">
        <v>45049</v>
      </c>
      <c r="D189" s="2" t="s">
        <v>2009</v>
      </c>
      <c r="E189" s="2" t="s">
        <v>2013</v>
      </c>
      <c r="F189" s="4">
        <v>4261.3500000000004</v>
      </c>
      <c r="G189" s="5">
        <v>829.06</v>
      </c>
      <c r="H189" s="6">
        <v>15</v>
      </c>
      <c r="I189" s="2" t="s">
        <v>2116</v>
      </c>
    </row>
    <row r="190" spans="2:9" x14ac:dyDescent="0.3">
      <c r="B190" s="2" t="s">
        <v>196</v>
      </c>
      <c r="C190" s="3">
        <v>44876</v>
      </c>
      <c r="D190" s="2" t="s">
        <v>2009</v>
      </c>
      <c r="E190" s="2" t="s">
        <v>2022</v>
      </c>
      <c r="F190" s="4">
        <v>1119.4000000000001</v>
      </c>
      <c r="G190" s="5">
        <v>126.24</v>
      </c>
      <c r="H190" s="6">
        <v>6</v>
      </c>
      <c r="I190" s="2" t="s">
        <v>2117</v>
      </c>
    </row>
    <row r="191" spans="2:9" x14ac:dyDescent="0.3">
      <c r="B191" s="2" t="s">
        <v>197</v>
      </c>
      <c r="C191" s="3">
        <v>44795</v>
      </c>
      <c r="D191" s="2" t="s">
        <v>2010</v>
      </c>
      <c r="E191" s="2" t="s">
        <v>2040</v>
      </c>
      <c r="F191" s="4">
        <v>4606.8</v>
      </c>
      <c r="G191" s="5">
        <v>868.72</v>
      </c>
      <c r="H191" s="6">
        <v>16</v>
      </c>
      <c r="I191" s="2" t="s">
        <v>2118</v>
      </c>
    </row>
    <row r="192" spans="2:9" x14ac:dyDescent="0.3">
      <c r="B192" s="2" t="s">
        <v>198</v>
      </c>
      <c r="C192" s="3">
        <v>44610</v>
      </c>
      <c r="D192" s="2" t="s">
        <v>2011</v>
      </c>
      <c r="E192" s="2" t="s">
        <v>2080</v>
      </c>
      <c r="F192" s="4">
        <v>3894.2</v>
      </c>
      <c r="G192" s="5">
        <v>265.14</v>
      </c>
      <c r="H192" s="6">
        <v>8</v>
      </c>
      <c r="I192" s="2" t="s">
        <v>2117</v>
      </c>
    </row>
    <row r="193" spans="2:9" x14ac:dyDescent="0.3">
      <c r="B193" s="2" t="s">
        <v>199</v>
      </c>
      <c r="C193" s="3">
        <v>44273</v>
      </c>
      <c r="D193" s="2" t="s">
        <v>2009</v>
      </c>
      <c r="E193" s="2" t="s">
        <v>2030</v>
      </c>
      <c r="F193" s="4">
        <v>230.22</v>
      </c>
      <c r="G193" s="5">
        <v>538.6</v>
      </c>
      <c r="H193" s="6">
        <v>19</v>
      </c>
      <c r="I193" s="2" t="s">
        <v>2117</v>
      </c>
    </row>
    <row r="194" spans="2:9" x14ac:dyDescent="0.3">
      <c r="B194" s="2" t="s">
        <v>200</v>
      </c>
      <c r="C194" s="3">
        <v>43915</v>
      </c>
      <c r="D194" s="2" t="s">
        <v>2011</v>
      </c>
      <c r="E194" s="2" t="s">
        <v>2037</v>
      </c>
      <c r="F194" s="4">
        <v>3342.99</v>
      </c>
      <c r="G194" s="5">
        <v>788.51</v>
      </c>
      <c r="H194" s="6">
        <v>1</v>
      </c>
      <c r="I194" s="2" t="s">
        <v>2117</v>
      </c>
    </row>
    <row r="195" spans="2:9" x14ac:dyDescent="0.3">
      <c r="B195" s="2" t="s">
        <v>201</v>
      </c>
      <c r="C195" s="3">
        <v>44023</v>
      </c>
      <c r="D195" s="2" t="s">
        <v>2010</v>
      </c>
      <c r="E195" s="2" t="s">
        <v>2098</v>
      </c>
      <c r="F195" s="4">
        <v>2824.55</v>
      </c>
      <c r="G195" s="5">
        <v>96.29</v>
      </c>
      <c r="H195" s="6">
        <v>1</v>
      </c>
      <c r="I195" s="2" t="s">
        <v>2118</v>
      </c>
    </row>
    <row r="196" spans="2:9" x14ac:dyDescent="0.3">
      <c r="B196" s="2" t="s">
        <v>202</v>
      </c>
      <c r="C196" s="3">
        <v>45109</v>
      </c>
      <c r="D196" s="2" t="s">
        <v>2010</v>
      </c>
      <c r="E196" s="2" t="s">
        <v>2035</v>
      </c>
      <c r="F196" s="4">
        <v>4959.1899999999996</v>
      </c>
      <c r="G196" s="5">
        <v>298.20999999999998</v>
      </c>
      <c r="H196" s="6">
        <v>2</v>
      </c>
      <c r="I196" s="2" t="s">
        <v>2116</v>
      </c>
    </row>
    <row r="197" spans="2:9" x14ac:dyDescent="0.3">
      <c r="B197" s="2" t="s">
        <v>203</v>
      </c>
      <c r="C197" s="3">
        <v>45103</v>
      </c>
      <c r="D197" s="2" t="s">
        <v>2011</v>
      </c>
      <c r="E197" s="2" t="s">
        <v>2050</v>
      </c>
      <c r="F197" s="4">
        <v>4539.2299999999996</v>
      </c>
      <c r="G197" s="5">
        <v>611.03</v>
      </c>
      <c r="H197" s="6">
        <v>6</v>
      </c>
      <c r="I197" s="2" t="s">
        <v>2118</v>
      </c>
    </row>
    <row r="198" spans="2:9" x14ac:dyDescent="0.3">
      <c r="B198" s="2" t="s">
        <v>204</v>
      </c>
      <c r="C198" s="3">
        <v>45329</v>
      </c>
      <c r="D198" s="2" t="s">
        <v>2011</v>
      </c>
      <c r="E198" s="2" t="s">
        <v>2037</v>
      </c>
      <c r="F198" s="4">
        <v>4955.5200000000004</v>
      </c>
      <c r="G198" s="5">
        <v>561.07000000000005</v>
      </c>
      <c r="H198" s="6">
        <v>10</v>
      </c>
      <c r="I198" s="2" t="s">
        <v>2117</v>
      </c>
    </row>
    <row r="199" spans="2:9" x14ac:dyDescent="0.3">
      <c r="B199" s="2" t="s">
        <v>205</v>
      </c>
      <c r="C199" s="3">
        <v>44787</v>
      </c>
      <c r="D199" s="2" t="s">
        <v>2012</v>
      </c>
      <c r="E199" s="2" t="s">
        <v>2016</v>
      </c>
      <c r="F199" s="4">
        <v>1793.71</v>
      </c>
      <c r="G199" s="5">
        <v>64.040000000000006</v>
      </c>
      <c r="H199" s="6">
        <v>7</v>
      </c>
      <c r="I199" s="2" t="s">
        <v>2117</v>
      </c>
    </row>
    <row r="200" spans="2:9" x14ac:dyDescent="0.3">
      <c r="B200" s="2" t="s">
        <v>206</v>
      </c>
      <c r="C200" s="3">
        <v>44999</v>
      </c>
      <c r="D200" s="2" t="s">
        <v>2012</v>
      </c>
      <c r="E200" s="2" t="s">
        <v>2104</v>
      </c>
      <c r="F200" s="4">
        <v>3220.07</v>
      </c>
      <c r="G200" s="5">
        <v>920.77</v>
      </c>
      <c r="H200" s="6">
        <v>19</v>
      </c>
      <c r="I200" s="2" t="s">
        <v>2118</v>
      </c>
    </row>
    <row r="201" spans="2:9" x14ac:dyDescent="0.3">
      <c r="B201" s="2" t="s">
        <v>207</v>
      </c>
      <c r="C201" s="3">
        <v>44903</v>
      </c>
      <c r="D201" s="2" t="s">
        <v>2012</v>
      </c>
      <c r="E201" s="2" t="s">
        <v>2087</v>
      </c>
      <c r="F201" s="4">
        <v>1361.46</v>
      </c>
      <c r="G201" s="5">
        <v>267.49</v>
      </c>
      <c r="H201" s="6">
        <v>3</v>
      </c>
      <c r="I201" s="2" t="s">
        <v>2116</v>
      </c>
    </row>
    <row r="202" spans="2:9" x14ac:dyDescent="0.3">
      <c r="B202" s="2" t="s">
        <v>208</v>
      </c>
      <c r="C202" s="3">
        <v>44671</v>
      </c>
      <c r="D202" s="2" t="s">
        <v>2012</v>
      </c>
      <c r="E202" s="2" t="s">
        <v>2077</v>
      </c>
      <c r="F202" s="4">
        <v>4348.88</v>
      </c>
      <c r="G202" s="5">
        <v>696.78</v>
      </c>
      <c r="H202" s="6">
        <v>5</v>
      </c>
      <c r="I202" s="2" t="s">
        <v>2116</v>
      </c>
    </row>
    <row r="203" spans="2:9" x14ac:dyDescent="0.3">
      <c r="B203" s="2" t="s">
        <v>209</v>
      </c>
      <c r="C203" s="3">
        <v>44502</v>
      </c>
      <c r="D203" s="2" t="s">
        <v>2010</v>
      </c>
      <c r="E203" s="2" t="s">
        <v>2037</v>
      </c>
      <c r="F203" s="4">
        <v>2881.67</v>
      </c>
      <c r="G203" s="5">
        <v>418.66</v>
      </c>
      <c r="H203" s="6">
        <v>11</v>
      </c>
      <c r="I203" s="2" t="s">
        <v>2117</v>
      </c>
    </row>
    <row r="204" spans="2:9" x14ac:dyDescent="0.3">
      <c r="B204" s="2" t="s">
        <v>210</v>
      </c>
      <c r="C204" s="3">
        <v>45587</v>
      </c>
      <c r="D204" s="2" t="s">
        <v>2012</v>
      </c>
      <c r="E204" s="2" t="s">
        <v>2057</v>
      </c>
      <c r="F204" s="4">
        <v>3579.89</v>
      </c>
      <c r="G204" s="5">
        <v>686.12</v>
      </c>
      <c r="H204" s="6">
        <v>15</v>
      </c>
      <c r="I204" s="2" t="s">
        <v>2116</v>
      </c>
    </row>
    <row r="205" spans="2:9" x14ac:dyDescent="0.3">
      <c r="B205" s="2" t="s">
        <v>211</v>
      </c>
      <c r="C205" s="3">
        <v>44198</v>
      </c>
      <c r="D205" s="2" t="s">
        <v>2009</v>
      </c>
      <c r="E205" s="2" t="s">
        <v>2050</v>
      </c>
      <c r="F205" s="4">
        <v>3600.04</v>
      </c>
      <c r="G205" s="5">
        <v>277.41000000000003</v>
      </c>
      <c r="H205" s="6">
        <v>1</v>
      </c>
      <c r="I205" s="2" t="s">
        <v>2116</v>
      </c>
    </row>
    <row r="206" spans="2:9" x14ac:dyDescent="0.3">
      <c r="B206" s="2" t="s">
        <v>212</v>
      </c>
      <c r="C206" s="3">
        <v>44056</v>
      </c>
      <c r="D206" s="2" t="s">
        <v>2011</v>
      </c>
      <c r="E206" s="2" t="s">
        <v>2083</v>
      </c>
      <c r="F206" s="4">
        <v>2730.85</v>
      </c>
      <c r="G206" s="5">
        <v>355.32</v>
      </c>
      <c r="H206" s="6">
        <v>9</v>
      </c>
      <c r="I206" s="2" t="s">
        <v>2118</v>
      </c>
    </row>
    <row r="207" spans="2:9" x14ac:dyDescent="0.3">
      <c r="B207" s="2" t="s">
        <v>213</v>
      </c>
      <c r="C207" s="3">
        <v>45425</v>
      </c>
      <c r="D207" s="2" t="s">
        <v>2010</v>
      </c>
      <c r="E207" s="2" t="s">
        <v>2037</v>
      </c>
      <c r="F207" s="4">
        <v>3770.22</v>
      </c>
      <c r="G207" s="5">
        <v>642.71</v>
      </c>
      <c r="H207" s="6">
        <v>20</v>
      </c>
      <c r="I207" s="2" t="s">
        <v>2117</v>
      </c>
    </row>
    <row r="208" spans="2:9" x14ac:dyDescent="0.3">
      <c r="B208" s="2" t="s">
        <v>214</v>
      </c>
      <c r="C208" s="3">
        <v>44420</v>
      </c>
      <c r="D208" s="2" t="s">
        <v>2011</v>
      </c>
      <c r="E208" s="2" t="s">
        <v>2016</v>
      </c>
      <c r="F208" s="4">
        <v>2898.51</v>
      </c>
      <c r="G208" s="5">
        <v>731.63</v>
      </c>
      <c r="H208" s="6">
        <v>16</v>
      </c>
      <c r="I208" s="2" t="s">
        <v>2117</v>
      </c>
    </row>
    <row r="209" spans="2:9" x14ac:dyDescent="0.3">
      <c r="B209" s="2" t="s">
        <v>215</v>
      </c>
      <c r="C209" s="3">
        <v>45573</v>
      </c>
      <c r="D209" s="2" t="s">
        <v>2009</v>
      </c>
      <c r="E209" s="2" t="s">
        <v>2062</v>
      </c>
      <c r="F209" s="4">
        <v>4376.88</v>
      </c>
      <c r="G209" s="5">
        <v>882.99</v>
      </c>
      <c r="H209" s="6">
        <v>3</v>
      </c>
      <c r="I209" s="2" t="s">
        <v>2116</v>
      </c>
    </row>
    <row r="210" spans="2:9" x14ac:dyDescent="0.3">
      <c r="B210" s="2" t="s">
        <v>216</v>
      </c>
      <c r="C210" s="3">
        <v>44486</v>
      </c>
      <c r="D210" s="2" t="s">
        <v>2010</v>
      </c>
      <c r="E210" s="2" t="s">
        <v>2039</v>
      </c>
      <c r="F210" s="4">
        <v>2070.38</v>
      </c>
      <c r="G210" s="5">
        <v>608.09</v>
      </c>
      <c r="H210" s="6">
        <v>13</v>
      </c>
      <c r="I210" s="2" t="s">
        <v>2116</v>
      </c>
    </row>
    <row r="211" spans="2:9" x14ac:dyDescent="0.3">
      <c r="B211" s="2" t="s">
        <v>217</v>
      </c>
      <c r="C211" s="3">
        <v>44794</v>
      </c>
      <c r="D211" s="2" t="s">
        <v>2011</v>
      </c>
      <c r="E211" s="2" t="s">
        <v>2070</v>
      </c>
      <c r="F211" s="4">
        <v>3564.37</v>
      </c>
      <c r="G211" s="5">
        <v>768.53</v>
      </c>
      <c r="H211" s="6">
        <v>12</v>
      </c>
      <c r="I211" s="2" t="s">
        <v>2117</v>
      </c>
    </row>
    <row r="212" spans="2:9" x14ac:dyDescent="0.3">
      <c r="B212" s="2" t="s">
        <v>218</v>
      </c>
      <c r="C212" s="3">
        <v>43958</v>
      </c>
      <c r="D212" s="2" t="s">
        <v>2010</v>
      </c>
      <c r="E212" s="2" t="s">
        <v>2031</v>
      </c>
      <c r="F212" s="4">
        <v>1220.78</v>
      </c>
      <c r="G212" s="5">
        <v>189.35</v>
      </c>
      <c r="H212" s="6">
        <v>2</v>
      </c>
      <c r="I212" s="2" t="s">
        <v>2117</v>
      </c>
    </row>
    <row r="213" spans="2:9" x14ac:dyDescent="0.3">
      <c r="B213" s="2" t="s">
        <v>219</v>
      </c>
      <c r="C213" s="3">
        <v>43982</v>
      </c>
      <c r="D213" s="2" t="s">
        <v>2012</v>
      </c>
      <c r="E213" s="2" t="s">
        <v>2036</v>
      </c>
      <c r="F213" s="4">
        <v>2970.14</v>
      </c>
      <c r="G213" s="5">
        <v>532.91</v>
      </c>
      <c r="H213" s="6">
        <v>6</v>
      </c>
      <c r="I213" s="2" t="s">
        <v>2118</v>
      </c>
    </row>
    <row r="214" spans="2:9" x14ac:dyDescent="0.3">
      <c r="B214" s="2" t="s">
        <v>220</v>
      </c>
      <c r="C214" s="3">
        <v>44297</v>
      </c>
      <c r="D214" s="2" t="s">
        <v>2011</v>
      </c>
      <c r="E214" s="2" t="s">
        <v>2063</v>
      </c>
      <c r="F214" s="4">
        <v>2423.65</v>
      </c>
      <c r="G214" s="5">
        <v>258.38</v>
      </c>
      <c r="H214" s="6">
        <v>9</v>
      </c>
      <c r="I214" s="2" t="s">
        <v>2117</v>
      </c>
    </row>
    <row r="215" spans="2:9" x14ac:dyDescent="0.3">
      <c r="B215" s="2" t="s">
        <v>221</v>
      </c>
      <c r="C215" s="3">
        <v>44554</v>
      </c>
      <c r="D215" s="2" t="s">
        <v>2011</v>
      </c>
      <c r="E215" s="2" t="s">
        <v>2048</v>
      </c>
      <c r="F215" s="4">
        <v>449.08</v>
      </c>
      <c r="G215" s="5">
        <v>451.79</v>
      </c>
      <c r="H215" s="6">
        <v>15</v>
      </c>
      <c r="I215" s="2" t="s">
        <v>2117</v>
      </c>
    </row>
    <row r="216" spans="2:9" x14ac:dyDescent="0.3">
      <c r="B216" s="2" t="s">
        <v>222</v>
      </c>
      <c r="C216" s="3">
        <v>44872</v>
      </c>
      <c r="D216" s="2" t="s">
        <v>2009</v>
      </c>
      <c r="E216" s="2" t="s">
        <v>2040</v>
      </c>
      <c r="F216" s="4">
        <v>1559.67</v>
      </c>
      <c r="G216" s="5">
        <v>297.14</v>
      </c>
      <c r="H216" s="6">
        <v>3</v>
      </c>
      <c r="I216" s="2" t="s">
        <v>2116</v>
      </c>
    </row>
    <row r="217" spans="2:9" x14ac:dyDescent="0.3">
      <c r="B217" s="2" t="s">
        <v>223</v>
      </c>
      <c r="C217" s="3">
        <v>44229</v>
      </c>
      <c r="D217" s="2" t="s">
        <v>2009</v>
      </c>
      <c r="E217" s="2" t="s">
        <v>2077</v>
      </c>
      <c r="F217" s="4">
        <v>4868.18</v>
      </c>
      <c r="G217" s="5">
        <v>744.96</v>
      </c>
      <c r="H217" s="6">
        <v>10</v>
      </c>
      <c r="I217" s="2" t="s">
        <v>2118</v>
      </c>
    </row>
    <row r="218" spans="2:9" x14ac:dyDescent="0.3">
      <c r="B218" s="2" t="s">
        <v>224</v>
      </c>
      <c r="C218" s="3">
        <v>44596</v>
      </c>
      <c r="D218" s="2" t="s">
        <v>2010</v>
      </c>
      <c r="E218" s="2" t="s">
        <v>2093</v>
      </c>
      <c r="F218" s="4">
        <v>2452.37</v>
      </c>
      <c r="G218" s="5">
        <v>549.54</v>
      </c>
      <c r="H218" s="6">
        <v>16</v>
      </c>
      <c r="I218" s="2" t="s">
        <v>2117</v>
      </c>
    </row>
    <row r="219" spans="2:9" x14ac:dyDescent="0.3">
      <c r="B219" s="2" t="s">
        <v>225</v>
      </c>
      <c r="C219" s="3">
        <v>43978</v>
      </c>
      <c r="D219" s="2" t="s">
        <v>2012</v>
      </c>
      <c r="E219" s="2" t="s">
        <v>2097</v>
      </c>
      <c r="F219" s="4">
        <v>1622.75</v>
      </c>
      <c r="G219" s="5">
        <v>762.28</v>
      </c>
      <c r="H219" s="6">
        <v>18</v>
      </c>
      <c r="I219" s="2" t="s">
        <v>2117</v>
      </c>
    </row>
    <row r="220" spans="2:9" x14ac:dyDescent="0.3">
      <c r="B220" s="2" t="s">
        <v>226</v>
      </c>
      <c r="C220" s="3">
        <v>44063</v>
      </c>
      <c r="D220" s="2" t="s">
        <v>2011</v>
      </c>
      <c r="E220" s="2" t="s">
        <v>2041</v>
      </c>
      <c r="F220" s="4">
        <v>2092.48</v>
      </c>
      <c r="G220" s="5">
        <v>381.28</v>
      </c>
      <c r="H220" s="6">
        <v>10</v>
      </c>
      <c r="I220" s="2" t="s">
        <v>2118</v>
      </c>
    </row>
    <row r="221" spans="2:9" x14ac:dyDescent="0.3">
      <c r="B221" s="2" t="s">
        <v>227</v>
      </c>
      <c r="C221" s="3">
        <v>45464</v>
      </c>
      <c r="D221" s="2" t="s">
        <v>2010</v>
      </c>
      <c r="E221" s="2" t="s">
        <v>2090</v>
      </c>
      <c r="F221" s="4">
        <v>2115.85</v>
      </c>
      <c r="G221" s="5">
        <v>172.68</v>
      </c>
      <c r="H221" s="6">
        <v>11</v>
      </c>
      <c r="I221" s="2" t="s">
        <v>2116</v>
      </c>
    </row>
    <row r="222" spans="2:9" x14ac:dyDescent="0.3">
      <c r="B222" s="2" t="s">
        <v>228</v>
      </c>
      <c r="C222" s="3">
        <v>44289</v>
      </c>
      <c r="D222" s="2" t="s">
        <v>2012</v>
      </c>
      <c r="E222" s="2" t="s">
        <v>2023</v>
      </c>
      <c r="F222" s="4">
        <v>1150.76</v>
      </c>
      <c r="G222" s="5">
        <v>158.57</v>
      </c>
      <c r="H222" s="6">
        <v>18</v>
      </c>
      <c r="I222" s="2" t="s">
        <v>2116</v>
      </c>
    </row>
    <row r="223" spans="2:9" x14ac:dyDescent="0.3">
      <c r="B223" s="2" t="s">
        <v>229</v>
      </c>
      <c r="C223" s="3">
        <v>45589</v>
      </c>
      <c r="D223" s="2" t="s">
        <v>2009</v>
      </c>
      <c r="E223" s="2" t="s">
        <v>2105</v>
      </c>
      <c r="F223" s="4">
        <v>1261.94</v>
      </c>
      <c r="G223" s="5">
        <v>434.58</v>
      </c>
      <c r="H223" s="6">
        <v>19</v>
      </c>
      <c r="I223" s="2" t="s">
        <v>2118</v>
      </c>
    </row>
    <row r="224" spans="2:9" x14ac:dyDescent="0.3">
      <c r="B224" s="2" t="s">
        <v>230</v>
      </c>
      <c r="C224" s="3">
        <v>44812</v>
      </c>
      <c r="D224" s="2" t="s">
        <v>2011</v>
      </c>
      <c r="E224" s="2" t="s">
        <v>2078</v>
      </c>
      <c r="F224" s="4">
        <v>2033.07</v>
      </c>
      <c r="G224" s="5">
        <v>389.64</v>
      </c>
      <c r="H224" s="6">
        <v>15</v>
      </c>
      <c r="I224" s="2" t="s">
        <v>2116</v>
      </c>
    </row>
    <row r="225" spans="2:9" x14ac:dyDescent="0.3">
      <c r="B225" s="2" t="s">
        <v>231</v>
      </c>
      <c r="C225" s="3">
        <v>44625</v>
      </c>
      <c r="D225" s="2" t="s">
        <v>2012</v>
      </c>
      <c r="E225" s="2" t="s">
        <v>2079</v>
      </c>
      <c r="F225" s="4">
        <v>2323.2800000000002</v>
      </c>
      <c r="G225" s="5">
        <v>32.94</v>
      </c>
      <c r="H225" s="6">
        <v>12</v>
      </c>
      <c r="I225" s="2" t="s">
        <v>2118</v>
      </c>
    </row>
    <row r="226" spans="2:9" x14ac:dyDescent="0.3">
      <c r="B226" s="2" t="s">
        <v>232</v>
      </c>
      <c r="C226" s="3">
        <v>45049</v>
      </c>
      <c r="D226" s="2" t="s">
        <v>2012</v>
      </c>
      <c r="E226" s="2" t="s">
        <v>2043</v>
      </c>
      <c r="F226" s="4">
        <v>1619.51</v>
      </c>
      <c r="G226" s="5">
        <v>907.67</v>
      </c>
      <c r="H226" s="6">
        <v>12</v>
      </c>
      <c r="I226" s="2" t="s">
        <v>2117</v>
      </c>
    </row>
    <row r="227" spans="2:9" x14ac:dyDescent="0.3">
      <c r="B227" s="2" t="s">
        <v>233</v>
      </c>
      <c r="C227" s="3">
        <v>45548</v>
      </c>
      <c r="D227" s="2" t="s">
        <v>2009</v>
      </c>
      <c r="E227" s="2" t="s">
        <v>2040</v>
      </c>
      <c r="F227" s="4">
        <v>1843.79</v>
      </c>
      <c r="G227" s="5">
        <v>677.42</v>
      </c>
      <c r="H227" s="6">
        <v>12</v>
      </c>
      <c r="I227" s="2" t="s">
        <v>2118</v>
      </c>
    </row>
    <row r="228" spans="2:9" x14ac:dyDescent="0.3">
      <c r="B228" s="2" t="s">
        <v>234</v>
      </c>
      <c r="C228" s="3">
        <v>44791</v>
      </c>
      <c r="D228" s="2" t="s">
        <v>2010</v>
      </c>
      <c r="E228" s="2" t="s">
        <v>2019</v>
      </c>
      <c r="F228" s="4">
        <v>4626.32</v>
      </c>
      <c r="G228" s="5">
        <v>795.83</v>
      </c>
      <c r="H228" s="6">
        <v>1</v>
      </c>
      <c r="I228" s="2" t="s">
        <v>2118</v>
      </c>
    </row>
    <row r="229" spans="2:9" x14ac:dyDescent="0.3">
      <c r="B229" s="2" t="s">
        <v>235</v>
      </c>
      <c r="C229" s="3">
        <v>44631</v>
      </c>
      <c r="D229" s="2" t="s">
        <v>2011</v>
      </c>
      <c r="E229" s="2" t="s">
        <v>2068</v>
      </c>
      <c r="F229" s="4">
        <v>4811.95</v>
      </c>
      <c r="G229" s="5">
        <v>621.91999999999996</v>
      </c>
      <c r="H229" s="6">
        <v>4</v>
      </c>
      <c r="I229" s="2" t="s">
        <v>2117</v>
      </c>
    </row>
    <row r="230" spans="2:9" x14ac:dyDescent="0.3">
      <c r="B230" s="2" t="s">
        <v>236</v>
      </c>
      <c r="C230" s="3">
        <v>44372</v>
      </c>
      <c r="D230" s="2" t="s">
        <v>2011</v>
      </c>
      <c r="E230" s="2" t="s">
        <v>2077</v>
      </c>
      <c r="F230" s="4">
        <v>3107</v>
      </c>
      <c r="G230" s="5">
        <v>32.57</v>
      </c>
      <c r="H230" s="6">
        <v>2</v>
      </c>
      <c r="I230" s="2" t="s">
        <v>2116</v>
      </c>
    </row>
    <row r="231" spans="2:9" x14ac:dyDescent="0.3">
      <c r="B231" s="2" t="s">
        <v>237</v>
      </c>
      <c r="C231" s="3">
        <v>45356</v>
      </c>
      <c r="D231" s="2" t="s">
        <v>2011</v>
      </c>
      <c r="E231" s="2" t="s">
        <v>2039</v>
      </c>
      <c r="F231" s="4">
        <v>2461.7199999999998</v>
      </c>
      <c r="G231" s="5">
        <v>996.64</v>
      </c>
      <c r="H231" s="6">
        <v>14</v>
      </c>
      <c r="I231" s="2" t="s">
        <v>2118</v>
      </c>
    </row>
    <row r="232" spans="2:9" x14ac:dyDescent="0.3">
      <c r="B232" s="2" t="s">
        <v>238</v>
      </c>
      <c r="C232" s="3">
        <v>44474</v>
      </c>
      <c r="D232" s="2" t="s">
        <v>2011</v>
      </c>
      <c r="E232" s="2" t="s">
        <v>2035</v>
      </c>
      <c r="F232" s="4">
        <v>4353.18</v>
      </c>
      <c r="G232" s="5">
        <v>871</v>
      </c>
      <c r="H232" s="6">
        <v>15</v>
      </c>
      <c r="I232" s="2" t="s">
        <v>2116</v>
      </c>
    </row>
    <row r="233" spans="2:9" x14ac:dyDescent="0.3">
      <c r="B233" s="2" t="s">
        <v>239</v>
      </c>
      <c r="C233" s="3">
        <v>45583</v>
      </c>
      <c r="D233" s="2" t="s">
        <v>2011</v>
      </c>
      <c r="E233" s="2" t="s">
        <v>2087</v>
      </c>
      <c r="F233" s="4">
        <v>154.53</v>
      </c>
      <c r="G233" s="5">
        <v>136.46</v>
      </c>
      <c r="H233" s="6">
        <v>19</v>
      </c>
      <c r="I233" s="2" t="s">
        <v>2118</v>
      </c>
    </row>
    <row r="234" spans="2:9" x14ac:dyDescent="0.3">
      <c r="B234" s="2" t="s">
        <v>240</v>
      </c>
      <c r="C234" s="3">
        <v>44538</v>
      </c>
      <c r="D234" s="2" t="s">
        <v>2012</v>
      </c>
      <c r="E234" s="2" t="s">
        <v>2049</v>
      </c>
      <c r="F234" s="4">
        <v>2892.85</v>
      </c>
      <c r="G234" s="5">
        <v>667.51</v>
      </c>
      <c r="H234" s="6">
        <v>18</v>
      </c>
      <c r="I234" s="2" t="s">
        <v>2117</v>
      </c>
    </row>
    <row r="235" spans="2:9" x14ac:dyDescent="0.3">
      <c r="B235" s="2" t="s">
        <v>241</v>
      </c>
      <c r="C235" s="3">
        <v>45485</v>
      </c>
      <c r="D235" s="2" t="s">
        <v>2012</v>
      </c>
      <c r="E235" s="2" t="s">
        <v>2033</v>
      </c>
      <c r="F235" s="4">
        <v>4886.25</v>
      </c>
      <c r="G235" s="5">
        <v>502.4</v>
      </c>
      <c r="H235" s="6">
        <v>17</v>
      </c>
      <c r="I235" s="2" t="s">
        <v>2117</v>
      </c>
    </row>
    <row r="236" spans="2:9" x14ac:dyDescent="0.3">
      <c r="B236" s="2" t="s">
        <v>242</v>
      </c>
      <c r="C236" s="3">
        <v>44998</v>
      </c>
      <c r="D236" s="2" t="s">
        <v>2010</v>
      </c>
      <c r="E236" s="2" t="s">
        <v>2084</v>
      </c>
      <c r="F236" s="4">
        <v>2690.62</v>
      </c>
      <c r="G236" s="5">
        <v>804.44</v>
      </c>
      <c r="H236" s="6">
        <v>6</v>
      </c>
      <c r="I236" s="2" t="s">
        <v>2116</v>
      </c>
    </row>
    <row r="237" spans="2:9" x14ac:dyDescent="0.3">
      <c r="B237" s="2" t="s">
        <v>243</v>
      </c>
      <c r="C237" s="3">
        <v>44543</v>
      </c>
      <c r="D237" s="2" t="s">
        <v>2010</v>
      </c>
      <c r="E237" s="2" t="s">
        <v>2106</v>
      </c>
      <c r="F237" s="4">
        <v>3919.28</v>
      </c>
      <c r="G237" s="5">
        <v>740.28</v>
      </c>
      <c r="H237" s="6">
        <v>13</v>
      </c>
      <c r="I237" s="2" t="s">
        <v>2117</v>
      </c>
    </row>
    <row r="238" spans="2:9" x14ac:dyDescent="0.3">
      <c r="B238" s="2" t="s">
        <v>244</v>
      </c>
      <c r="C238" s="3">
        <v>45240</v>
      </c>
      <c r="D238" s="2" t="s">
        <v>2011</v>
      </c>
      <c r="E238" s="2" t="s">
        <v>2080</v>
      </c>
      <c r="F238" s="4">
        <v>498.69</v>
      </c>
      <c r="G238" s="5">
        <v>893.74</v>
      </c>
      <c r="H238" s="6">
        <v>12</v>
      </c>
      <c r="I238" s="2" t="s">
        <v>2118</v>
      </c>
    </row>
    <row r="239" spans="2:9" x14ac:dyDescent="0.3">
      <c r="B239" s="2" t="s">
        <v>245</v>
      </c>
      <c r="C239" s="3">
        <v>44939</v>
      </c>
      <c r="D239" s="2" t="s">
        <v>2012</v>
      </c>
      <c r="E239" s="2" t="s">
        <v>2058</v>
      </c>
      <c r="F239" s="4">
        <v>3528.08</v>
      </c>
      <c r="G239" s="5">
        <v>75.16</v>
      </c>
      <c r="H239" s="6">
        <v>18</v>
      </c>
      <c r="I239" s="2" t="s">
        <v>2116</v>
      </c>
    </row>
    <row r="240" spans="2:9" x14ac:dyDescent="0.3">
      <c r="B240" s="2" t="s">
        <v>246</v>
      </c>
      <c r="C240" s="3">
        <v>45288</v>
      </c>
      <c r="D240" s="2" t="s">
        <v>2012</v>
      </c>
      <c r="E240" s="2" t="s">
        <v>2038</v>
      </c>
      <c r="F240" s="4">
        <v>712.38</v>
      </c>
      <c r="G240" s="5">
        <v>707.21</v>
      </c>
      <c r="H240" s="6">
        <v>10</v>
      </c>
      <c r="I240" s="2" t="s">
        <v>2116</v>
      </c>
    </row>
    <row r="241" spans="2:9" x14ac:dyDescent="0.3">
      <c r="B241" s="2" t="s">
        <v>247</v>
      </c>
      <c r="C241" s="3">
        <v>44510</v>
      </c>
      <c r="D241" s="2" t="s">
        <v>2009</v>
      </c>
      <c r="E241" s="2" t="s">
        <v>2057</v>
      </c>
      <c r="F241" s="4">
        <v>2721.61</v>
      </c>
      <c r="G241" s="5">
        <v>946.89</v>
      </c>
      <c r="H241" s="6">
        <v>5</v>
      </c>
      <c r="I241" s="2" t="s">
        <v>2118</v>
      </c>
    </row>
    <row r="242" spans="2:9" x14ac:dyDescent="0.3">
      <c r="B242" s="2" t="s">
        <v>248</v>
      </c>
      <c r="C242" s="3">
        <v>44690</v>
      </c>
      <c r="D242" s="2" t="s">
        <v>2009</v>
      </c>
      <c r="E242" s="2" t="s">
        <v>2057</v>
      </c>
      <c r="F242" s="4">
        <v>4466.42</v>
      </c>
      <c r="G242" s="5">
        <v>742.35</v>
      </c>
      <c r="H242" s="6">
        <v>14</v>
      </c>
      <c r="I242" s="2" t="s">
        <v>2118</v>
      </c>
    </row>
    <row r="243" spans="2:9" x14ac:dyDescent="0.3">
      <c r="B243" s="2" t="s">
        <v>249</v>
      </c>
      <c r="C243" s="3">
        <v>44875</v>
      </c>
      <c r="D243" s="2" t="s">
        <v>2012</v>
      </c>
      <c r="E243" s="2" t="s">
        <v>2040</v>
      </c>
      <c r="F243" s="4">
        <v>1802.76</v>
      </c>
      <c r="G243" s="5">
        <v>36.99</v>
      </c>
      <c r="H243" s="6">
        <v>18</v>
      </c>
      <c r="I243" s="2" t="s">
        <v>2118</v>
      </c>
    </row>
    <row r="244" spans="2:9" x14ac:dyDescent="0.3">
      <c r="B244" s="2" t="s">
        <v>250</v>
      </c>
      <c r="C244" s="3">
        <v>44544</v>
      </c>
      <c r="D244" s="2" t="s">
        <v>2009</v>
      </c>
      <c r="E244" s="2" t="s">
        <v>2063</v>
      </c>
      <c r="F244" s="4">
        <v>4436.8599999999997</v>
      </c>
      <c r="G244" s="5">
        <v>40.159999999999997</v>
      </c>
      <c r="H244" s="6">
        <v>11</v>
      </c>
      <c r="I244" s="2" t="s">
        <v>2117</v>
      </c>
    </row>
    <row r="245" spans="2:9" x14ac:dyDescent="0.3">
      <c r="B245" s="2" t="s">
        <v>251</v>
      </c>
      <c r="C245" s="3">
        <v>44218</v>
      </c>
      <c r="D245" s="2" t="s">
        <v>2011</v>
      </c>
      <c r="E245" s="2" t="s">
        <v>2031</v>
      </c>
      <c r="F245" s="4">
        <v>758.3</v>
      </c>
      <c r="G245" s="5">
        <v>75.239999999999995</v>
      </c>
      <c r="H245" s="6">
        <v>3</v>
      </c>
      <c r="I245" s="2" t="s">
        <v>2118</v>
      </c>
    </row>
    <row r="246" spans="2:9" x14ac:dyDescent="0.3">
      <c r="B246" s="2" t="s">
        <v>252</v>
      </c>
      <c r="C246" s="3">
        <v>45320</v>
      </c>
      <c r="D246" s="2" t="s">
        <v>2010</v>
      </c>
      <c r="E246" s="2" t="s">
        <v>2059</v>
      </c>
      <c r="F246" s="4">
        <v>857.7</v>
      </c>
      <c r="G246" s="5">
        <v>587.98</v>
      </c>
      <c r="H246" s="6">
        <v>19</v>
      </c>
      <c r="I246" s="2" t="s">
        <v>2116</v>
      </c>
    </row>
    <row r="247" spans="2:9" x14ac:dyDescent="0.3">
      <c r="B247" s="2" t="s">
        <v>253</v>
      </c>
      <c r="C247" s="3">
        <v>43912</v>
      </c>
      <c r="D247" s="2" t="s">
        <v>2009</v>
      </c>
      <c r="E247" s="2" t="s">
        <v>2059</v>
      </c>
      <c r="F247" s="4">
        <v>3930.24</v>
      </c>
      <c r="G247" s="5">
        <v>403.72</v>
      </c>
      <c r="H247" s="6">
        <v>13</v>
      </c>
      <c r="I247" s="2" t="s">
        <v>2118</v>
      </c>
    </row>
    <row r="248" spans="2:9" x14ac:dyDescent="0.3">
      <c r="B248" s="2" t="s">
        <v>254</v>
      </c>
      <c r="C248" s="3">
        <v>44005</v>
      </c>
      <c r="D248" s="2" t="s">
        <v>2010</v>
      </c>
      <c r="E248" s="2" t="s">
        <v>2095</v>
      </c>
      <c r="F248" s="4">
        <v>3396.64</v>
      </c>
      <c r="G248" s="5">
        <v>384.71</v>
      </c>
      <c r="H248" s="6">
        <v>10</v>
      </c>
      <c r="I248" s="2" t="s">
        <v>2117</v>
      </c>
    </row>
    <row r="249" spans="2:9" x14ac:dyDescent="0.3">
      <c r="B249" s="2" t="s">
        <v>255</v>
      </c>
      <c r="C249" s="3">
        <v>44855</v>
      </c>
      <c r="D249" s="2" t="s">
        <v>2011</v>
      </c>
      <c r="E249" s="2" t="s">
        <v>2083</v>
      </c>
      <c r="F249" s="4">
        <v>3942.1</v>
      </c>
      <c r="G249" s="5">
        <v>215.08</v>
      </c>
      <c r="H249" s="6">
        <v>10</v>
      </c>
      <c r="I249" s="2" t="s">
        <v>2116</v>
      </c>
    </row>
    <row r="250" spans="2:9" x14ac:dyDescent="0.3">
      <c r="B250" s="2" t="s">
        <v>256</v>
      </c>
      <c r="C250" s="3">
        <v>44896</v>
      </c>
      <c r="D250" s="2" t="s">
        <v>2011</v>
      </c>
      <c r="E250" s="2" t="s">
        <v>2107</v>
      </c>
      <c r="F250" s="4">
        <v>3580.25</v>
      </c>
      <c r="G250" s="5">
        <v>780.77</v>
      </c>
      <c r="H250" s="6">
        <v>12</v>
      </c>
      <c r="I250" s="2" t="s">
        <v>2116</v>
      </c>
    </row>
    <row r="251" spans="2:9" x14ac:dyDescent="0.3">
      <c r="B251" s="2" t="s">
        <v>257</v>
      </c>
      <c r="C251" s="3">
        <v>44535</v>
      </c>
      <c r="D251" s="2" t="s">
        <v>2010</v>
      </c>
      <c r="E251" s="2" t="s">
        <v>2055</v>
      </c>
      <c r="F251" s="4">
        <v>3785.26</v>
      </c>
      <c r="G251" s="5">
        <v>795.61</v>
      </c>
      <c r="H251" s="6">
        <v>4</v>
      </c>
      <c r="I251" s="2" t="s">
        <v>2118</v>
      </c>
    </row>
    <row r="252" spans="2:9" x14ac:dyDescent="0.3">
      <c r="B252" s="2" t="s">
        <v>258</v>
      </c>
      <c r="C252" s="3">
        <v>45116</v>
      </c>
      <c r="D252" s="2" t="s">
        <v>2011</v>
      </c>
      <c r="E252" s="2" t="s">
        <v>2081</v>
      </c>
      <c r="F252" s="4">
        <v>4909.07</v>
      </c>
      <c r="G252" s="5">
        <v>330.68</v>
      </c>
      <c r="H252" s="6">
        <v>3</v>
      </c>
      <c r="I252" s="2" t="s">
        <v>2116</v>
      </c>
    </row>
    <row r="253" spans="2:9" x14ac:dyDescent="0.3">
      <c r="B253" s="2" t="s">
        <v>259</v>
      </c>
      <c r="C253" s="3">
        <v>45056</v>
      </c>
      <c r="D253" s="2" t="s">
        <v>2012</v>
      </c>
      <c r="E253" s="2" t="s">
        <v>2101</v>
      </c>
      <c r="F253" s="4">
        <v>4380.54</v>
      </c>
      <c r="G253" s="5">
        <v>182.24</v>
      </c>
      <c r="H253" s="6">
        <v>12</v>
      </c>
      <c r="I253" s="2" t="s">
        <v>2116</v>
      </c>
    </row>
    <row r="254" spans="2:9" x14ac:dyDescent="0.3">
      <c r="B254" s="2" t="s">
        <v>260</v>
      </c>
      <c r="C254" s="3">
        <v>43924</v>
      </c>
      <c r="D254" s="2" t="s">
        <v>2011</v>
      </c>
      <c r="E254" s="2" t="s">
        <v>2058</v>
      </c>
      <c r="F254" s="4">
        <v>3780.52</v>
      </c>
      <c r="G254" s="5">
        <v>351.24</v>
      </c>
      <c r="H254" s="6">
        <v>15</v>
      </c>
      <c r="I254" s="2" t="s">
        <v>2118</v>
      </c>
    </row>
    <row r="255" spans="2:9" x14ac:dyDescent="0.3">
      <c r="B255" s="2" t="s">
        <v>261</v>
      </c>
      <c r="C255" s="3">
        <v>45162</v>
      </c>
      <c r="D255" s="2" t="s">
        <v>2010</v>
      </c>
      <c r="E255" s="2" t="s">
        <v>2015</v>
      </c>
      <c r="F255" s="4">
        <v>2845.99</v>
      </c>
      <c r="G255" s="5">
        <v>306.61</v>
      </c>
      <c r="H255" s="6">
        <v>6</v>
      </c>
      <c r="I255" s="2" t="s">
        <v>2118</v>
      </c>
    </row>
    <row r="256" spans="2:9" x14ac:dyDescent="0.3">
      <c r="B256" s="2" t="s">
        <v>262</v>
      </c>
      <c r="C256" s="3">
        <v>44129</v>
      </c>
      <c r="D256" s="2" t="s">
        <v>2011</v>
      </c>
      <c r="E256" s="2" t="s">
        <v>2096</v>
      </c>
      <c r="F256" s="4">
        <v>1181.06</v>
      </c>
      <c r="G256" s="5">
        <v>719.79</v>
      </c>
      <c r="H256" s="6">
        <v>13</v>
      </c>
      <c r="I256" s="2" t="s">
        <v>2116</v>
      </c>
    </row>
    <row r="257" spans="2:9" x14ac:dyDescent="0.3">
      <c r="B257" s="2" t="s">
        <v>263</v>
      </c>
      <c r="C257" s="3">
        <v>44681</v>
      </c>
      <c r="D257" s="2" t="s">
        <v>2009</v>
      </c>
      <c r="E257" s="2" t="s">
        <v>2069</v>
      </c>
      <c r="F257" s="4">
        <v>4492.96</v>
      </c>
      <c r="G257" s="5">
        <v>57.07</v>
      </c>
      <c r="H257" s="6">
        <v>14</v>
      </c>
      <c r="I257" s="2" t="s">
        <v>2117</v>
      </c>
    </row>
    <row r="258" spans="2:9" x14ac:dyDescent="0.3">
      <c r="B258" s="2" t="s">
        <v>264</v>
      </c>
      <c r="C258" s="3">
        <v>44286</v>
      </c>
      <c r="D258" s="2" t="s">
        <v>2010</v>
      </c>
      <c r="E258" s="2" t="s">
        <v>2023</v>
      </c>
      <c r="F258" s="4">
        <v>1742.91</v>
      </c>
      <c r="G258" s="5">
        <v>113.5</v>
      </c>
      <c r="H258" s="6">
        <v>15</v>
      </c>
      <c r="I258" s="2" t="s">
        <v>2118</v>
      </c>
    </row>
    <row r="259" spans="2:9" x14ac:dyDescent="0.3">
      <c r="B259" s="2" t="s">
        <v>265</v>
      </c>
      <c r="C259" s="3">
        <v>44539</v>
      </c>
      <c r="D259" s="2" t="s">
        <v>2011</v>
      </c>
      <c r="E259" s="2" t="s">
        <v>2108</v>
      </c>
      <c r="F259" s="4">
        <v>4625.66</v>
      </c>
      <c r="G259" s="5">
        <v>730.91</v>
      </c>
      <c r="H259" s="6">
        <v>5</v>
      </c>
      <c r="I259" s="2" t="s">
        <v>2117</v>
      </c>
    </row>
    <row r="260" spans="2:9" x14ac:dyDescent="0.3">
      <c r="B260" s="2" t="s">
        <v>266</v>
      </c>
      <c r="C260" s="3">
        <v>44237</v>
      </c>
      <c r="D260" s="2" t="s">
        <v>2010</v>
      </c>
      <c r="E260" s="2" t="s">
        <v>2029</v>
      </c>
      <c r="F260" s="4">
        <v>208.07</v>
      </c>
      <c r="G260" s="5">
        <v>118.2</v>
      </c>
      <c r="H260" s="6">
        <v>13</v>
      </c>
      <c r="I260" s="2" t="s">
        <v>2116</v>
      </c>
    </row>
    <row r="261" spans="2:9" x14ac:dyDescent="0.3">
      <c r="B261" s="2" t="s">
        <v>267</v>
      </c>
      <c r="C261" s="3">
        <v>44387</v>
      </c>
      <c r="D261" s="2" t="s">
        <v>2010</v>
      </c>
      <c r="E261" s="2" t="s">
        <v>2063</v>
      </c>
      <c r="F261" s="4">
        <v>2336.81</v>
      </c>
      <c r="G261" s="5">
        <v>269.72000000000003</v>
      </c>
      <c r="H261" s="6">
        <v>13</v>
      </c>
      <c r="I261" s="2" t="s">
        <v>2117</v>
      </c>
    </row>
    <row r="262" spans="2:9" x14ac:dyDescent="0.3">
      <c r="B262" s="2" t="s">
        <v>268</v>
      </c>
      <c r="C262" s="3">
        <v>44524</v>
      </c>
      <c r="D262" s="2" t="s">
        <v>2009</v>
      </c>
      <c r="E262" s="2" t="s">
        <v>2020</v>
      </c>
      <c r="F262" s="4">
        <v>1034.72</v>
      </c>
      <c r="G262" s="5">
        <v>707.18</v>
      </c>
      <c r="H262" s="6">
        <v>16</v>
      </c>
      <c r="I262" s="2" t="s">
        <v>2117</v>
      </c>
    </row>
    <row r="263" spans="2:9" x14ac:dyDescent="0.3">
      <c r="B263" s="2" t="s">
        <v>269</v>
      </c>
      <c r="C263" s="3">
        <v>44070</v>
      </c>
      <c r="D263" s="2" t="s">
        <v>2011</v>
      </c>
      <c r="E263" s="2" t="s">
        <v>2108</v>
      </c>
      <c r="F263" s="4">
        <v>4448.3500000000004</v>
      </c>
      <c r="G263" s="5">
        <v>293.64</v>
      </c>
      <c r="H263" s="6">
        <v>9</v>
      </c>
      <c r="I263" s="2" t="s">
        <v>2118</v>
      </c>
    </row>
    <row r="264" spans="2:9" x14ac:dyDescent="0.3">
      <c r="B264" s="2" t="s">
        <v>270</v>
      </c>
      <c r="C264" s="3">
        <v>45301</v>
      </c>
      <c r="D264" s="2" t="s">
        <v>2009</v>
      </c>
      <c r="E264" s="2" t="s">
        <v>2109</v>
      </c>
      <c r="F264" s="4">
        <v>4278.83</v>
      </c>
      <c r="G264" s="5">
        <v>132.79</v>
      </c>
      <c r="H264" s="6">
        <v>1</v>
      </c>
      <c r="I264" s="2" t="s">
        <v>2116</v>
      </c>
    </row>
    <row r="265" spans="2:9" x14ac:dyDescent="0.3">
      <c r="B265" s="2" t="s">
        <v>271</v>
      </c>
      <c r="C265" s="3">
        <v>44874</v>
      </c>
      <c r="D265" s="2" t="s">
        <v>2012</v>
      </c>
      <c r="E265" s="2" t="s">
        <v>2073</v>
      </c>
      <c r="F265" s="4">
        <v>2206.38</v>
      </c>
      <c r="G265" s="5">
        <v>726.65</v>
      </c>
      <c r="H265" s="6">
        <v>11</v>
      </c>
      <c r="I265" s="2" t="s">
        <v>2118</v>
      </c>
    </row>
    <row r="266" spans="2:9" x14ac:dyDescent="0.3">
      <c r="B266" s="2" t="s">
        <v>272</v>
      </c>
      <c r="C266" s="3">
        <v>44240</v>
      </c>
      <c r="D266" s="2" t="s">
        <v>2010</v>
      </c>
      <c r="E266" s="2" t="s">
        <v>2078</v>
      </c>
      <c r="F266" s="4">
        <v>1857.53</v>
      </c>
      <c r="G266" s="5">
        <v>709.24</v>
      </c>
      <c r="H266" s="6">
        <v>11</v>
      </c>
      <c r="I266" s="2" t="s">
        <v>2118</v>
      </c>
    </row>
    <row r="267" spans="2:9" x14ac:dyDescent="0.3">
      <c r="B267" s="2" t="s">
        <v>273</v>
      </c>
      <c r="C267" s="3">
        <v>44833</v>
      </c>
      <c r="D267" s="2" t="s">
        <v>2009</v>
      </c>
      <c r="E267" s="2" t="s">
        <v>2076</v>
      </c>
      <c r="F267" s="4">
        <v>374.76</v>
      </c>
      <c r="G267" s="5">
        <v>449.9</v>
      </c>
      <c r="H267" s="6">
        <v>12</v>
      </c>
      <c r="I267" s="2" t="s">
        <v>2117</v>
      </c>
    </row>
    <row r="268" spans="2:9" x14ac:dyDescent="0.3">
      <c r="B268" s="2" t="s">
        <v>274</v>
      </c>
      <c r="C268" s="3">
        <v>45537</v>
      </c>
      <c r="D268" s="2" t="s">
        <v>2011</v>
      </c>
      <c r="E268" s="2" t="s">
        <v>2033</v>
      </c>
      <c r="F268" s="4">
        <v>2907.82</v>
      </c>
      <c r="G268" s="5">
        <v>97.3</v>
      </c>
      <c r="H268" s="6">
        <v>18</v>
      </c>
      <c r="I268" s="2" t="s">
        <v>2117</v>
      </c>
    </row>
    <row r="269" spans="2:9" x14ac:dyDescent="0.3">
      <c r="B269" s="2" t="s">
        <v>275</v>
      </c>
      <c r="C269" s="3">
        <v>44891</v>
      </c>
      <c r="D269" s="2" t="s">
        <v>2010</v>
      </c>
      <c r="E269" s="2" t="s">
        <v>2019</v>
      </c>
      <c r="F269" s="4">
        <v>3030.5</v>
      </c>
      <c r="G269" s="5">
        <v>819.67</v>
      </c>
      <c r="H269" s="6">
        <v>5</v>
      </c>
      <c r="I269" s="2" t="s">
        <v>2117</v>
      </c>
    </row>
    <row r="270" spans="2:9" x14ac:dyDescent="0.3">
      <c r="B270" s="2" t="s">
        <v>276</v>
      </c>
      <c r="C270" s="3">
        <v>44915</v>
      </c>
      <c r="D270" s="2" t="s">
        <v>2011</v>
      </c>
      <c r="E270" s="2" t="s">
        <v>2028</v>
      </c>
      <c r="F270" s="4">
        <v>2975.88</v>
      </c>
      <c r="G270" s="5">
        <v>104.55</v>
      </c>
      <c r="H270" s="6">
        <v>13</v>
      </c>
      <c r="I270" s="2" t="s">
        <v>2116</v>
      </c>
    </row>
    <row r="271" spans="2:9" x14ac:dyDescent="0.3">
      <c r="B271" s="2" t="s">
        <v>277</v>
      </c>
      <c r="C271" s="3">
        <v>44607</v>
      </c>
      <c r="D271" s="2" t="s">
        <v>2010</v>
      </c>
      <c r="E271" s="2" t="s">
        <v>2108</v>
      </c>
      <c r="F271" s="4">
        <v>975.96</v>
      </c>
      <c r="G271" s="5">
        <v>58.55</v>
      </c>
      <c r="H271" s="6">
        <v>13</v>
      </c>
      <c r="I271" s="2" t="s">
        <v>2116</v>
      </c>
    </row>
    <row r="272" spans="2:9" x14ac:dyDescent="0.3">
      <c r="B272" s="2" t="s">
        <v>278</v>
      </c>
      <c r="C272" s="3">
        <v>45074</v>
      </c>
      <c r="D272" s="2" t="s">
        <v>2012</v>
      </c>
      <c r="E272" s="2" t="s">
        <v>2030</v>
      </c>
      <c r="F272" s="4">
        <v>4829.88</v>
      </c>
      <c r="G272" s="5">
        <v>323.13</v>
      </c>
      <c r="H272" s="6">
        <v>12</v>
      </c>
      <c r="I272" s="2" t="s">
        <v>2116</v>
      </c>
    </row>
    <row r="273" spans="2:9" x14ac:dyDescent="0.3">
      <c r="B273" s="2" t="s">
        <v>279</v>
      </c>
      <c r="C273" s="3">
        <v>45096</v>
      </c>
      <c r="D273" s="2" t="s">
        <v>2011</v>
      </c>
      <c r="E273" s="2" t="s">
        <v>2099</v>
      </c>
      <c r="F273" s="4">
        <v>2381.59</v>
      </c>
      <c r="G273" s="5">
        <v>344.28</v>
      </c>
      <c r="H273" s="6">
        <v>17</v>
      </c>
      <c r="I273" s="2" t="s">
        <v>2117</v>
      </c>
    </row>
    <row r="274" spans="2:9" x14ac:dyDescent="0.3">
      <c r="B274" s="2" t="s">
        <v>280</v>
      </c>
      <c r="C274" s="3">
        <v>44296</v>
      </c>
      <c r="D274" s="2" t="s">
        <v>2011</v>
      </c>
      <c r="E274" s="2" t="s">
        <v>2076</v>
      </c>
      <c r="F274" s="4">
        <v>2946.15</v>
      </c>
      <c r="G274" s="5">
        <v>579.08000000000004</v>
      </c>
      <c r="H274" s="6">
        <v>9</v>
      </c>
      <c r="I274" s="2" t="s">
        <v>2116</v>
      </c>
    </row>
    <row r="275" spans="2:9" x14ac:dyDescent="0.3">
      <c r="B275" s="2" t="s">
        <v>281</v>
      </c>
      <c r="C275" s="3">
        <v>44299</v>
      </c>
      <c r="D275" s="2" t="s">
        <v>2009</v>
      </c>
      <c r="E275" s="2" t="s">
        <v>2048</v>
      </c>
      <c r="F275" s="4">
        <v>2381.96</v>
      </c>
      <c r="G275" s="5">
        <v>108.9</v>
      </c>
      <c r="H275" s="6">
        <v>3</v>
      </c>
      <c r="I275" s="2" t="s">
        <v>2118</v>
      </c>
    </row>
    <row r="276" spans="2:9" x14ac:dyDescent="0.3">
      <c r="B276" s="2" t="s">
        <v>282</v>
      </c>
      <c r="C276" s="3">
        <v>44202</v>
      </c>
      <c r="D276" s="2" t="s">
        <v>2009</v>
      </c>
      <c r="E276" s="2" t="s">
        <v>2060</v>
      </c>
      <c r="F276" s="4">
        <v>3786.62</v>
      </c>
      <c r="G276" s="5">
        <v>929.37</v>
      </c>
      <c r="H276" s="6">
        <v>5</v>
      </c>
      <c r="I276" s="2" t="s">
        <v>2116</v>
      </c>
    </row>
    <row r="277" spans="2:9" x14ac:dyDescent="0.3">
      <c r="B277" s="2" t="s">
        <v>283</v>
      </c>
      <c r="C277" s="3">
        <v>44741</v>
      </c>
      <c r="D277" s="2" t="s">
        <v>2009</v>
      </c>
      <c r="E277" s="2" t="s">
        <v>2059</v>
      </c>
      <c r="F277" s="4">
        <v>2080.19</v>
      </c>
      <c r="G277" s="5">
        <v>611.33000000000004</v>
      </c>
      <c r="H277" s="6">
        <v>20</v>
      </c>
      <c r="I277" s="2" t="s">
        <v>2118</v>
      </c>
    </row>
    <row r="278" spans="2:9" x14ac:dyDescent="0.3">
      <c r="B278" s="2" t="s">
        <v>284</v>
      </c>
      <c r="C278" s="3">
        <v>45447</v>
      </c>
      <c r="D278" s="2" t="s">
        <v>2010</v>
      </c>
      <c r="E278" s="2" t="s">
        <v>2020</v>
      </c>
      <c r="F278" s="4">
        <v>1729.18</v>
      </c>
      <c r="G278" s="5">
        <v>848.36</v>
      </c>
      <c r="H278" s="6">
        <v>1</v>
      </c>
      <c r="I278" s="2" t="s">
        <v>2116</v>
      </c>
    </row>
    <row r="279" spans="2:9" x14ac:dyDescent="0.3">
      <c r="B279" s="2" t="s">
        <v>285</v>
      </c>
      <c r="C279" s="3">
        <v>45438</v>
      </c>
      <c r="D279" s="2" t="s">
        <v>2009</v>
      </c>
      <c r="E279" s="2" t="s">
        <v>2096</v>
      </c>
      <c r="F279" s="4">
        <v>1770.48</v>
      </c>
      <c r="G279" s="5">
        <v>348.13</v>
      </c>
      <c r="H279" s="6">
        <v>19</v>
      </c>
      <c r="I279" s="2" t="s">
        <v>2116</v>
      </c>
    </row>
    <row r="280" spans="2:9" x14ac:dyDescent="0.3">
      <c r="B280" s="2" t="s">
        <v>286</v>
      </c>
      <c r="C280" s="3">
        <v>44752</v>
      </c>
      <c r="D280" s="2" t="s">
        <v>2009</v>
      </c>
      <c r="E280" s="2" t="s">
        <v>2058</v>
      </c>
      <c r="F280" s="4">
        <v>959.66</v>
      </c>
      <c r="G280" s="5">
        <v>310.31</v>
      </c>
      <c r="H280" s="6">
        <v>11</v>
      </c>
      <c r="I280" s="2" t="s">
        <v>2116</v>
      </c>
    </row>
    <row r="281" spans="2:9" x14ac:dyDescent="0.3">
      <c r="B281" s="2" t="s">
        <v>287</v>
      </c>
      <c r="C281" s="3">
        <v>44632</v>
      </c>
      <c r="D281" s="2" t="s">
        <v>2010</v>
      </c>
      <c r="E281" s="2" t="s">
        <v>2076</v>
      </c>
      <c r="F281" s="4">
        <v>4244.46</v>
      </c>
      <c r="G281" s="5">
        <v>886.05</v>
      </c>
      <c r="H281" s="6">
        <v>16</v>
      </c>
      <c r="I281" s="2" t="s">
        <v>2116</v>
      </c>
    </row>
    <row r="282" spans="2:9" x14ac:dyDescent="0.3">
      <c r="B282" s="2" t="s">
        <v>288</v>
      </c>
      <c r="C282" s="3">
        <v>44476</v>
      </c>
      <c r="D282" s="2" t="s">
        <v>2010</v>
      </c>
      <c r="E282" s="2" t="s">
        <v>2041</v>
      </c>
      <c r="F282" s="4">
        <v>1611.46</v>
      </c>
      <c r="G282" s="5">
        <v>647.09</v>
      </c>
      <c r="H282" s="6">
        <v>10</v>
      </c>
      <c r="I282" s="2" t="s">
        <v>2118</v>
      </c>
    </row>
    <row r="283" spans="2:9" x14ac:dyDescent="0.3">
      <c r="B283" s="2" t="s">
        <v>289</v>
      </c>
      <c r="C283" s="3">
        <v>43847</v>
      </c>
      <c r="D283" s="2" t="s">
        <v>2011</v>
      </c>
      <c r="E283" s="2" t="s">
        <v>2048</v>
      </c>
      <c r="F283" s="4">
        <v>2897.92</v>
      </c>
      <c r="G283" s="5">
        <v>759.52</v>
      </c>
      <c r="H283" s="6">
        <v>11</v>
      </c>
      <c r="I283" s="2" t="s">
        <v>2117</v>
      </c>
    </row>
    <row r="284" spans="2:9" x14ac:dyDescent="0.3">
      <c r="B284" s="2" t="s">
        <v>290</v>
      </c>
      <c r="C284" s="3">
        <v>44397</v>
      </c>
      <c r="D284" s="2" t="s">
        <v>2011</v>
      </c>
      <c r="E284" s="2" t="s">
        <v>2079</v>
      </c>
      <c r="F284" s="4">
        <v>3869.56</v>
      </c>
      <c r="G284" s="5">
        <v>590.41</v>
      </c>
      <c r="H284" s="6">
        <v>15</v>
      </c>
      <c r="I284" s="2" t="s">
        <v>2117</v>
      </c>
    </row>
    <row r="285" spans="2:9" x14ac:dyDescent="0.3">
      <c r="B285" s="2" t="s">
        <v>291</v>
      </c>
      <c r="C285" s="3">
        <v>45599</v>
      </c>
      <c r="D285" s="2" t="s">
        <v>2010</v>
      </c>
      <c r="E285" s="2" t="s">
        <v>2103</v>
      </c>
      <c r="F285" s="4">
        <v>2597.4499999999998</v>
      </c>
      <c r="G285" s="5">
        <v>132.04</v>
      </c>
      <c r="H285" s="6">
        <v>6</v>
      </c>
      <c r="I285" s="2" t="s">
        <v>2118</v>
      </c>
    </row>
    <row r="286" spans="2:9" x14ac:dyDescent="0.3">
      <c r="B286" s="2" t="s">
        <v>292</v>
      </c>
      <c r="C286" s="3">
        <v>44506</v>
      </c>
      <c r="D286" s="2" t="s">
        <v>2010</v>
      </c>
      <c r="E286" s="2" t="s">
        <v>2032</v>
      </c>
      <c r="F286" s="4">
        <v>3104.07</v>
      </c>
      <c r="G286" s="5">
        <v>288.82</v>
      </c>
      <c r="H286" s="6">
        <v>19</v>
      </c>
      <c r="I286" s="2" t="s">
        <v>2117</v>
      </c>
    </row>
    <row r="287" spans="2:9" x14ac:dyDescent="0.3">
      <c r="B287" s="2" t="s">
        <v>293</v>
      </c>
      <c r="C287" s="3">
        <v>43926</v>
      </c>
      <c r="D287" s="2" t="s">
        <v>2012</v>
      </c>
      <c r="E287" s="2" t="s">
        <v>2035</v>
      </c>
      <c r="F287" s="4">
        <v>3568.66</v>
      </c>
      <c r="G287" s="5">
        <v>51.16</v>
      </c>
      <c r="H287" s="6">
        <v>20</v>
      </c>
      <c r="I287" s="2" t="s">
        <v>2117</v>
      </c>
    </row>
    <row r="288" spans="2:9" x14ac:dyDescent="0.3">
      <c r="B288" s="2" t="s">
        <v>294</v>
      </c>
      <c r="C288" s="3">
        <v>44780</v>
      </c>
      <c r="D288" s="2" t="s">
        <v>2012</v>
      </c>
      <c r="E288" s="2" t="s">
        <v>2050</v>
      </c>
      <c r="F288" s="4">
        <v>3320.43</v>
      </c>
      <c r="G288" s="5">
        <v>501.14</v>
      </c>
      <c r="H288" s="6">
        <v>16</v>
      </c>
      <c r="I288" s="2" t="s">
        <v>2118</v>
      </c>
    </row>
    <row r="289" spans="2:9" x14ac:dyDescent="0.3">
      <c r="B289" s="2" t="s">
        <v>295</v>
      </c>
      <c r="C289" s="3">
        <v>43902</v>
      </c>
      <c r="D289" s="2" t="s">
        <v>2009</v>
      </c>
      <c r="E289" s="2" t="s">
        <v>2032</v>
      </c>
      <c r="F289" s="4">
        <v>1507.41</v>
      </c>
      <c r="G289" s="5">
        <v>364.91</v>
      </c>
      <c r="H289" s="6">
        <v>2</v>
      </c>
      <c r="I289" s="2" t="s">
        <v>2118</v>
      </c>
    </row>
    <row r="290" spans="2:9" x14ac:dyDescent="0.3">
      <c r="B290" s="2" t="s">
        <v>296</v>
      </c>
      <c r="C290" s="3">
        <v>44337</v>
      </c>
      <c r="D290" s="2" t="s">
        <v>2011</v>
      </c>
      <c r="E290" s="2" t="s">
        <v>2074</v>
      </c>
      <c r="F290" s="4">
        <v>2279.36</v>
      </c>
      <c r="G290" s="5">
        <v>988.67</v>
      </c>
      <c r="H290" s="6">
        <v>4</v>
      </c>
      <c r="I290" s="2" t="s">
        <v>2117</v>
      </c>
    </row>
    <row r="291" spans="2:9" x14ac:dyDescent="0.3">
      <c r="B291" s="2" t="s">
        <v>297</v>
      </c>
      <c r="C291" s="3">
        <v>44102</v>
      </c>
      <c r="D291" s="2" t="s">
        <v>2011</v>
      </c>
      <c r="E291" s="2" t="s">
        <v>2074</v>
      </c>
      <c r="F291" s="4">
        <v>3522.69</v>
      </c>
      <c r="G291" s="5">
        <v>849.8</v>
      </c>
      <c r="H291" s="6">
        <v>19</v>
      </c>
      <c r="I291" s="2" t="s">
        <v>2118</v>
      </c>
    </row>
    <row r="292" spans="2:9" x14ac:dyDescent="0.3">
      <c r="B292" s="2" t="s">
        <v>298</v>
      </c>
      <c r="C292" s="3">
        <v>44945</v>
      </c>
      <c r="D292" s="2" t="s">
        <v>2009</v>
      </c>
      <c r="E292" s="2" t="s">
        <v>2046</v>
      </c>
      <c r="F292" s="4">
        <v>1447.06</v>
      </c>
      <c r="G292" s="5">
        <v>44.63</v>
      </c>
      <c r="H292" s="6">
        <v>8</v>
      </c>
      <c r="I292" s="2" t="s">
        <v>2116</v>
      </c>
    </row>
    <row r="293" spans="2:9" x14ac:dyDescent="0.3">
      <c r="B293" s="2" t="s">
        <v>299</v>
      </c>
      <c r="C293" s="3">
        <v>45483</v>
      </c>
      <c r="D293" s="2" t="s">
        <v>2011</v>
      </c>
      <c r="E293" s="2" t="s">
        <v>2047</v>
      </c>
      <c r="F293" s="4">
        <v>1151.1600000000001</v>
      </c>
      <c r="G293" s="5">
        <v>897.58</v>
      </c>
      <c r="H293" s="6">
        <v>1</v>
      </c>
      <c r="I293" s="2" t="s">
        <v>2118</v>
      </c>
    </row>
    <row r="294" spans="2:9" x14ac:dyDescent="0.3">
      <c r="B294" s="2" t="s">
        <v>300</v>
      </c>
      <c r="C294" s="3">
        <v>44955</v>
      </c>
      <c r="D294" s="2" t="s">
        <v>2009</v>
      </c>
      <c r="E294" s="2" t="s">
        <v>2065</v>
      </c>
      <c r="F294" s="4">
        <v>1137.24</v>
      </c>
      <c r="G294" s="5">
        <v>539.82000000000005</v>
      </c>
      <c r="H294" s="6">
        <v>4</v>
      </c>
      <c r="I294" s="2" t="s">
        <v>2118</v>
      </c>
    </row>
    <row r="295" spans="2:9" x14ac:dyDescent="0.3">
      <c r="B295" s="2" t="s">
        <v>301</v>
      </c>
      <c r="C295" s="3">
        <v>45465</v>
      </c>
      <c r="D295" s="2" t="s">
        <v>2010</v>
      </c>
      <c r="E295" s="2" t="s">
        <v>2110</v>
      </c>
      <c r="F295" s="4">
        <v>4915.12</v>
      </c>
      <c r="G295" s="5">
        <v>561.09</v>
      </c>
      <c r="H295" s="6">
        <v>3</v>
      </c>
      <c r="I295" s="2" t="s">
        <v>2117</v>
      </c>
    </row>
    <row r="296" spans="2:9" x14ac:dyDescent="0.3">
      <c r="B296" s="2" t="s">
        <v>302</v>
      </c>
      <c r="C296" s="3">
        <v>45594</v>
      </c>
      <c r="D296" s="2" t="s">
        <v>2012</v>
      </c>
      <c r="E296" s="2" t="s">
        <v>2029</v>
      </c>
      <c r="F296" s="4">
        <v>4443.51</v>
      </c>
      <c r="G296" s="5">
        <v>674.62</v>
      </c>
      <c r="H296" s="6">
        <v>6</v>
      </c>
      <c r="I296" s="2" t="s">
        <v>2116</v>
      </c>
    </row>
    <row r="297" spans="2:9" x14ac:dyDescent="0.3">
      <c r="B297" s="2" t="s">
        <v>303</v>
      </c>
      <c r="C297" s="3">
        <v>44430</v>
      </c>
      <c r="D297" s="2" t="s">
        <v>2012</v>
      </c>
      <c r="E297" s="2" t="s">
        <v>2032</v>
      </c>
      <c r="F297" s="4">
        <v>4448.24</v>
      </c>
      <c r="G297" s="5">
        <v>153.33000000000001</v>
      </c>
      <c r="H297" s="6">
        <v>12</v>
      </c>
      <c r="I297" s="2" t="s">
        <v>2117</v>
      </c>
    </row>
    <row r="298" spans="2:9" x14ac:dyDescent="0.3">
      <c r="B298" s="2" t="s">
        <v>304</v>
      </c>
      <c r="C298" s="3">
        <v>43940</v>
      </c>
      <c r="D298" s="2" t="s">
        <v>2011</v>
      </c>
      <c r="E298" s="2" t="s">
        <v>2050</v>
      </c>
      <c r="F298" s="4">
        <v>3052.1</v>
      </c>
      <c r="G298" s="5">
        <v>484.7</v>
      </c>
      <c r="H298" s="6">
        <v>16</v>
      </c>
      <c r="I298" s="2" t="s">
        <v>2118</v>
      </c>
    </row>
    <row r="299" spans="2:9" x14ac:dyDescent="0.3">
      <c r="B299" s="2" t="s">
        <v>305</v>
      </c>
      <c r="C299" s="3">
        <v>43989</v>
      </c>
      <c r="D299" s="2" t="s">
        <v>2012</v>
      </c>
      <c r="E299" s="2" t="s">
        <v>2091</v>
      </c>
      <c r="F299" s="4">
        <v>4335.13</v>
      </c>
      <c r="G299" s="5">
        <v>865.32</v>
      </c>
      <c r="H299" s="6">
        <v>20</v>
      </c>
      <c r="I299" s="2" t="s">
        <v>2117</v>
      </c>
    </row>
    <row r="300" spans="2:9" x14ac:dyDescent="0.3">
      <c r="B300" s="2" t="s">
        <v>306</v>
      </c>
      <c r="C300" s="3">
        <v>45520</v>
      </c>
      <c r="D300" s="2" t="s">
        <v>2011</v>
      </c>
      <c r="E300" s="2" t="s">
        <v>2033</v>
      </c>
      <c r="F300" s="4">
        <v>1206.3800000000001</v>
      </c>
      <c r="G300" s="5">
        <v>488.48</v>
      </c>
      <c r="H300" s="6">
        <v>1</v>
      </c>
      <c r="I300" s="2" t="s">
        <v>2116</v>
      </c>
    </row>
    <row r="301" spans="2:9" x14ac:dyDescent="0.3">
      <c r="B301" s="2" t="s">
        <v>307</v>
      </c>
      <c r="C301" s="3">
        <v>44599</v>
      </c>
      <c r="D301" s="2" t="s">
        <v>2009</v>
      </c>
      <c r="E301" s="2" t="s">
        <v>2037</v>
      </c>
      <c r="F301" s="4">
        <v>1014.16</v>
      </c>
      <c r="G301" s="5">
        <v>911.24</v>
      </c>
      <c r="H301" s="6">
        <v>18</v>
      </c>
      <c r="I301" s="2" t="s">
        <v>2118</v>
      </c>
    </row>
    <row r="302" spans="2:9" x14ac:dyDescent="0.3">
      <c r="B302" s="2" t="s">
        <v>308</v>
      </c>
      <c r="C302" s="3">
        <v>44441</v>
      </c>
      <c r="D302" s="2" t="s">
        <v>2010</v>
      </c>
      <c r="E302" s="2" t="s">
        <v>2044</v>
      </c>
      <c r="F302" s="4">
        <v>1212.1099999999999</v>
      </c>
      <c r="G302" s="5">
        <v>107.62</v>
      </c>
      <c r="H302" s="6">
        <v>16</v>
      </c>
      <c r="I302" s="2" t="s">
        <v>2116</v>
      </c>
    </row>
    <row r="303" spans="2:9" x14ac:dyDescent="0.3">
      <c r="B303" s="2" t="s">
        <v>309</v>
      </c>
      <c r="C303" s="3">
        <v>44960</v>
      </c>
      <c r="D303" s="2" t="s">
        <v>2009</v>
      </c>
      <c r="E303" s="2" t="s">
        <v>2055</v>
      </c>
      <c r="F303" s="4">
        <v>4291.43</v>
      </c>
      <c r="G303" s="5">
        <v>921.26</v>
      </c>
      <c r="H303" s="6">
        <v>14</v>
      </c>
      <c r="I303" s="2" t="s">
        <v>2116</v>
      </c>
    </row>
    <row r="304" spans="2:9" x14ac:dyDescent="0.3">
      <c r="B304" s="2" t="s">
        <v>310</v>
      </c>
      <c r="C304" s="3">
        <v>44022</v>
      </c>
      <c r="D304" s="2" t="s">
        <v>2010</v>
      </c>
      <c r="E304" s="2" t="s">
        <v>2104</v>
      </c>
      <c r="F304" s="4">
        <v>3870.83</v>
      </c>
      <c r="G304" s="5">
        <v>632.41</v>
      </c>
      <c r="H304" s="6">
        <v>8</v>
      </c>
      <c r="I304" s="2" t="s">
        <v>2118</v>
      </c>
    </row>
    <row r="305" spans="2:9" x14ac:dyDescent="0.3">
      <c r="B305" s="2" t="s">
        <v>311</v>
      </c>
      <c r="C305" s="3">
        <v>44346</v>
      </c>
      <c r="D305" s="2" t="s">
        <v>2009</v>
      </c>
      <c r="E305" s="2" t="s">
        <v>2085</v>
      </c>
      <c r="F305" s="4">
        <v>4744.76</v>
      </c>
      <c r="G305" s="5">
        <v>149.13999999999999</v>
      </c>
      <c r="H305" s="6">
        <v>15</v>
      </c>
      <c r="I305" s="2" t="s">
        <v>2117</v>
      </c>
    </row>
    <row r="306" spans="2:9" x14ac:dyDescent="0.3">
      <c r="B306" s="2" t="s">
        <v>312</v>
      </c>
      <c r="C306" s="3">
        <v>44839</v>
      </c>
      <c r="D306" s="2" t="s">
        <v>2012</v>
      </c>
      <c r="E306" s="2" t="s">
        <v>2043</v>
      </c>
      <c r="F306" s="4">
        <v>3780.24</v>
      </c>
      <c r="G306" s="5">
        <v>942.18</v>
      </c>
      <c r="H306" s="6">
        <v>13</v>
      </c>
      <c r="I306" s="2" t="s">
        <v>2118</v>
      </c>
    </row>
    <row r="307" spans="2:9" x14ac:dyDescent="0.3">
      <c r="B307" s="2" t="s">
        <v>313</v>
      </c>
      <c r="C307" s="3">
        <v>44595</v>
      </c>
      <c r="D307" s="2" t="s">
        <v>2010</v>
      </c>
      <c r="E307" s="2" t="s">
        <v>2016</v>
      </c>
      <c r="F307" s="4">
        <v>3927.77</v>
      </c>
      <c r="G307" s="5">
        <v>382.61</v>
      </c>
      <c r="H307" s="6">
        <v>1</v>
      </c>
      <c r="I307" s="2" t="s">
        <v>2117</v>
      </c>
    </row>
    <row r="308" spans="2:9" x14ac:dyDescent="0.3">
      <c r="B308" s="2" t="s">
        <v>314</v>
      </c>
      <c r="C308" s="3">
        <v>44880</v>
      </c>
      <c r="D308" s="2" t="s">
        <v>2011</v>
      </c>
      <c r="E308" s="2" t="s">
        <v>2091</v>
      </c>
      <c r="F308" s="4">
        <v>4454.7</v>
      </c>
      <c r="G308" s="5">
        <v>719.06</v>
      </c>
      <c r="H308" s="6">
        <v>4</v>
      </c>
      <c r="I308" s="2" t="s">
        <v>2118</v>
      </c>
    </row>
    <row r="309" spans="2:9" x14ac:dyDescent="0.3">
      <c r="B309" s="2" t="s">
        <v>315</v>
      </c>
      <c r="C309" s="3">
        <v>44754</v>
      </c>
      <c r="D309" s="2" t="s">
        <v>2009</v>
      </c>
      <c r="E309" s="2" t="s">
        <v>2041</v>
      </c>
      <c r="F309" s="4">
        <v>1731.35</v>
      </c>
      <c r="G309" s="5">
        <v>605.89</v>
      </c>
      <c r="H309" s="6">
        <v>6</v>
      </c>
      <c r="I309" s="2" t="s">
        <v>2117</v>
      </c>
    </row>
    <row r="310" spans="2:9" x14ac:dyDescent="0.3">
      <c r="B310" s="2" t="s">
        <v>316</v>
      </c>
      <c r="C310" s="3">
        <v>44234</v>
      </c>
      <c r="D310" s="2" t="s">
        <v>2010</v>
      </c>
      <c r="E310" s="2" t="s">
        <v>2072</v>
      </c>
      <c r="F310" s="4">
        <v>3680.89</v>
      </c>
      <c r="G310" s="5">
        <v>728.02</v>
      </c>
      <c r="H310" s="6">
        <v>5</v>
      </c>
      <c r="I310" s="2" t="s">
        <v>2118</v>
      </c>
    </row>
    <row r="311" spans="2:9" x14ac:dyDescent="0.3">
      <c r="B311" s="2" t="s">
        <v>317</v>
      </c>
      <c r="C311" s="3">
        <v>44139</v>
      </c>
      <c r="D311" s="2" t="s">
        <v>2009</v>
      </c>
      <c r="E311" s="2" t="s">
        <v>2063</v>
      </c>
      <c r="F311" s="4">
        <v>1266.23</v>
      </c>
      <c r="G311" s="5">
        <v>201.2</v>
      </c>
      <c r="H311" s="6">
        <v>6</v>
      </c>
      <c r="I311" s="2" t="s">
        <v>2118</v>
      </c>
    </row>
    <row r="312" spans="2:9" x14ac:dyDescent="0.3">
      <c r="B312" s="2" t="s">
        <v>318</v>
      </c>
      <c r="C312" s="3">
        <v>44038</v>
      </c>
      <c r="D312" s="2" t="s">
        <v>2009</v>
      </c>
      <c r="E312" s="2" t="s">
        <v>2077</v>
      </c>
      <c r="F312" s="4">
        <v>1031.3699999999999</v>
      </c>
      <c r="G312" s="5">
        <v>958.63</v>
      </c>
      <c r="H312" s="6">
        <v>9</v>
      </c>
      <c r="I312" s="2" t="s">
        <v>2118</v>
      </c>
    </row>
    <row r="313" spans="2:9" x14ac:dyDescent="0.3">
      <c r="B313" s="2" t="s">
        <v>319</v>
      </c>
      <c r="C313" s="3">
        <v>45463</v>
      </c>
      <c r="D313" s="2" t="s">
        <v>2012</v>
      </c>
      <c r="E313" s="2" t="s">
        <v>2038</v>
      </c>
      <c r="F313" s="4">
        <v>1351.78</v>
      </c>
      <c r="G313" s="5">
        <v>893.71</v>
      </c>
      <c r="H313" s="6">
        <v>8</v>
      </c>
      <c r="I313" s="2" t="s">
        <v>2116</v>
      </c>
    </row>
    <row r="314" spans="2:9" x14ac:dyDescent="0.3">
      <c r="B314" s="2" t="s">
        <v>320</v>
      </c>
      <c r="C314" s="3">
        <v>44270</v>
      </c>
      <c r="D314" s="2" t="s">
        <v>2009</v>
      </c>
      <c r="E314" s="2" t="s">
        <v>2047</v>
      </c>
      <c r="F314" s="4">
        <v>2247.94</v>
      </c>
      <c r="G314" s="5">
        <v>32.93</v>
      </c>
      <c r="H314" s="6">
        <v>16</v>
      </c>
      <c r="I314" s="2" t="s">
        <v>2117</v>
      </c>
    </row>
    <row r="315" spans="2:9" x14ac:dyDescent="0.3">
      <c r="B315" s="2" t="s">
        <v>321</v>
      </c>
      <c r="C315" s="3">
        <v>44719</v>
      </c>
      <c r="D315" s="2" t="s">
        <v>2010</v>
      </c>
      <c r="E315" s="2" t="s">
        <v>2051</v>
      </c>
      <c r="F315" s="4">
        <v>4541.62</v>
      </c>
      <c r="G315" s="5">
        <v>296.86</v>
      </c>
      <c r="H315" s="6">
        <v>12</v>
      </c>
      <c r="I315" s="2" t="s">
        <v>2117</v>
      </c>
    </row>
    <row r="316" spans="2:9" x14ac:dyDescent="0.3">
      <c r="B316" s="2" t="s">
        <v>322</v>
      </c>
      <c r="C316" s="3">
        <v>45233</v>
      </c>
      <c r="D316" s="2" t="s">
        <v>2012</v>
      </c>
      <c r="E316" s="2" t="s">
        <v>2101</v>
      </c>
      <c r="F316" s="4">
        <v>1877.04</v>
      </c>
      <c r="G316" s="5">
        <v>870.81</v>
      </c>
      <c r="H316" s="6">
        <v>14</v>
      </c>
      <c r="I316" s="2" t="s">
        <v>2116</v>
      </c>
    </row>
    <row r="317" spans="2:9" x14ac:dyDescent="0.3">
      <c r="B317" s="2" t="s">
        <v>323</v>
      </c>
      <c r="C317" s="3">
        <v>44362</v>
      </c>
      <c r="D317" s="2" t="s">
        <v>2010</v>
      </c>
      <c r="E317" s="2" t="s">
        <v>2035</v>
      </c>
      <c r="F317" s="4">
        <v>1824.4</v>
      </c>
      <c r="G317" s="5">
        <v>444.52</v>
      </c>
      <c r="H317" s="6">
        <v>5</v>
      </c>
      <c r="I317" s="2" t="s">
        <v>2118</v>
      </c>
    </row>
    <row r="318" spans="2:9" x14ac:dyDescent="0.3">
      <c r="B318" s="2" t="s">
        <v>324</v>
      </c>
      <c r="C318" s="3">
        <v>45128</v>
      </c>
      <c r="D318" s="2" t="s">
        <v>2009</v>
      </c>
      <c r="E318" s="2" t="s">
        <v>2015</v>
      </c>
      <c r="F318" s="4">
        <v>4587.0200000000004</v>
      </c>
      <c r="G318" s="5">
        <v>552.70000000000005</v>
      </c>
      <c r="H318" s="6">
        <v>12</v>
      </c>
      <c r="I318" s="2" t="s">
        <v>2116</v>
      </c>
    </row>
    <row r="319" spans="2:9" x14ac:dyDescent="0.3">
      <c r="B319" s="2" t="s">
        <v>325</v>
      </c>
      <c r="C319" s="3">
        <v>45306</v>
      </c>
      <c r="D319" s="2" t="s">
        <v>2010</v>
      </c>
      <c r="E319" s="2" t="s">
        <v>2074</v>
      </c>
      <c r="F319" s="4">
        <v>3932.15</v>
      </c>
      <c r="G319" s="5">
        <v>443.58</v>
      </c>
      <c r="H319" s="6">
        <v>18</v>
      </c>
      <c r="I319" s="2" t="s">
        <v>2117</v>
      </c>
    </row>
    <row r="320" spans="2:9" x14ac:dyDescent="0.3">
      <c r="B320" s="2" t="s">
        <v>326</v>
      </c>
      <c r="C320" s="3">
        <v>44883</v>
      </c>
      <c r="D320" s="2" t="s">
        <v>2010</v>
      </c>
      <c r="E320" s="2" t="s">
        <v>2091</v>
      </c>
      <c r="F320" s="4">
        <v>4720.57</v>
      </c>
      <c r="G320" s="5">
        <v>817.31</v>
      </c>
      <c r="H320" s="6">
        <v>15</v>
      </c>
      <c r="I320" s="2" t="s">
        <v>2116</v>
      </c>
    </row>
    <row r="321" spans="2:9" x14ac:dyDescent="0.3">
      <c r="B321" s="2" t="s">
        <v>327</v>
      </c>
      <c r="C321" s="3">
        <v>43892</v>
      </c>
      <c r="D321" s="2" t="s">
        <v>2009</v>
      </c>
      <c r="E321" s="2" t="s">
        <v>2049</v>
      </c>
      <c r="F321" s="4">
        <v>2678.08</v>
      </c>
      <c r="G321" s="5">
        <v>556.37</v>
      </c>
      <c r="H321" s="6">
        <v>5</v>
      </c>
      <c r="I321" s="2" t="s">
        <v>2116</v>
      </c>
    </row>
    <row r="322" spans="2:9" x14ac:dyDescent="0.3">
      <c r="B322" s="2" t="s">
        <v>328</v>
      </c>
      <c r="C322" s="3">
        <v>44225</v>
      </c>
      <c r="D322" s="2" t="s">
        <v>2010</v>
      </c>
      <c r="E322" s="2" t="s">
        <v>2071</v>
      </c>
      <c r="F322" s="4">
        <v>1245.0899999999999</v>
      </c>
      <c r="G322" s="5">
        <v>594.34</v>
      </c>
      <c r="H322" s="6">
        <v>15</v>
      </c>
      <c r="I322" s="2" t="s">
        <v>2118</v>
      </c>
    </row>
    <row r="323" spans="2:9" x14ac:dyDescent="0.3">
      <c r="B323" s="2" t="s">
        <v>329</v>
      </c>
      <c r="C323" s="3">
        <v>44408</v>
      </c>
      <c r="D323" s="2" t="s">
        <v>2010</v>
      </c>
      <c r="E323" s="2" t="s">
        <v>2044</v>
      </c>
      <c r="F323" s="4">
        <v>4433.8</v>
      </c>
      <c r="G323" s="5">
        <v>387.48</v>
      </c>
      <c r="H323" s="6">
        <v>13</v>
      </c>
      <c r="I323" s="2" t="s">
        <v>2116</v>
      </c>
    </row>
    <row r="324" spans="2:9" x14ac:dyDescent="0.3">
      <c r="B324" s="2" t="s">
        <v>330</v>
      </c>
      <c r="C324" s="3">
        <v>44532</v>
      </c>
      <c r="D324" s="2" t="s">
        <v>2011</v>
      </c>
      <c r="E324" s="2" t="s">
        <v>2036</v>
      </c>
      <c r="F324" s="4">
        <v>4752.07</v>
      </c>
      <c r="G324" s="5">
        <v>487.42</v>
      </c>
      <c r="H324" s="6">
        <v>16</v>
      </c>
      <c r="I324" s="2" t="s">
        <v>2116</v>
      </c>
    </row>
    <row r="325" spans="2:9" x14ac:dyDescent="0.3">
      <c r="B325" s="2" t="s">
        <v>331</v>
      </c>
      <c r="C325" s="3">
        <v>44889</v>
      </c>
      <c r="D325" s="2" t="s">
        <v>2010</v>
      </c>
      <c r="E325" s="2" t="s">
        <v>2096</v>
      </c>
      <c r="F325" s="4">
        <v>4901.09</v>
      </c>
      <c r="G325" s="5">
        <v>574.79999999999995</v>
      </c>
      <c r="H325" s="6">
        <v>8</v>
      </c>
      <c r="I325" s="2" t="s">
        <v>2116</v>
      </c>
    </row>
    <row r="326" spans="2:9" x14ac:dyDescent="0.3">
      <c r="B326" s="2" t="s">
        <v>332</v>
      </c>
      <c r="C326" s="3">
        <v>43855</v>
      </c>
      <c r="D326" s="2" t="s">
        <v>2010</v>
      </c>
      <c r="E326" s="2" t="s">
        <v>2103</v>
      </c>
      <c r="F326" s="4">
        <v>3312.37</v>
      </c>
      <c r="G326" s="5">
        <v>329.36</v>
      </c>
      <c r="H326" s="6">
        <v>18</v>
      </c>
      <c r="I326" s="2" t="s">
        <v>2116</v>
      </c>
    </row>
    <row r="327" spans="2:9" x14ac:dyDescent="0.3">
      <c r="B327" s="2" t="s">
        <v>333</v>
      </c>
      <c r="C327" s="3">
        <v>44867</v>
      </c>
      <c r="D327" s="2" t="s">
        <v>2011</v>
      </c>
      <c r="E327" s="2" t="s">
        <v>2039</v>
      </c>
      <c r="F327" s="4">
        <v>3781.22</v>
      </c>
      <c r="G327" s="5">
        <v>16.78</v>
      </c>
      <c r="H327" s="6">
        <v>14</v>
      </c>
      <c r="I327" s="2" t="s">
        <v>2116</v>
      </c>
    </row>
    <row r="328" spans="2:9" x14ac:dyDescent="0.3">
      <c r="B328" s="2" t="s">
        <v>334</v>
      </c>
      <c r="C328" s="3">
        <v>44395</v>
      </c>
      <c r="D328" s="2" t="s">
        <v>2009</v>
      </c>
      <c r="E328" s="2" t="s">
        <v>2092</v>
      </c>
      <c r="F328" s="4">
        <v>1133.1099999999999</v>
      </c>
      <c r="G328" s="5">
        <v>294.41000000000003</v>
      </c>
      <c r="H328" s="6">
        <v>17</v>
      </c>
      <c r="I328" s="2" t="s">
        <v>2116</v>
      </c>
    </row>
    <row r="329" spans="2:9" x14ac:dyDescent="0.3">
      <c r="B329" s="2" t="s">
        <v>335</v>
      </c>
      <c r="C329" s="3">
        <v>45414</v>
      </c>
      <c r="D329" s="2" t="s">
        <v>2009</v>
      </c>
      <c r="E329" s="2" t="s">
        <v>2045</v>
      </c>
      <c r="F329" s="4">
        <v>3078.43</v>
      </c>
      <c r="G329" s="5">
        <v>705.05</v>
      </c>
      <c r="H329" s="6">
        <v>13</v>
      </c>
      <c r="I329" s="2" t="s">
        <v>2116</v>
      </c>
    </row>
    <row r="330" spans="2:9" x14ac:dyDescent="0.3">
      <c r="B330" s="2" t="s">
        <v>336</v>
      </c>
      <c r="C330" s="3">
        <v>45515</v>
      </c>
      <c r="D330" s="2" t="s">
        <v>2009</v>
      </c>
      <c r="E330" s="2" t="s">
        <v>2092</v>
      </c>
      <c r="F330" s="4">
        <v>543.64</v>
      </c>
      <c r="G330" s="5">
        <v>680.84</v>
      </c>
      <c r="H330" s="6">
        <v>3</v>
      </c>
      <c r="I330" s="2" t="s">
        <v>2118</v>
      </c>
    </row>
    <row r="331" spans="2:9" x14ac:dyDescent="0.3">
      <c r="B331" s="2" t="s">
        <v>337</v>
      </c>
      <c r="C331" s="3">
        <v>44741</v>
      </c>
      <c r="D331" s="2" t="s">
        <v>2009</v>
      </c>
      <c r="E331" s="2" t="s">
        <v>2102</v>
      </c>
      <c r="F331" s="4">
        <v>1672.43</v>
      </c>
      <c r="G331" s="5">
        <v>538.29999999999995</v>
      </c>
      <c r="H331" s="6">
        <v>9</v>
      </c>
      <c r="I331" s="2" t="s">
        <v>2117</v>
      </c>
    </row>
    <row r="332" spans="2:9" x14ac:dyDescent="0.3">
      <c r="B332" s="2" t="s">
        <v>338</v>
      </c>
      <c r="C332" s="3">
        <v>44510</v>
      </c>
      <c r="D332" s="2" t="s">
        <v>2010</v>
      </c>
      <c r="E332" s="2" t="s">
        <v>2031</v>
      </c>
      <c r="F332" s="4">
        <v>2116.66</v>
      </c>
      <c r="G332" s="5">
        <v>56.45</v>
      </c>
      <c r="H332" s="6">
        <v>10</v>
      </c>
      <c r="I332" s="2" t="s">
        <v>2116</v>
      </c>
    </row>
    <row r="333" spans="2:9" x14ac:dyDescent="0.3">
      <c r="B333" s="2" t="s">
        <v>339</v>
      </c>
      <c r="C333" s="3">
        <v>44531</v>
      </c>
      <c r="D333" s="2" t="s">
        <v>2010</v>
      </c>
      <c r="E333" s="2" t="s">
        <v>2013</v>
      </c>
      <c r="F333" s="4">
        <v>858.11</v>
      </c>
      <c r="G333" s="5">
        <v>439.01</v>
      </c>
      <c r="H333" s="6">
        <v>17</v>
      </c>
      <c r="I333" s="2" t="s">
        <v>2117</v>
      </c>
    </row>
    <row r="334" spans="2:9" x14ac:dyDescent="0.3">
      <c r="B334" s="2" t="s">
        <v>340</v>
      </c>
      <c r="C334" s="3">
        <v>44744</v>
      </c>
      <c r="D334" s="2" t="s">
        <v>2012</v>
      </c>
      <c r="E334" s="2" t="s">
        <v>2016</v>
      </c>
      <c r="F334" s="4">
        <v>872.21</v>
      </c>
      <c r="G334" s="5">
        <v>904.5</v>
      </c>
      <c r="H334" s="6">
        <v>20</v>
      </c>
      <c r="I334" s="2" t="s">
        <v>2116</v>
      </c>
    </row>
    <row r="335" spans="2:9" x14ac:dyDescent="0.3">
      <c r="B335" s="2" t="s">
        <v>341</v>
      </c>
      <c r="C335" s="3">
        <v>44611</v>
      </c>
      <c r="D335" s="2" t="s">
        <v>2011</v>
      </c>
      <c r="E335" s="2" t="s">
        <v>2091</v>
      </c>
      <c r="F335" s="4">
        <v>2480.83</v>
      </c>
      <c r="G335" s="5">
        <v>60.12</v>
      </c>
      <c r="H335" s="6">
        <v>1</v>
      </c>
      <c r="I335" s="2" t="s">
        <v>2117</v>
      </c>
    </row>
    <row r="336" spans="2:9" x14ac:dyDescent="0.3">
      <c r="B336" s="2" t="s">
        <v>342</v>
      </c>
      <c r="C336" s="3">
        <v>44282</v>
      </c>
      <c r="D336" s="2" t="s">
        <v>2010</v>
      </c>
      <c r="E336" s="2" t="s">
        <v>2083</v>
      </c>
      <c r="F336" s="4">
        <v>2438.58</v>
      </c>
      <c r="G336" s="5">
        <v>513.13</v>
      </c>
      <c r="H336" s="6">
        <v>5</v>
      </c>
      <c r="I336" s="2" t="s">
        <v>2118</v>
      </c>
    </row>
    <row r="337" spans="2:9" x14ac:dyDescent="0.3">
      <c r="B337" s="2" t="s">
        <v>343</v>
      </c>
      <c r="C337" s="3">
        <v>44532</v>
      </c>
      <c r="D337" s="2" t="s">
        <v>2009</v>
      </c>
      <c r="E337" s="2" t="s">
        <v>2109</v>
      </c>
      <c r="F337" s="4">
        <v>1928.31</v>
      </c>
      <c r="G337" s="5">
        <v>382.69</v>
      </c>
      <c r="H337" s="6">
        <v>1</v>
      </c>
      <c r="I337" s="2" t="s">
        <v>2117</v>
      </c>
    </row>
    <row r="338" spans="2:9" x14ac:dyDescent="0.3">
      <c r="B338" s="2" t="s">
        <v>344</v>
      </c>
      <c r="C338" s="3">
        <v>44659</v>
      </c>
      <c r="D338" s="2" t="s">
        <v>2012</v>
      </c>
      <c r="E338" s="2" t="s">
        <v>2044</v>
      </c>
      <c r="F338" s="4">
        <v>2092.0100000000002</v>
      </c>
      <c r="G338" s="5">
        <v>439.41</v>
      </c>
      <c r="H338" s="6">
        <v>4</v>
      </c>
      <c r="I338" s="2" t="s">
        <v>2116</v>
      </c>
    </row>
    <row r="339" spans="2:9" x14ac:dyDescent="0.3">
      <c r="B339" s="2" t="s">
        <v>345</v>
      </c>
      <c r="C339" s="3">
        <v>43945</v>
      </c>
      <c r="D339" s="2" t="s">
        <v>2012</v>
      </c>
      <c r="E339" s="2" t="s">
        <v>2059</v>
      </c>
      <c r="F339" s="4">
        <v>3420.84</v>
      </c>
      <c r="G339" s="5">
        <v>268.14</v>
      </c>
      <c r="H339" s="6">
        <v>15</v>
      </c>
      <c r="I339" s="2" t="s">
        <v>2116</v>
      </c>
    </row>
    <row r="340" spans="2:9" x14ac:dyDescent="0.3">
      <c r="B340" s="2" t="s">
        <v>346</v>
      </c>
      <c r="C340" s="3">
        <v>44346</v>
      </c>
      <c r="D340" s="2" t="s">
        <v>2012</v>
      </c>
      <c r="E340" s="2" t="s">
        <v>2110</v>
      </c>
      <c r="F340" s="4">
        <v>1091.56</v>
      </c>
      <c r="G340" s="5">
        <v>642.91</v>
      </c>
      <c r="H340" s="6">
        <v>9</v>
      </c>
      <c r="I340" s="2" t="s">
        <v>2117</v>
      </c>
    </row>
    <row r="341" spans="2:9" x14ac:dyDescent="0.3">
      <c r="B341" s="2" t="s">
        <v>347</v>
      </c>
      <c r="C341" s="3">
        <v>44768</v>
      </c>
      <c r="D341" s="2" t="s">
        <v>2009</v>
      </c>
      <c r="E341" s="2" t="s">
        <v>2086</v>
      </c>
      <c r="F341" s="4">
        <v>161.86000000000001</v>
      </c>
      <c r="G341" s="5">
        <v>824.99</v>
      </c>
      <c r="H341" s="6">
        <v>1</v>
      </c>
      <c r="I341" s="2" t="s">
        <v>2117</v>
      </c>
    </row>
    <row r="342" spans="2:9" x14ac:dyDescent="0.3">
      <c r="B342" s="2" t="s">
        <v>348</v>
      </c>
      <c r="C342" s="3">
        <v>44813</v>
      </c>
      <c r="D342" s="2" t="s">
        <v>2011</v>
      </c>
      <c r="E342" s="2" t="s">
        <v>2086</v>
      </c>
      <c r="F342" s="4">
        <v>2018.34</v>
      </c>
      <c r="G342" s="5">
        <v>697.79</v>
      </c>
      <c r="H342" s="6">
        <v>18</v>
      </c>
      <c r="I342" s="2" t="s">
        <v>2116</v>
      </c>
    </row>
    <row r="343" spans="2:9" x14ac:dyDescent="0.3">
      <c r="B343" s="2" t="s">
        <v>349</v>
      </c>
      <c r="C343" s="3">
        <v>44566</v>
      </c>
      <c r="D343" s="2" t="s">
        <v>2009</v>
      </c>
      <c r="E343" s="2" t="s">
        <v>2090</v>
      </c>
      <c r="F343" s="4">
        <v>4065.86</v>
      </c>
      <c r="G343" s="5">
        <v>882.47</v>
      </c>
      <c r="H343" s="6">
        <v>12</v>
      </c>
      <c r="I343" s="2" t="s">
        <v>2118</v>
      </c>
    </row>
    <row r="344" spans="2:9" x14ac:dyDescent="0.3">
      <c r="B344" s="2" t="s">
        <v>350</v>
      </c>
      <c r="C344" s="3">
        <v>43880</v>
      </c>
      <c r="D344" s="2" t="s">
        <v>2010</v>
      </c>
      <c r="E344" s="2" t="s">
        <v>2078</v>
      </c>
      <c r="F344" s="4">
        <v>4309.0200000000004</v>
      </c>
      <c r="G344" s="5">
        <v>917.17</v>
      </c>
      <c r="H344" s="6">
        <v>11</v>
      </c>
      <c r="I344" s="2" t="s">
        <v>2117</v>
      </c>
    </row>
    <row r="345" spans="2:9" x14ac:dyDescent="0.3">
      <c r="B345" s="2" t="s">
        <v>351</v>
      </c>
      <c r="C345" s="3">
        <v>44285</v>
      </c>
      <c r="D345" s="2" t="s">
        <v>2009</v>
      </c>
      <c r="E345" s="2" t="s">
        <v>2033</v>
      </c>
      <c r="F345" s="4">
        <v>4976.78</v>
      </c>
      <c r="G345" s="5">
        <v>238.24</v>
      </c>
      <c r="H345" s="6">
        <v>16</v>
      </c>
      <c r="I345" s="2" t="s">
        <v>2118</v>
      </c>
    </row>
    <row r="346" spans="2:9" x14ac:dyDescent="0.3">
      <c r="B346" s="2" t="s">
        <v>352</v>
      </c>
      <c r="C346" s="3">
        <v>44336</v>
      </c>
      <c r="D346" s="2" t="s">
        <v>2011</v>
      </c>
      <c r="E346" s="2" t="s">
        <v>2024</v>
      </c>
      <c r="F346" s="4">
        <v>3355.52</v>
      </c>
      <c r="G346" s="5">
        <v>983.29</v>
      </c>
      <c r="H346" s="6">
        <v>6</v>
      </c>
      <c r="I346" s="2" t="s">
        <v>2118</v>
      </c>
    </row>
    <row r="347" spans="2:9" x14ac:dyDescent="0.3">
      <c r="B347" s="2" t="s">
        <v>353</v>
      </c>
      <c r="C347" s="3">
        <v>44136</v>
      </c>
      <c r="D347" s="2" t="s">
        <v>2012</v>
      </c>
      <c r="E347" s="2" t="s">
        <v>2060</v>
      </c>
      <c r="F347" s="4">
        <v>1399.77</v>
      </c>
      <c r="G347" s="5">
        <v>986.58</v>
      </c>
      <c r="H347" s="6">
        <v>14</v>
      </c>
      <c r="I347" s="2" t="s">
        <v>2117</v>
      </c>
    </row>
    <row r="348" spans="2:9" x14ac:dyDescent="0.3">
      <c r="B348" s="2" t="s">
        <v>354</v>
      </c>
      <c r="C348" s="3">
        <v>45566</v>
      </c>
      <c r="D348" s="2" t="s">
        <v>2012</v>
      </c>
      <c r="E348" s="2" t="s">
        <v>2106</v>
      </c>
      <c r="F348" s="4">
        <v>1894.45</v>
      </c>
      <c r="G348" s="5">
        <v>614.02</v>
      </c>
      <c r="H348" s="6">
        <v>10</v>
      </c>
      <c r="I348" s="2" t="s">
        <v>2116</v>
      </c>
    </row>
    <row r="349" spans="2:9" x14ac:dyDescent="0.3">
      <c r="B349" s="2" t="s">
        <v>355</v>
      </c>
      <c r="C349" s="3">
        <v>44367</v>
      </c>
      <c r="D349" s="2" t="s">
        <v>2009</v>
      </c>
      <c r="E349" s="2" t="s">
        <v>2039</v>
      </c>
      <c r="F349" s="4">
        <v>4992.66</v>
      </c>
      <c r="G349" s="5">
        <v>432.95</v>
      </c>
      <c r="H349" s="6">
        <v>20</v>
      </c>
      <c r="I349" s="2" t="s">
        <v>2118</v>
      </c>
    </row>
    <row r="350" spans="2:9" x14ac:dyDescent="0.3">
      <c r="B350" s="2" t="s">
        <v>356</v>
      </c>
      <c r="C350" s="3">
        <v>45222</v>
      </c>
      <c r="D350" s="2" t="s">
        <v>2009</v>
      </c>
      <c r="E350" s="2" t="s">
        <v>2087</v>
      </c>
      <c r="F350" s="4">
        <v>1873.71</v>
      </c>
      <c r="G350" s="5">
        <v>230.33</v>
      </c>
      <c r="H350" s="6">
        <v>10</v>
      </c>
      <c r="I350" s="2" t="s">
        <v>2118</v>
      </c>
    </row>
    <row r="351" spans="2:9" x14ac:dyDescent="0.3">
      <c r="B351" s="2" t="s">
        <v>357</v>
      </c>
      <c r="C351" s="3">
        <v>43883</v>
      </c>
      <c r="D351" s="2" t="s">
        <v>2010</v>
      </c>
      <c r="E351" s="2" t="s">
        <v>2019</v>
      </c>
      <c r="F351" s="4">
        <v>2962.59</v>
      </c>
      <c r="G351" s="5">
        <v>656.87</v>
      </c>
      <c r="H351" s="6">
        <v>14</v>
      </c>
      <c r="I351" s="2" t="s">
        <v>2116</v>
      </c>
    </row>
    <row r="352" spans="2:9" x14ac:dyDescent="0.3">
      <c r="B352" s="2" t="s">
        <v>358</v>
      </c>
      <c r="C352" s="3">
        <v>45286</v>
      </c>
      <c r="D352" s="2" t="s">
        <v>2010</v>
      </c>
      <c r="E352" s="2" t="s">
        <v>2051</v>
      </c>
      <c r="F352" s="4">
        <v>191.89</v>
      </c>
      <c r="G352" s="5">
        <v>665.15</v>
      </c>
      <c r="H352" s="6">
        <v>10</v>
      </c>
      <c r="I352" s="2" t="s">
        <v>2116</v>
      </c>
    </row>
    <row r="353" spans="2:9" x14ac:dyDescent="0.3">
      <c r="B353" s="2" t="s">
        <v>359</v>
      </c>
      <c r="C353" s="3">
        <v>43919</v>
      </c>
      <c r="D353" s="2" t="s">
        <v>2012</v>
      </c>
      <c r="E353" s="2" t="s">
        <v>2071</v>
      </c>
      <c r="F353" s="4">
        <v>2487.59</v>
      </c>
      <c r="G353" s="5">
        <v>261.68</v>
      </c>
      <c r="H353" s="6">
        <v>17</v>
      </c>
      <c r="I353" s="2" t="s">
        <v>2116</v>
      </c>
    </row>
    <row r="354" spans="2:9" x14ac:dyDescent="0.3">
      <c r="B354" s="2" t="s">
        <v>360</v>
      </c>
      <c r="C354" s="3">
        <v>45001</v>
      </c>
      <c r="D354" s="2" t="s">
        <v>2012</v>
      </c>
      <c r="E354" s="2" t="s">
        <v>2073</v>
      </c>
      <c r="F354" s="4">
        <v>4188.17</v>
      </c>
      <c r="G354" s="5">
        <v>408.24</v>
      </c>
      <c r="H354" s="6">
        <v>5</v>
      </c>
      <c r="I354" s="2" t="s">
        <v>2116</v>
      </c>
    </row>
    <row r="355" spans="2:9" x14ac:dyDescent="0.3">
      <c r="B355" s="2" t="s">
        <v>361</v>
      </c>
      <c r="C355" s="3">
        <v>45041</v>
      </c>
      <c r="D355" s="2" t="s">
        <v>2010</v>
      </c>
      <c r="E355" s="2" t="s">
        <v>2046</v>
      </c>
      <c r="F355" s="4">
        <v>304.51</v>
      </c>
      <c r="G355" s="5">
        <v>819.63</v>
      </c>
      <c r="H355" s="6">
        <v>4</v>
      </c>
      <c r="I355" s="2" t="s">
        <v>2117</v>
      </c>
    </row>
    <row r="356" spans="2:9" x14ac:dyDescent="0.3">
      <c r="B356" s="2" t="s">
        <v>362</v>
      </c>
      <c r="C356" s="3">
        <v>45285</v>
      </c>
      <c r="D356" s="2" t="s">
        <v>2010</v>
      </c>
      <c r="E356" s="2" t="s">
        <v>2066</v>
      </c>
      <c r="F356" s="4">
        <v>1925.14</v>
      </c>
      <c r="G356" s="5">
        <v>829.93</v>
      </c>
      <c r="H356" s="6">
        <v>13</v>
      </c>
      <c r="I356" s="2" t="s">
        <v>2117</v>
      </c>
    </row>
    <row r="357" spans="2:9" x14ac:dyDescent="0.3">
      <c r="B357" s="2" t="s">
        <v>363</v>
      </c>
      <c r="C357" s="3">
        <v>43968</v>
      </c>
      <c r="D357" s="2" t="s">
        <v>2010</v>
      </c>
      <c r="E357" s="2" t="s">
        <v>2065</v>
      </c>
      <c r="F357" s="4">
        <v>566.66999999999996</v>
      </c>
      <c r="G357" s="5">
        <v>411.81</v>
      </c>
      <c r="H357" s="6">
        <v>13</v>
      </c>
      <c r="I357" s="2" t="s">
        <v>2117</v>
      </c>
    </row>
    <row r="358" spans="2:9" x14ac:dyDescent="0.3">
      <c r="B358" s="2" t="s">
        <v>364</v>
      </c>
      <c r="C358" s="3">
        <v>45413</v>
      </c>
      <c r="D358" s="2" t="s">
        <v>2010</v>
      </c>
      <c r="E358" s="2" t="s">
        <v>2021</v>
      </c>
      <c r="F358" s="4">
        <v>4813.4399999999996</v>
      </c>
      <c r="G358" s="5">
        <v>118.37</v>
      </c>
      <c r="H358" s="6">
        <v>3</v>
      </c>
      <c r="I358" s="2" t="s">
        <v>2118</v>
      </c>
    </row>
    <row r="359" spans="2:9" x14ac:dyDescent="0.3">
      <c r="B359" s="2" t="s">
        <v>365</v>
      </c>
      <c r="C359" s="3">
        <v>44799</v>
      </c>
      <c r="D359" s="2" t="s">
        <v>2009</v>
      </c>
      <c r="E359" s="2" t="s">
        <v>2021</v>
      </c>
      <c r="F359" s="4">
        <v>3685.33</v>
      </c>
      <c r="G359" s="5">
        <v>149.24</v>
      </c>
      <c r="H359" s="6">
        <v>4</v>
      </c>
      <c r="I359" s="2" t="s">
        <v>2117</v>
      </c>
    </row>
    <row r="360" spans="2:9" x14ac:dyDescent="0.3">
      <c r="B360" s="2" t="s">
        <v>366</v>
      </c>
      <c r="C360" s="3">
        <v>43931</v>
      </c>
      <c r="D360" s="2" t="s">
        <v>2010</v>
      </c>
      <c r="E360" s="2" t="s">
        <v>2071</v>
      </c>
      <c r="F360" s="4">
        <v>3512.18</v>
      </c>
      <c r="G360" s="5">
        <v>989.65</v>
      </c>
      <c r="H360" s="6">
        <v>16</v>
      </c>
      <c r="I360" s="2" t="s">
        <v>2118</v>
      </c>
    </row>
    <row r="361" spans="2:9" x14ac:dyDescent="0.3">
      <c r="B361" s="2" t="s">
        <v>367</v>
      </c>
      <c r="C361" s="3">
        <v>44566</v>
      </c>
      <c r="D361" s="2" t="s">
        <v>2012</v>
      </c>
      <c r="E361" s="2" t="s">
        <v>2057</v>
      </c>
      <c r="F361" s="4">
        <v>3391.54</v>
      </c>
      <c r="G361" s="5">
        <v>548.99</v>
      </c>
      <c r="H361" s="6">
        <v>19</v>
      </c>
      <c r="I361" s="2" t="s">
        <v>2117</v>
      </c>
    </row>
    <row r="362" spans="2:9" x14ac:dyDescent="0.3">
      <c r="B362" s="2" t="s">
        <v>368</v>
      </c>
      <c r="C362" s="3">
        <v>45357</v>
      </c>
      <c r="D362" s="2" t="s">
        <v>2010</v>
      </c>
      <c r="E362" s="2" t="s">
        <v>2072</v>
      </c>
      <c r="F362" s="4">
        <v>699.35</v>
      </c>
      <c r="G362" s="5">
        <v>589.04</v>
      </c>
      <c r="H362" s="6">
        <v>14</v>
      </c>
      <c r="I362" s="2" t="s">
        <v>2116</v>
      </c>
    </row>
    <row r="363" spans="2:9" x14ac:dyDescent="0.3">
      <c r="B363" s="2" t="s">
        <v>369</v>
      </c>
      <c r="C363" s="3">
        <v>44598</v>
      </c>
      <c r="D363" s="2" t="s">
        <v>2011</v>
      </c>
      <c r="E363" s="2" t="s">
        <v>2016</v>
      </c>
      <c r="F363" s="4">
        <v>2565.9699999999998</v>
      </c>
      <c r="G363" s="5">
        <v>452.65</v>
      </c>
      <c r="H363" s="6">
        <v>10</v>
      </c>
      <c r="I363" s="2" t="s">
        <v>2116</v>
      </c>
    </row>
    <row r="364" spans="2:9" x14ac:dyDescent="0.3">
      <c r="B364" s="2" t="s">
        <v>370</v>
      </c>
      <c r="C364" s="3">
        <v>43912</v>
      </c>
      <c r="D364" s="2" t="s">
        <v>2010</v>
      </c>
      <c r="E364" s="2" t="s">
        <v>2040</v>
      </c>
      <c r="F364" s="4">
        <v>4213.5</v>
      </c>
      <c r="G364" s="5">
        <v>294.95999999999998</v>
      </c>
      <c r="H364" s="6">
        <v>9</v>
      </c>
      <c r="I364" s="2" t="s">
        <v>2116</v>
      </c>
    </row>
    <row r="365" spans="2:9" x14ac:dyDescent="0.3">
      <c r="B365" s="2" t="s">
        <v>371</v>
      </c>
      <c r="C365" s="3">
        <v>45531</v>
      </c>
      <c r="D365" s="2" t="s">
        <v>2011</v>
      </c>
      <c r="E365" s="2" t="s">
        <v>2077</v>
      </c>
      <c r="F365" s="4">
        <v>4489.47</v>
      </c>
      <c r="G365" s="5">
        <v>401.19</v>
      </c>
      <c r="H365" s="6">
        <v>2</v>
      </c>
      <c r="I365" s="2" t="s">
        <v>2117</v>
      </c>
    </row>
    <row r="366" spans="2:9" x14ac:dyDescent="0.3">
      <c r="B366" s="2" t="s">
        <v>372</v>
      </c>
      <c r="C366" s="3">
        <v>44155</v>
      </c>
      <c r="D366" s="2" t="s">
        <v>2009</v>
      </c>
      <c r="E366" s="2" t="s">
        <v>2017</v>
      </c>
      <c r="F366" s="4">
        <v>4657.3100000000004</v>
      </c>
      <c r="G366" s="5">
        <v>390.11</v>
      </c>
      <c r="H366" s="6">
        <v>8</v>
      </c>
      <c r="I366" s="2" t="s">
        <v>2118</v>
      </c>
    </row>
    <row r="367" spans="2:9" x14ac:dyDescent="0.3">
      <c r="B367" s="2" t="s">
        <v>373</v>
      </c>
      <c r="C367" s="3">
        <v>44288</v>
      </c>
      <c r="D367" s="2" t="s">
        <v>2012</v>
      </c>
      <c r="E367" s="2" t="s">
        <v>2018</v>
      </c>
      <c r="F367" s="4">
        <v>4204.54</v>
      </c>
      <c r="G367" s="5">
        <v>751.93</v>
      </c>
      <c r="H367" s="6">
        <v>16</v>
      </c>
      <c r="I367" s="2" t="s">
        <v>2118</v>
      </c>
    </row>
    <row r="368" spans="2:9" x14ac:dyDescent="0.3">
      <c r="B368" s="2" t="s">
        <v>374</v>
      </c>
      <c r="C368" s="3">
        <v>44218</v>
      </c>
      <c r="D368" s="2" t="s">
        <v>2012</v>
      </c>
      <c r="E368" s="2" t="s">
        <v>2040</v>
      </c>
      <c r="F368" s="4">
        <v>4835.0600000000004</v>
      </c>
      <c r="G368" s="5">
        <v>712.04</v>
      </c>
      <c r="H368" s="6">
        <v>19</v>
      </c>
      <c r="I368" s="2" t="s">
        <v>2118</v>
      </c>
    </row>
    <row r="369" spans="2:9" x14ac:dyDescent="0.3">
      <c r="B369" s="2" t="s">
        <v>375</v>
      </c>
      <c r="C369" s="3">
        <v>44646</v>
      </c>
      <c r="D369" s="2" t="s">
        <v>2009</v>
      </c>
      <c r="E369" s="2" t="s">
        <v>2100</v>
      </c>
      <c r="F369" s="4">
        <v>2153.09</v>
      </c>
      <c r="G369" s="5">
        <v>432.11</v>
      </c>
      <c r="H369" s="6">
        <v>14</v>
      </c>
      <c r="I369" s="2" t="s">
        <v>2118</v>
      </c>
    </row>
    <row r="370" spans="2:9" x14ac:dyDescent="0.3">
      <c r="B370" s="2" t="s">
        <v>376</v>
      </c>
      <c r="C370" s="3">
        <v>44777</v>
      </c>
      <c r="D370" s="2" t="s">
        <v>2010</v>
      </c>
      <c r="E370" s="2" t="s">
        <v>2053</v>
      </c>
      <c r="F370" s="4">
        <v>1994.14</v>
      </c>
      <c r="G370" s="5">
        <v>898.35</v>
      </c>
      <c r="H370" s="6">
        <v>6</v>
      </c>
      <c r="I370" s="2" t="s">
        <v>2116</v>
      </c>
    </row>
    <row r="371" spans="2:9" x14ac:dyDescent="0.3">
      <c r="B371" s="2" t="s">
        <v>377</v>
      </c>
      <c r="C371" s="3">
        <v>44877</v>
      </c>
      <c r="D371" s="2" t="s">
        <v>2011</v>
      </c>
      <c r="E371" s="2" t="s">
        <v>2099</v>
      </c>
      <c r="F371" s="4">
        <v>4896.53</v>
      </c>
      <c r="G371" s="5">
        <v>17.420000000000002</v>
      </c>
      <c r="H371" s="6">
        <v>7</v>
      </c>
      <c r="I371" s="2" t="s">
        <v>2116</v>
      </c>
    </row>
    <row r="372" spans="2:9" x14ac:dyDescent="0.3">
      <c r="B372" s="2" t="s">
        <v>378</v>
      </c>
      <c r="C372" s="3">
        <v>45127</v>
      </c>
      <c r="D372" s="2" t="s">
        <v>2009</v>
      </c>
      <c r="E372" s="2" t="s">
        <v>2025</v>
      </c>
      <c r="F372" s="4">
        <v>340.88</v>
      </c>
      <c r="G372" s="5">
        <v>712.02</v>
      </c>
      <c r="H372" s="6">
        <v>11</v>
      </c>
      <c r="I372" s="2" t="s">
        <v>2118</v>
      </c>
    </row>
    <row r="373" spans="2:9" x14ac:dyDescent="0.3">
      <c r="B373" s="2" t="s">
        <v>379</v>
      </c>
      <c r="C373" s="3">
        <v>44536</v>
      </c>
      <c r="D373" s="2" t="s">
        <v>2011</v>
      </c>
      <c r="E373" s="2" t="s">
        <v>2058</v>
      </c>
      <c r="F373" s="4">
        <v>1955.86</v>
      </c>
      <c r="G373" s="5">
        <v>28.26</v>
      </c>
      <c r="H373" s="6">
        <v>18</v>
      </c>
      <c r="I373" s="2" t="s">
        <v>2116</v>
      </c>
    </row>
    <row r="374" spans="2:9" x14ac:dyDescent="0.3">
      <c r="B374" s="2" t="s">
        <v>380</v>
      </c>
      <c r="C374" s="3">
        <v>45095</v>
      </c>
      <c r="D374" s="2" t="s">
        <v>2010</v>
      </c>
      <c r="E374" s="2" t="s">
        <v>2029</v>
      </c>
      <c r="F374" s="4">
        <v>1497.19</v>
      </c>
      <c r="G374" s="5">
        <v>801.13</v>
      </c>
      <c r="H374" s="6">
        <v>15</v>
      </c>
      <c r="I374" s="2" t="s">
        <v>2118</v>
      </c>
    </row>
    <row r="375" spans="2:9" x14ac:dyDescent="0.3">
      <c r="B375" s="2" t="s">
        <v>381</v>
      </c>
      <c r="C375" s="3">
        <v>45189</v>
      </c>
      <c r="D375" s="2" t="s">
        <v>2009</v>
      </c>
      <c r="E375" s="2" t="s">
        <v>2092</v>
      </c>
      <c r="F375" s="4">
        <v>4719.9399999999996</v>
      </c>
      <c r="G375" s="5">
        <v>966</v>
      </c>
      <c r="H375" s="6">
        <v>8</v>
      </c>
      <c r="I375" s="2" t="s">
        <v>2116</v>
      </c>
    </row>
    <row r="376" spans="2:9" x14ac:dyDescent="0.3">
      <c r="B376" s="2" t="s">
        <v>382</v>
      </c>
      <c r="C376" s="3">
        <v>45565</v>
      </c>
      <c r="D376" s="2" t="s">
        <v>2010</v>
      </c>
      <c r="E376" s="2" t="s">
        <v>2074</v>
      </c>
      <c r="F376" s="4">
        <v>1298.81</v>
      </c>
      <c r="G376" s="5">
        <v>142.07</v>
      </c>
      <c r="H376" s="6">
        <v>18</v>
      </c>
      <c r="I376" s="2" t="s">
        <v>2117</v>
      </c>
    </row>
    <row r="377" spans="2:9" x14ac:dyDescent="0.3">
      <c r="B377" s="2" t="s">
        <v>383</v>
      </c>
      <c r="C377" s="3">
        <v>44128</v>
      </c>
      <c r="D377" s="2" t="s">
        <v>2010</v>
      </c>
      <c r="E377" s="2" t="s">
        <v>2072</v>
      </c>
      <c r="F377" s="4">
        <v>2231.62</v>
      </c>
      <c r="G377" s="5">
        <v>763.97</v>
      </c>
      <c r="H377" s="6">
        <v>9</v>
      </c>
      <c r="I377" s="2" t="s">
        <v>2117</v>
      </c>
    </row>
    <row r="378" spans="2:9" x14ac:dyDescent="0.3">
      <c r="B378" s="2" t="s">
        <v>384</v>
      </c>
      <c r="C378" s="3">
        <v>45530</v>
      </c>
      <c r="D378" s="2" t="s">
        <v>2010</v>
      </c>
      <c r="E378" s="2" t="s">
        <v>2069</v>
      </c>
      <c r="F378" s="4">
        <v>4181.1000000000004</v>
      </c>
      <c r="G378" s="5">
        <v>914.29</v>
      </c>
      <c r="H378" s="6">
        <v>9</v>
      </c>
      <c r="I378" s="2" t="s">
        <v>2117</v>
      </c>
    </row>
    <row r="379" spans="2:9" x14ac:dyDescent="0.3">
      <c r="B379" s="2" t="s">
        <v>385</v>
      </c>
      <c r="C379" s="3">
        <v>44913</v>
      </c>
      <c r="D379" s="2" t="s">
        <v>2010</v>
      </c>
      <c r="E379" s="2" t="s">
        <v>2080</v>
      </c>
      <c r="F379" s="4">
        <v>3899.3</v>
      </c>
      <c r="G379" s="5">
        <v>980.97</v>
      </c>
      <c r="H379" s="6">
        <v>19</v>
      </c>
      <c r="I379" s="2" t="s">
        <v>2117</v>
      </c>
    </row>
    <row r="380" spans="2:9" x14ac:dyDescent="0.3">
      <c r="B380" s="2" t="s">
        <v>386</v>
      </c>
      <c r="C380" s="3">
        <v>44868</v>
      </c>
      <c r="D380" s="2" t="s">
        <v>2011</v>
      </c>
      <c r="E380" s="2" t="s">
        <v>2014</v>
      </c>
      <c r="F380" s="4">
        <v>3994.03</v>
      </c>
      <c r="G380" s="5">
        <v>641.14</v>
      </c>
      <c r="H380" s="6">
        <v>17</v>
      </c>
      <c r="I380" s="2" t="s">
        <v>2117</v>
      </c>
    </row>
    <row r="381" spans="2:9" x14ac:dyDescent="0.3">
      <c r="B381" s="2" t="s">
        <v>387</v>
      </c>
      <c r="C381" s="3">
        <v>44477</v>
      </c>
      <c r="D381" s="2" t="s">
        <v>2009</v>
      </c>
      <c r="E381" s="2" t="s">
        <v>2080</v>
      </c>
      <c r="F381" s="4">
        <v>3673.03</v>
      </c>
      <c r="G381" s="5">
        <v>73.650000000000006</v>
      </c>
      <c r="H381" s="6">
        <v>3</v>
      </c>
      <c r="I381" s="2" t="s">
        <v>2116</v>
      </c>
    </row>
    <row r="382" spans="2:9" x14ac:dyDescent="0.3">
      <c r="B382" s="2" t="s">
        <v>388</v>
      </c>
      <c r="C382" s="3">
        <v>44941</v>
      </c>
      <c r="D382" s="2" t="s">
        <v>2010</v>
      </c>
      <c r="E382" s="2" t="s">
        <v>2095</v>
      </c>
      <c r="F382" s="4">
        <v>2709.1</v>
      </c>
      <c r="G382" s="5">
        <v>101.25</v>
      </c>
      <c r="H382" s="6">
        <v>17</v>
      </c>
      <c r="I382" s="2" t="s">
        <v>2118</v>
      </c>
    </row>
    <row r="383" spans="2:9" x14ac:dyDescent="0.3">
      <c r="B383" s="2" t="s">
        <v>389</v>
      </c>
      <c r="C383" s="3">
        <v>44999</v>
      </c>
      <c r="D383" s="2" t="s">
        <v>2011</v>
      </c>
      <c r="E383" s="2" t="s">
        <v>2071</v>
      </c>
      <c r="F383" s="4">
        <v>1659.6</v>
      </c>
      <c r="G383" s="5">
        <v>843.98</v>
      </c>
      <c r="H383" s="6">
        <v>11</v>
      </c>
      <c r="I383" s="2" t="s">
        <v>2118</v>
      </c>
    </row>
    <row r="384" spans="2:9" x14ac:dyDescent="0.3">
      <c r="B384" s="2" t="s">
        <v>390</v>
      </c>
      <c r="C384" s="3">
        <v>44934</v>
      </c>
      <c r="D384" s="2" t="s">
        <v>2012</v>
      </c>
      <c r="E384" s="2" t="s">
        <v>2044</v>
      </c>
      <c r="F384" s="4">
        <v>3546.11</v>
      </c>
      <c r="G384" s="5">
        <v>923.9</v>
      </c>
      <c r="H384" s="6">
        <v>10</v>
      </c>
      <c r="I384" s="2" t="s">
        <v>2116</v>
      </c>
    </row>
    <row r="385" spans="2:9" x14ac:dyDescent="0.3">
      <c r="B385" s="2" t="s">
        <v>391</v>
      </c>
      <c r="C385" s="3">
        <v>44916</v>
      </c>
      <c r="D385" s="2" t="s">
        <v>2011</v>
      </c>
      <c r="E385" s="2" t="s">
        <v>2078</v>
      </c>
      <c r="F385" s="4">
        <v>4403.49</v>
      </c>
      <c r="G385" s="5">
        <v>257.07</v>
      </c>
      <c r="H385" s="6">
        <v>18</v>
      </c>
      <c r="I385" s="2" t="s">
        <v>2117</v>
      </c>
    </row>
    <row r="386" spans="2:9" x14ac:dyDescent="0.3">
      <c r="B386" s="2" t="s">
        <v>392</v>
      </c>
      <c r="C386" s="3">
        <v>44371</v>
      </c>
      <c r="D386" s="2" t="s">
        <v>2009</v>
      </c>
      <c r="E386" s="2" t="s">
        <v>2085</v>
      </c>
      <c r="F386" s="4">
        <v>1920.47</v>
      </c>
      <c r="G386" s="5">
        <v>589.87</v>
      </c>
      <c r="H386" s="6">
        <v>10</v>
      </c>
      <c r="I386" s="2" t="s">
        <v>2117</v>
      </c>
    </row>
    <row r="387" spans="2:9" x14ac:dyDescent="0.3">
      <c r="B387" s="2" t="s">
        <v>393</v>
      </c>
      <c r="C387" s="3">
        <v>45181</v>
      </c>
      <c r="D387" s="2" t="s">
        <v>2012</v>
      </c>
      <c r="E387" s="2" t="s">
        <v>2060</v>
      </c>
      <c r="F387" s="4">
        <v>4360.4799999999996</v>
      </c>
      <c r="G387" s="5">
        <v>72.7</v>
      </c>
      <c r="H387" s="6">
        <v>6</v>
      </c>
      <c r="I387" s="2" t="s">
        <v>2118</v>
      </c>
    </row>
    <row r="388" spans="2:9" x14ac:dyDescent="0.3">
      <c r="B388" s="2" t="s">
        <v>394</v>
      </c>
      <c r="C388" s="3">
        <v>44510</v>
      </c>
      <c r="D388" s="2" t="s">
        <v>2009</v>
      </c>
      <c r="E388" s="2" t="s">
        <v>2037</v>
      </c>
      <c r="F388" s="4">
        <v>3790.54</v>
      </c>
      <c r="G388" s="5">
        <v>928.07</v>
      </c>
      <c r="H388" s="6">
        <v>17</v>
      </c>
      <c r="I388" s="2" t="s">
        <v>2118</v>
      </c>
    </row>
    <row r="389" spans="2:9" x14ac:dyDescent="0.3">
      <c r="B389" s="2" t="s">
        <v>395</v>
      </c>
      <c r="C389" s="3">
        <v>44230</v>
      </c>
      <c r="D389" s="2" t="s">
        <v>2010</v>
      </c>
      <c r="E389" s="2" t="s">
        <v>2044</v>
      </c>
      <c r="F389" s="4">
        <v>2143.89</v>
      </c>
      <c r="G389" s="5">
        <v>296.77999999999997</v>
      </c>
      <c r="H389" s="6">
        <v>2</v>
      </c>
      <c r="I389" s="2" t="s">
        <v>2117</v>
      </c>
    </row>
    <row r="390" spans="2:9" x14ac:dyDescent="0.3">
      <c r="B390" s="2" t="s">
        <v>396</v>
      </c>
      <c r="C390" s="3">
        <v>45472</v>
      </c>
      <c r="D390" s="2" t="s">
        <v>2009</v>
      </c>
      <c r="E390" s="2" t="s">
        <v>2037</v>
      </c>
      <c r="F390" s="4">
        <v>1555.81</v>
      </c>
      <c r="G390" s="5">
        <v>898.16</v>
      </c>
      <c r="H390" s="6">
        <v>9</v>
      </c>
      <c r="I390" s="2" t="s">
        <v>2117</v>
      </c>
    </row>
    <row r="391" spans="2:9" x14ac:dyDescent="0.3">
      <c r="B391" s="2" t="s">
        <v>397</v>
      </c>
      <c r="C391" s="3">
        <v>43888</v>
      </c>
      <c r="D391" s="2" t="s">
        <v>2012</v>
      </c>
      <c r="E391" s="2" t="s">
        <v>2036</v>
      </c>
      <c r="F391" s="4">
        <v>3933.32</v>
      </c>
      <c r="G391" s="5">
        <v>824.55</v>
      </c>
      <c r="H391" s="6">
        <v>7</v>
      </c>
      <c r="I391" s="2" t="s">
        <v>2117</v>
      </c>
    </row>
    <row r="392" spans="2:9" x14ac:dyDescent="0.3">
      <c r="B392" s="2" t="s">
        <v>398</v>
      </c>
      <c r="C392" s="3">
        <v>44574</v>
      </c>
      <c r="D392" s="2" t="s">
        <v>2009</v>
      </c>
      <c r="E392" s="2" t="s">
        <v>2067</v>
      </c>
      <c r="F392" s="4">
        <v>4020.18</v>
      </c>
      <c r="G392" s="5">
        <v>502.51</v>
      </c>
      <c r="H392" s="6">
        <v>13</v>
      </c>
      <c r="I392" s="2" t="s">
        <v>2116</v>
      </c>
    </row>
    <row r="393" spans="2:9" x14ac:dyDescent="0.3">
      <c r="B393" s="2" t="s">
        <v>399</v>
      </c>
      <c r="C393" s="3">
        <v>44455</v>
      </c>
      <c r="D393" s="2" t="s">
        <v>2010</v>
      </c>
      <c r="E393" s="2" t="s">
        <v>2073</v>
      </c>
      <c r="F393" s="4">
        <v>1078.9100000000001</v>
      </c>
      <c r="G393" s="5">
        <v>59.07</v>
      </c>
      <c r="H393" s="6">
        <v>14</v>
      </c>
      <c r="I393" s="2" t="s">
        <v>2116</v>
      </c>
    </row>
    <row r="394" spans="2:9" x14ac:dyDescent="0.3">
      <c r="B394" s="2" t="s">
        <v>400</v>
      </c>
      <c r="C394" s="3">
        <v>45033</v>
      </c>
      <c r="D394" s="2" t="s">
        <v>2011</v>
      </c>
      <c r="E394" s="2" t="s">
        <v>2058</v>
      </c>
      <c r="F394" s="4">
        <v>4031.51</v>
      </c>
      <c r="G394" s="5">
        <v>18.34</v>
      </c>
      <c r="H394" s="6">
        <v>2</v>
      </c>
      <c r="I394" s="2" t="s">
        <v>2116</v>
      </c>
    </row>
    <row r="395" spans="2:9" x14ac:dyDescent="0.3">
      <c r="B395" s="2" t="s">
        <v>401</v>
      </c>
      <c r="C395" s="3">
        <v>45032</v>
      </c>
      <c r="D395" s="2" t="s">
        <v>2011</v>
      </c>
      <c r="E395" s="2" t="s">
        <v>2082</v>
      </c>
      <c r="F395" s="4">
        <v>1219.55</v>
      </c>
      <c r="G395" s="5">
        <v>819.67</v>
      </c>
      <c r="H395" s="6">
        <v>8</v>
      </c>
      <c r="I395" s="2" t="s">
        <v>2118</v>
      </c>
    </row>
    <row r="396" spans="2:9" x14ac:dyDescent="0.3">
      <c r="B396" s="2" t="s">
        <v>402</v>
      </c>
      <c r="C396" s="3">
        <v>45212</v>
      </c>
      <c r="D396" s="2" t="s">
        <v>2009</v>
      </c>
      <c r="E396" s="2" t="s">
        <v>2064</v>
      </c>
      <c r="F396" s="4">
        <v>2657.65</v>
      </c>
      <c r="G396" s="5">
        <v>326.56</v>
      </c>
      <c r="H396" s="6">
        <v>20</v>
      </c>
      <c r="I396" s="2" t="s">
        <v>2118</v>
      </c>
    </row>
    <row r="397" spans="2:9" x14ac:dyDescent="0.3">
      <c r="B397" s="2" t="s">
        <v>403</v>
      </c>
      <c r="C397" s="3">
        <v>44785</v>
      </c>
      <c r="D397" s="2" t="s">
        <v>2011</v>
      </c>
      <c r="E397" s="2" t="s">
        <v>2015</v>
      </c>
      <c r="F397" s="4">
        <v>527.46</v>
      </c>
      <c r="G397" s="5">
        <v>150.46</v>
      </c>
      <c r="H397" s="6">
        <v>9</v>
      </c>
      <c r="I397" s="2" t="s">
        <v>2117</v>
      </c>
    </row>
    <row r="398" spans="2:9" x14ac:dyDescent="0.3">
      <c r="B398" s="2" t="s">
        <v>404</v>
      </c>
      <c r="C398" s="3">
        <v>44262</v>
      </c>
      <c r="D398" s="2" t="s">
        <v>2009</v>
      </c>
      <c r="E398" s="2" t="s">
        <v>2105</v>
      </c>
      <c r="F398" s="4">
        <v>2599.62</v>
      </c>
      <c r="G398" s="5">
        <v>342.69</v>
      </c>
      <c r="H398" s="6">
        <v>7</v>
      </c>
      <c r="I398" s="2" t="s">
        <v>2118</v>
      </c>
    </row>
    <row r="399" spans="2:9" x14ac:dyDescent="0.3">
      <c r="B399" s="2" t="s">
        <v>405</v>
      </c>
      <c r="C399" s="3">
        <v>45199</v>
      </c>
      <c r="D399" s="2" t="s">
        <v>2011</v>
      </c>
      <c r="E399" s="2" t="s">
        <v>2043</v>
      </c>
      <c r="F399" s="4">
        <v>1916.38</v>
      </c>
      <c r="G399" s="5">
        <v>120.27</v>
      </c>
      <c r="H399" s="6">
        <v>13</v>
      </c>
      <c r="I399" s="2" t="s">
        <v>2116</v>
      </c>
    </row>
    <row r="400" spans="2:9" x14ac:dyDescent="0.3">
      <c r="B400" s="2" t="s">
        <v>406</v>
      </c>
      <c r="C400" s="3">
        <v>44247</v>
      </c>
      <c r="D400" s="2" t="s">
        <v>2010</v>
      </c>
      <c r="E400" s="2" t="s">
        <v>2040</v>
      </c>
      <c r="F400" s="4">
        <v>411.99</v>
      </c>
      <c r="G400" s="5">
        <v>39.07</v>
      </c>
      <c r="H400" s="6">
        <v>20</v>
      </c>
      <c r="I400" s="2" t="s">
        <v>2118</v>
      </c>
    </row>
    <row r="401" spans="2:9" x14ac:dyDescent="0.3">
      <c r="B401" s="2" t="s">
        <v>407</v>
      </c>
      <c r="C401" s="3">
        <v>45222</v>
      </c>
      <c r="D401" s="2" t="s">
        <v>2009</v>
      </c>
      <c r="E401" s="2" t="s">
        <v>2065</v>
      </c>
      <c r="F401" s="4">
        <v>4779.7700000000004</v>
      </c>
      <c r="G401" s="5">
        <v>695.82</v>
      </c>
      <c r="H401" s="6">
        <v>2</v>
      </c>
      <c r="I401" s="2" t="s">
        <v>2116</v>
      </c>
    </row>
    <row r="402" spans="2:9" x14ac:dyDescent="0.3">
      <c r="B402" s="2" t="s">
        <v>408</v>
      </c>
      <c r="C402" s="3">
        <v>44802</v>
      </c>
      <c r="D402" s="2" t="s">
        <v>2011</v>
      </c>
      <c r="E402" s="2" t="s">
        <v>2069</v>
      </c>
      <c r="F402" s="4">
        <v>3462.48</v>
      </c>
      <c r="G402" s="5">
        <v>861.17</v>
      </c>
      <c r="H402" s="6">
        <v>20</v>
      </c>
      <c r="I402" s="2" t="s">
        <v>2117</v>
      </c>
    </row>
    <row r="403" spans="2:9" x14ac:dyDescent="0.3">
      <c r="B403" s="2" t="s">
        <v>409</v>
      </c>
      <c r="C403" s="3">
        <v>44431</v>
      </c>
      <c r="D403" s="2" t="s">
        <v>2010</v>
      </c>
      <c r="E403" s="2" t="s">
        <v>2064</v>
      </c>
      <c r="F403" s="4">
        <v>4473.25</v>
      </c>
      <c r="G403" s="5">
        <v>983.68</v>
      </c>
      <c r="H403" s="6">
        <v>9</v>
      </c>
      <c r="I403" s="2" t="s">
        <v>2117</v>
      </c>
    </row>
    <row r="404" spans="2:9" x14ac:dyDescent="0.3">
      <c r="B404" s="2" t="s">
        <v>410</v>
      </c>
      <c r="C404" s="3">
        <v>44831</v>
      </c>
      <c r="D404" s="2" t="s">
        <v>2012</v>
      </c>
      <c r="E404" s="2" t="s">
        <v>2067</v>
      </c>
      <c r="F404" s="4">
        <v>821.69</v>
      </c>
      <c r="G404" s="5">
        <v>994.37</v>
      </c>
      <c r="H404" s="6">
        <v>5</v>
      </c>
      <c r="I404" s="2" t="s">
        <v>2117</v>
      </c>
    </row>
    <row r="405" spans="2:9" x14ac:dyDescent="0.3">
      <c r="B405" s="2" t="s">
        <v>411</v>
      </c>
      <c r="C405" s="3">
        <v>43845</v>
      </c>
      <c r="D405" s="2" t="s">
        <v>2012</v>
      </c>
      <c r="E405" s="2" t="s">
        <v>2087</v>
      </c>
      <c r="F405" s="4">
        <v>3362.75</v>
      </c>
      <c r="G405" s="5">
        <v>893.23</v>
      </c>
      <c r="H405" s="6">
        <v>17</v>
      </c>
      <c r="I405" s="2" t="s">
        <v>2118</v>
      </c>
    </row>
    <row r="406" spans="2:9" x14ac:dyDescent="0.3">
      <c r="B406" s="2" t="s">
        <v>412</v>
      </c>
      <c r="C406" s="3">
        <v>44525</v>
      </c>
      <c r="D406" s="2" t="s">
        <v>2010</v>
      </c>
      <c r="E406" s="2" t="s">
        <v>2094</v>
      </c>
      <c r="F406" s="4">
        <v>361.84</v>
      </c>
      <c r="G406" s="5">
        <v>462.02</v>
      </c>
      <c r="H406" s="6">
        <v>3</v>
      </c>
      <c r="I406" s="2" t="s">
        <v>2116</v>
      </c>
    </row>
    <row r="407" spans="2:9" x14ac:dyDescent="0.3">
      <c r="B407" s="2" t="s">
        <v>413</v>
      </c>
      <c r="C407" s="3">
        <v>44802</v>
      </c>
      <c r="D407" s="2" t="s">
        <v>2009</v>
      </c>
      <c r="E407" s="2" t="s">
        <v>2103</v>
      </c>
      <c r="F407" s="4">
        <v>4125.25</v>
      </c>
      <c r="G407" s="5">
        <v>592.55999999999995</v>
      </c>
      <c r="H407" s="6">
        <v>14</v>
      </c>
      <c r="I407" s="2" t="s">
        <v>2117</v>
      </c>
    </row>
    <row r="408" spans="2:9" x14ac:dyDescent="0.3">
      <c r="B408" s="2" t="s">
        <v>414</v>
      </c>
      <c r="C408" s="3">
        <v>43863</v>
      </c>
      <c r="D408" s="2" t="s">
        <v>2010</v>
      </c>
      <c r="E408" s="2" t="s">
        <v>2106</v>
      </c>
      <c r="F408" s="4">
        <v>558.03</v>
      </c>
      <c r="G408" s="5">
        <v>215.13</v>
      </c>
      <c r="H408" s="6">
        <v>14</v>
      </c>
      <c r="I408" s="2" t="s">
        <v>2117</v>
      </c>
    </row>
    <row r="409" spans="2:9" x14ac:dyDescent="0.3">
      <c r="B409" s="2" t="s">
        <v>415</v>
      </c>
      <c r="C409" s="3">
        <v>44697</v>
      </c>
      <c r="D409" s="2" t="s">
        <v>2010</v>
      </c>
      <c r="E409" s="2" t="s">
        <v>2057</v>
      </c>
      <c r="F409" s="4">
        <v>762.39</v>
      </c>
      <c r="G409" s="5">
        <v>396.87</v>
      </c>
      <c r="H409" s="6">
        <v>20</v>
      </c>
      <c r="I409" s="2" t="s">
        <v>2117</v>
      </c>
    </row>
    <row r="410" spans="2:9" x14ac:dyDescent="0.3">
      <c r="B410" s="2" t="s">
        <v>416</v>
      </c>
      <c r="C410" s="3">
        <v>44148</v>
      </c>
      <c r="D410" s="2" t="s">
        <v>2011</v>
      </c>
      <c r="E410" s="2" t="s">
        <v>2070</v>
      </c>
      <c r="F410" s="4">
        <v>3232.91</v>
      </c>
      <c r="G410" s="5">
        <v>364.28</v>
      </c>
      <c r="H410" s="6">
        <v>1</v>
      </c>
      <c r="I410" s="2" t="s">
        <v>2116</v>
      </c>
    </row>
    <row r="411" spans="2:9" x14ac:dyDescent="0.3">
      <c r="B411" s="2" t="s">
        <v>417</v>
      </c>
      <c r="C411" s="3">
        <v>44289</v>
      </c>
      <c r="D411" s="2" t="s">
        <v>2010</v>
      </c>
      <c r="E411" s="2" t="s">
        <v>2072</v>
      </c>
      <c r="F411" s="4">
        <v>2581.89</v>
      </c>
      <c r="G411" s="5">
        <v>521.19000000000005</v>
      </c>
      <c r="H411" s="6">
        <v>14</v>
      </c>
      <c r="I411" s="2" t="s">
        <v>2116</v>
      </c>
    </row>
    <row r="412" spans="2:9" x14ac:dyDescent="0.3">
      <c r="B412" s="2" t="s">
        <v>418</v>
      </c>
      <c r="C412" s="3">
        <v>44950</v>
      </c>
      <c r="D412" s="2" t="s">
        <v>2009</v>
      </c>
      <c r="E412" s="2" t="s">
        <v>2050</v>
      </c>
      <c r="F412" s="4">
        <v>1663.07</v>
      </c>
      <c r="G412" s="5">
        <v>207.78</v>
      </c>
      <c r="H412" s="6">
        <v>19</v>
      </c>
      <c r="I412" s="2" t="s">
        <v>2117</v>
      </c>
    </row>
    <row r="413" spans="2:9" x14ac:dyDescent="0.3">
      <c r="B413" s="2" t="s">
        <v>419</v>
      </c>
      <c r="C413" s="3">
        <v>45501</v>
      </c>
      <c r="D413" s="2" t="s">
        <v>2011</v>
      </c>
      <c r="E413" s="2" t="s">
        <v>2067</v>
      </c>
      <c r="F413" s="4">
        <v>2062.08</v>
      </c>
      <c r="G413" s="5">
        <v>769.52</v>
      </c>
      <c r="H413" s="6">
        <v>16</v>
      </c>
      <c r="I413" s="2" t="s">
        <v>2118</v>
      </c>
    </row>
    <row r="414" spans="2:9" x14ac:dyDescent="0.3">
      <c r="B414" s="2" t="s">
        <v>420</v>
      </c>
      <c r="C414" s="3">
        <v>44335</v>
      </c>
      <c r="D414" s="2" t="s">
        <v>2012</v>
      </c>
      <c r="E414" s="2" t="s">
        <v>2085</v>
      </c>
      <c r="F414" s="4">
        <v>2310.41</v>
      </c>
      <c r="G414" s="5">
        <v>911.48</v>
      </c>
      <c r="H414" s="6">
        <v>12</v>
      </c>
      <c r="I414" s="2" t="s">
        <v>2118</v>
      </c>
    </row>
    <row r="415" spans="2:9" x14ac:dyDescent="0.3">
      <c r="B415" s="2" t="s">
        <v>421</v>
      </c>
      <c r="C415" s="3">
        <v>44555</v>
      </c>
      <c r="D415" s="2" t="s">
        <v>2011</v>
      </c>
      <c r="E415" s="2" t="s">
        <v>2047</v>
      </c>
      <c r="F415" s="4">
        <v>2467.84</v>
      </c>
      <c r="G415" s="5">
        <v>208.08</v>
      </c>
      <c r="H415" s="6">
        <v>13</v>
      </c>
      <c r="I415" s="2" t="s">
        <v>2117</v>
      </c>
    </row>
    <row r="416" spans="2:9" x14ac:dyDescent="0.3">
      <c r="B416" s="2" t="s">
        <v>422</v>
      </c>
      <c r="C416" s="3">
        <v>43959</v>
      </c>
      <c r="D416" s="2" t="s">
        <v>2009</v>
      </c>
      <c r="E416" s="2" t="s">
        <v>2016</v>
      </c>
      <c r="F416" s="4">
        <v>4284.66</v>
      </c>
      <c r="G416" s="5">
        <v>492.9</v>
      </c>
      <c r="H416" s="6">
        <v>11</v>
      </c>
      <c r="I416" s="2" t="s">
        <v>2118</v>
      </c>
    </row>
    <row r="417" spans="2:9" x14ac:dyDescent="0.3">
      <c r="B417" s="2" t="s">
        <v>423</v>
      </c>
      <c r="C417" s="3">
        <v>45594</v>
      </c>
      <c r="D417" s="2" t="s">
        <v>2012</v>
      </c>
      <c r="E417" s="2" t="s">
        <v>2066</v>
      </c>
      <c r="F417" s="4">
        <v>53.95</v>
      </c>
      <c r="G417" s="5">
        <v>597</v>
      </c>
      <c r="H417" s="6">
        <v>8</v>
      </c>
      <c r="I417" s="2" t="s">
        <v>2116</v>
      </c>
    </row>
    <row r="418" spans="2:9" x14ac:dyDescent="0.3">
      <c r="B418" s="2" t="s">
        <v>424</v>
      </c>
      <c r="C418" s="3">
        <v>44145</v>
      </c>
      <c r="D418" s="2" t="s">
        <v>2012</v>
      </c>
      <c r="E418" s="2" t="s">
        <v>2033</v>
      </c>
      <c r="F418" s="4">
        <v>292.31</v>
      </c>
      <c r="G418" s="5">
        <v>720.54</v>
      </c>
      <c r="H418" s="6">
        <v>16</v>
      </c>
      <c r="I418" s="2" t="s">
        <v>2118</v>
      </c>
    </row>
    <row r="419" spans="2:9" x14ac:dyDescent="0.3">
      <c r="B419" s="2" t="s">
        <v>425</v>
      </c>
      <c r="C419" s="3">
        <v>43947</v>
      </c>
      <c r="D419" s="2" t="s">
        <v>2011</v>
      </c>
      <c r="E419" s="2" t="s">
        <v>2068</v>
      </c>
      <c r="F419" s="4">
        <v>2154.9899999999998</v>
      </c>
      <c r="G419" s="5">
        <v>938.7</v>
      </c>
      <c r="H419" s="6">
        <v>5</v>
      </c>
      <c r="I419" s="2" t="s">
        <v>2117</v>
      </c>
    </row>
    <row r="420" spans="2:9" x14ac:dyDescent="0.3">
      <c r="B420" s="2" t="s">
        <v>426</v>
      </c>
      <c r="C420" s="3">
        <v>45079</v>
      </c>
      <c r="D420" s="2" t="s">
        <v>2012</v>
      </c>
      <c r="E420" s="2" t="s">
        <v>2032</v>
      </c>
      <c r="F420" s="4">
        <v>3395.75</v>
      </c>
      <c r="G420" s="5">
        <v>210.46</v>
      </c>
      <c r="H420" s="6">
        <v>2</v>
      </c>
      <c r="I420" s="2" t="s">
        <v>2118</v>
      </c>
    </row>
    <row r="421" spans="2:9" x14ac:dyDescent="0.3">
      <c r="B421" s="2" t="s">
        <v>427</v>
      </c>
      <c r="C421" s="3">
        <v>44004</v>
      </c>
      <c r="D421" s="2" t="s">
        <v>2012</v>
      </c>
      <c r="E421" s="2" t="s">
        <v>2092</v>
      </c>
      <c r="F421" s="4">
        <v>4666.78</v>
      </c>
      <c r="G421" s="5">
        <v>935.66</v>
      </c>
      <c r="H421" s="6">
        <v>16</v>
      </c>
      <c r="I421" s="2" t="s">
        <v>2116</v>
      </c>
    </row>
    <row r="422" spans="2:9" x14ac:dyDescent="0.3">
      <c r="B422" s="2" t="s">
        <v>428</v>
      </c>
      <c r="C422" s="3">
        <v>44450</v>
      </c>
      <c r="D422" s="2" t="s">
        <v>2012</v>
      </c>
      <c r="E422" s="2" t="s">
        <v>2056</v>
      </c>
      <c r="F422" s="4">
        <v>737.76</v>
      </c>
      <c r="G422" s="5">
        <v>749.95</v>
      </c>
      <c r="H422" s="6">
        <v>12</v>
      </c>
      <c r="I422" s="2" t="s">
        <v>2118</v>
      </c>
    </row>
    <row r="423" spans="2:9" x14ac:dyDescent="0.3">
      <c r="B423" s="2" t="s">
        <v>429</v>
      </c>
      <c r="C423" s="3">
        <v>45476</v>
      </c>
      <c r="D423" s="2" t="s">
        <v>2011</v>
      </c>
      <c r="E423" s="2" t="s">
        <v>2080</v>
      </c>
      <c r="F423" s="4">
        <v>514.54</v>
      </c>
      <c r="G423" s="5">
        <v>770.52</v>
      </c>
      <c r="H423" s="6">
        <v>17</v>
      </c>
      <c r="I423" s="2" t="s">
        <v>2117</v>
      </c>
    </row>
    <row r="424" spans="2:9" x14ac:dyDescent="0.3">
      <c r="B424" s="2" t="s">
        <v>430</v>
      </c>
      <c r="C424" s="3">
        <v>44032</v>
      </c>
      <c r="D424" s="2" t="s">
        <v>2009</v>
      </c>
      <c r="E424" s="2" t="s">
        <v>2066</v>
      </c>
      <c r="F424" s="4">
        <v>1329.04</v>
      </c>
      <c r="G424" s="5">
        <v>153.52000000000001</v>
      </c>
      <c r="H424" s="6">
        <v>15</v>
      </c>
      <c r="I424" s="2" t="s">
        <v>2118</v>
      </c>
    </row>
    <row r="425" spans="2:9" x14ac:dyDescent="0.3">
      <c r="B425" s="2" t="s">
        <v>431</v>
      </c>
      <c r="C425" s="3">
        <v>44073</v>
      </c>
      <c r="D425" s="2" t="s">
        <v>2009</v>
      </c>
      <c r="E425" s="2" t="s">
        <v>2108</v>
      </c>
      <c r="F425" s="4">
        <v>2836.21</v>
      </c>
      <c r="G425" s="5">
        <v>283.31</v>
      </c>
      <c r="H425" s="6">
        <v>17</v>
      </c>
      <c r="I425" s="2" t="s">
        <v>2117</v>
      </c>
    </row>
    <row r="426" spans="2:9" x14ac:dyDescent="0.3">
      <c r="B426" s="2" t="s">
        <v>432</v>
      </c>
      <c r="C426" s="3">
        <v>45073</v>
      </c>
      <c r="D426" s="2" t="s">
        <v>2010</v>
      </c>
      <c r="E426" s="2" t="s">
        <v>2077</v>
      </c>
      <c r="F426" s="4">
        <v>2973.71</v>
      </c>
      <c r="G426" s="5">
        <v>721.17</v>
      </c>
      <c r="H426" s="6">
        <v>8</v>
      </c>
      <c r="I426" s="2" t="s">
        <v>2117</v>
      </c>
    </row>
    <row r="427" spans="2:9" x14ac:dyDescent="0.3">
      <c r="B427" s="2" t="s">
        <v>433</v>
      </c>
      <c r="C427" s="3">
        <v>44506</v>
      </c>
      <c r="D427" s="2" t="s">
        <v>2012</v>
      </c>
      <c r="E427" s="2" t="s">
        <v>2057</v>
      </c>
      <c r="F427" s="4">
        <v>805.17</v>
      </c>
      <c r="G427" s="5">
        <v>166.13</v>
      </c>
      <c r="H427" s="6">
        <v>5</v>
      </c>
      <c r="I427" s="2" t="s">
        <v>2117</v>
      </c>
    </row>
    <row r="428" spans="2:9" x14ac:dyDescent="0.3">
      <c r="B428" s="2" t="s">
        <v>434</v>
      </c>
      <c r="C428" s="3">
        <v>44727</v>
      </c>
      <c r="D428" s="2" t="s">
        <v>2009</v>
      </c>
      <c r="E428" s="2" t="s">
        <v>2052</v>
      </c>
      <c r="F428" s="4">
        <v>3137.47</v>
      </c>
      <c r="G428" s="5">
        <v>676.34</v>
      </c>
      <c r="H428" s="6">
        <v>19</v>
      </c>
      <c r="I428" s="2" t="s">
        <v>2117</v>
      </c>
    </row>
    <row r="429" spans="2:9" x14ac:dyDescent="0.3">
      <c r="B429" s="2" t="s">
        <v>435</v>
      </c>
      <c r="C429" s="3">
        <v>44379</v>
      </c>
      <c r="D429" s="2" t="s">
        <v>2012</v>
      </c>
      <c r="E429" s="2" t="s">
        <v>2031</v>
      </c>
      <c r="F429" s="4">
        <v>462.02</v>
      </c>
      <c r="G429" s="5">
        <v>859.87</v>
      </c>
      <c r="H429" s="6">
        <v>19</v>
      </c>
      <c r="I429" s="2" t="s">
        <v>2117</v>
      </c>
    </row>
    <row r="430" spans="2:9" x14ac:dyDescent="0.3">
      <c r="B430" s="2" t="s">
        <v>436</v>
      </c>
      <c r="C430" s="3">
        <v>43992</v>
      </c>
      <c r="D430" s="2" t="s">
        <v>2011</v>
      </c>
      <c r="E430" s="2" t="s">
        <v>2052</v>
      </c>
      <c r="F430" s="4">
        <v>701.07</v>
      </c>
      <c r="G430" s="5">
        <v>50.86</v>
      </c>
      <c r="H430" s="6">
        <v>4</v>
      </c>
      <c r="I430" s="2" t="s">
        <v>2117</v>
      </c>
    </row>
    <row r="431" spans="2:9" x14ac:dyDescent="0.3">
      <c r="B431" s="2" t="s">
        <v>437</v>
      </c>
      <c r="C431" s="3">
        <v>44618</v>
      </c>
      <c r="D431" s="2" t="s">
        <v>2011</v>
      </c>
      <c r="E431" s="2" t="s">
        <v>2044</v>
      </c>
      <c r="F431" s="4">
        <v>3613.08</v>
      </c>
      <c r="G431" s="5">
        <v>994.38</v>
      </c>
      <c r="H431" s="6">
        <v>19</v>
      </c>
      <c r="I431" s="2" t="s">
        <v>2116</v>
      </c>
    </row>
    <row r="432" spans="2:9" x14ac:dyDescent="0.3">
      <c r="B432" s="2" t="s">
        <v>438</v>
      </c>
      <c r="C432" s="3">
        <v>45470</v>
      </c>
      <c r="D432" s="2" t="s">
        <v>2011</v>
      </c>
      <c r="E432" s="2" t="s">
        <v>2034</v>
      </c>
      <c r="F432" s="4">
        <v>1025.29</v>
      </c>
      <c r="G432" s="5">
        <v>676.99</v>
      </c>
      <c r="H432" s="6">
        <v>5</v>
      </c>
      <c r="I432" s="2" t="s">
        <v>2116</v>
      </c>
    </row>
    <row r="433" spans="2:9" x14ac:dyDescent="0.3">
      <c r="B433" s="2" t="s">
        <v>439</v>
      </c>
      <c r="C433" s="3">
        <v>45573</v>
      </c>
      <c r="D433" s="2" t="s">
        <v>2012</v>
      </c>
      <c r="E433" s="2" t="s">
        <v>2065</v>
      </c>
      <c r="F433" s="4">
        <v>1631.34</v>
      </c>
      <c r="G433" s="5">
        <v>676.88</v>
      </c>
      <c r="H433" s="6">
        <v>6</v>
      </c>
      <c r="I433" s="2" t="s">
        <v>2118</v>
      </c>
    </row>
    <row r="434" spans="2:9" x14ac:dyDescent="0.3">
      <c r="B434" s="2" t="s">
        <v>440</v>
      </c>
      <c r="C434" s="3">
        <v>44901</v>
      </c>
      <c r="D434" s="2" t="s">
        <v>2011</v>
      </c>
      <c r="E434" s="2" t="s">
        <v>2044</v>
      </c>
      <c r="F434" s="4">
        <v>1394.39</v>
      </c>
      <c r="G434" s="5">
        <v>451.58</v>
      </c>
      <c r="H434" s="6">
        <v>16</v>
      </c>
      <c r="I434" s="2" t="s">
        <v>2118</v>
      </c>
    </row>
    <row r="435" spans="2:9" x14ac:dyDescent="0.3">
      <c r="B435" s="2" t="s">
        <v>441</v>
      </c>
      <c r="C435" s="3">
        <v>45558</v>
      </c>
      <c r="D435" s="2" t="s">
        <v>2010</v>
      </c>
      <c r="E435" s="2" t="s">
        <v>2074</v>
      </c>
      <c r="F435" s="4">
        <v>4780.47</v>
      </c>
      <c r="G435" s="5">
        <v>793.72</v>
      </c>
      <c r="H435" s="6">
        <v>9</v>
      </c>
      <c r="I435" s="2" t="s">
        <v>2116</v>
      </c>
    </row>
    <row r="436" spans="2:9" x14ac:dyDescent="0.3">
      <c r="B436" s="2" t="s">
        <v>442</v>
      </c>
      <c r="C436" s="3">
        <v>44204</v>
      </c>
      <c r="D436" s="2" t="s">
        <v>2012</v>
      </c>
      <c r="E436" s="2" t="s">
        <v>2027</v>
      </c>
      <c r="F436" s="4">
        <v>2836.38</v>
      </c>
      <c r="G436" s="5">
        <v>530.95000000000005</v>
      </c>
      <c r="H436" s="6">
        <v>12</v>
      </c>
      <c r="I436" s="2" t="s">
        <v>2116</v>
      </c>
    </row>
    <row r="437" spans="2:9" x14ac:dyDescent="0.3">
      <c r="B437" s="2" t="s">
        <v>443</v>
      </c>
      <c r="C437" s="3">
        <v>45151</v>
      </c>
      <c r="D437" s="2" t="s">
        <v>2011</v>
      </c>
      <c r="E437" s="2" t="s">
        <v>2041</v>
      </c>
      <c r="F437" s="4">
        <v>973.55</v>
      </c>
      <c r="G437" s="5">
        <v>621.22</v>
      </c>
      <c r="H437" s="6">
        <v>8</v>
      </c>
      <c r="I437" s="2" t="s">
        <v>2117</v>
      </c>
    </row>
    <row r="438" spans="2:9" x14ac:dyDescent="0.3">
      <c r="B438" s="2" t="s">
        <v>444</v>
      </c>
      <c r="C438" s="3">
        <v>44670</v>
      </c>
      <c r="D438" s="2" t="s">
        <v>2012</v>
      </c>
      <c r="E438" s="2" t="s">
        <v>2031</v>
      </c>
      <c r="F438" s="4">
        <v>2061.88</v>
      </c>
      <c r="G438" s="5">
        <v>149.5</v>
      </c>
      <c r="H438" s="6">
        <v>5</v>
      </c>
      <c r="I438" s="2" t="s">
        <v>2118</v>
      </c>
    </row>
    <row r="439" spans="2:9" x14ac:dyDescent="0.3">
      <c r="B439" s="2" t="s">
        <v>445</v>
      </c>
      <c r="C439" s="3">
        <v>45387</v>
      </c>
      <c r="D439" s="2" t="s">
        <v>2010</v>
      </c>
      <c r="E439" s="2" t="s">
        <v>2078</v>
      </c>
      <c r="F439" s="4">
        <v>839.55</v>
      </c>
      <c r="G439" s="5">
        <v>521.67999999999995</v>
      </c>
      <c r="H439" s="6">
        <v>6</v>
      </c>
      <c r="I439" s="2" t="s">
        <v>2116</v>
      </c>
    </row>
    <row r="440" spans="2:9" x14ac:dyDescent="0.3">
      <c r="B440" s="2" t="s">
        <v>446</v>
      </c>
      <c r="C440" s="3">
        <v>44404</v>
      </c>
      <c r="D440" s="2" t="s">
        <v>2011</v>
      </c>
      <c r="E440" s="2" t="s">
        <v>2055</v>
      </c>
      <c r="F440" s="4">
        <v>2718.55</v>
      </c>
      <c r="G440" s="5">
        <v>575.29999999999995</v>
      </c>
      <c r="H440" s="6">
        <v>10</v>
      </c>
      <c r="I440" s="2" t="s">
        <v>2116</v>
      </c>
    </row>
    <row r="441" spans="2:9" x14ac:dyDescent="0.3">
      <c r="B441" s="2" t="s">
        <v>447</v>
      </c>
      <c r="C441" s="3">
        <v>45122</v>
      </c>
      <c r="D441" s="2" t="s">
        <v>2009</v>
      </c>
      <c r="E441" s="2" t="s">
        <v>2078</v>
      </c>
      <c r="F441" s="4">
        <v>4855.71</v>
      </c>
      <c r="G441" s="5">
        <v>820.77</v>
      </c>
      <c r="H441" s="6">
        <v>18</v>
      </c>
      <c r="I441" s="2" t="s">
        <v>2117</v>
      </c>
    </row>
    <row r="442" spans="2:9" x14ac:dyDescent="0.3">
      <c r="B442" s="2" t="s">
        <v>448</v>
      </c>
      <c r="C442" s="3">
        <v>44539</v>
      </c>
      <c r="D442" s="2" t="s">
        <v>2012</v>
      </c>
      <c r="E442" s="2" t="s">
        <v>2084</v>
      </c>
      <c r="F442" s="4">
        <v>4218.45</v>
      </c>
      <c r="G442" s="5">
        <v>26.91</v>
      </c>
      <c r="H442" s="6">
        <v>15</v>
      </c>
      <c r="I442" s="2" t="s">
        <v>2117</v>
      </c>
    </row>
    <row r="443" spans="2:9" x14ac:dyDescent="0.3">
      <c r="B443" s="2" t="s">
        <v>449</v>
      </c>
      <c r="C443" s="3">
        <v>44606</v>
      </c>
      <c r="D443" s="2" t="s">
        <v>2010</v>
      </c>
      <c r="E443" s="2" t="s">
        <v>2080</v>
      </c>
      <c r="F443" s="4">
        <v>4176.04</v>
      </c>
      <c r="G443" s="5">
        <v>204.87</v>
      </c>
      <c r="H443" s="6">
        <v>16</v>
      </c>
      <c r="I443" s="2" t="s">
        <v>2117</v>
      </c>
    </row>
    <row r="444" spans="2:9" x14ac:dyDescent="0.3">
      <c r="B444" s="2" t="s">
        <v>450</v>
      </c>
      <c r="C444" s="3">
        <v>43926</v>
      </c>
      <c r="D444" s="2" t="s">
        <v>2011</v>
      </c>
      <c r="E444" s="2" t="s">
        <v>2075</v>
      </c>
      <c r="F444" s="4">
        <v>243.84</v>
      </c>
      <c r="G444" s="5">
        <v>588.99</v>
      </c>
      <c r="H444" s="6">
        <v>19</v>
      </c>
      <c r="I444" s="2" t="s">
        <v>2116</v>
      </c>
    </row>
    <row r="445" spans="2:9" x14ac:dyDescent="0.3">
      <c r="B445" s="2" t="s">
        <v>451</v>
      </c>
      <c r="C445" s="3">
        <v>45333</v>
      </c>
      <c r="D445" s="2" t="s">
        <v>2010</v>
      </c>
      <c r="E445" s="2" t="s">
        <v>2022</v>
      </c>
      <c r="F445" s="4">
        <v>386.12</v>
      </c>
      <c r="G445" s="5">
        <v>423.58</v>
      </c>
      <c r="H445" s="6">
        <v>13</v>
      </c>
      <c r="I445" s="2" t="s">
        <v>2116</v>
      </c>
    </row>
    <row r="446" spans="2:9" x14ac:dyDescent="0.3">
      <c r="B446" s="2" t="s">
        <v>452</v>
      </c>
      <c r="C446" s="3">
        <v>45202</v>
      </c>
      <c r="D446" s="2" t="s">
        <v>2011</v>
      </c>
      <c r="E446" s="2" t="s">
        <v>2051</v>
      </c>
      <c r="F446" s="4">
        <v>3012.86</v>
      </c>
      <c r="G446" s="5">
        <v>58.7</v>
      </c>
      <c r="H446" s="6">
        <v>20</v>
      </c>
      <c r="I446" s="2" t="s">
        <v>2116</v>
      </c>
    </row>
    <row r="447" spans="2:9" x14ac:dyDescent="0.3">
      <c r="B447" s="2" t="s">
        <v>453</v>
      </c>
      <c r="C447" s="3">
        <v>45219</v>
      </c>
      <c r="D447" s="2" t="s">
        <v>2012</v>
      </c>
      <c r="E447" s="2" t="s">
        <v>2102</v>
      </c>
      <c r="F447" s="4">
        <v>1142.82</v>
      </c>
      <c r="G447" s="5">
        <v>635.05999999999995</v>
      </c>
      <c r="H447" s="6">
        <v>9</v>
      </c>
      <c r="I447" s="2" t="s">
        <v>2116</v>
      </c>
    </row>
    <row r="448" spans="2:9" x14ac:dyDescent="0.3">
      <c r="B448" s="2" t="s">
        <v>454</v>
      </c>
      <c r="C448" s="3">
        <v>45291</v>
      </c>
      <c r="D448" s="2" t="s">
        <v>2012</v>
      </c>
      <c r="E448" s="2" t="s">
        <v>2071</v>
      </c>
      <c r="F448" s="4">
        <v>4777.6400000000003</v>
      </c>
      <c r="G448" s="5">
        <v>743.5</v>
      </c>
      <c r="H448" s="6">
        <v>5</v>
      </c>
      <c r="I448" s="2" t="s">
        <v>2117</v>
      </c>
    </row>
    <row r="449" spans="2:9" x14ac:dyDescent="0.3">
      <c r="B449" s="2" t="s">
        <v>455</v>
      </c>
      <c r="C449" s="3">
        <v>45604</v>
      </c>
      <c r="D449" s="2" t="s">
        <v>2012</v>
      </c>
      <c r="E449" s="2" t="s">
        <v>2034</v>
      </c>
      <c r="F449" s="4">
        <v>4422.87</v>
      </c>
      <c r="G449" s="5">
        <v>715.99</v>
      </c>
      <c r="H449" s="6">
        <v>8</v>
      </c>
      <c r="I449" s="2" t="s">
        <v>2117</v>
      </c>
    </row>
    <row r="450" spans="2:9" x14ac:dyDescent="0.3">
      <c r="B450" s="2" t="s">
        <v>456</v>
      </c>
      <c r="C450" s="3">
        <v>44358</v>
      </c>
      <c r="D450" s="2" t="s">
        <v>2011</v>
      </c>
      <c r="E450" s="2" t="s">
        <v>2076</v>
      </c>
      <c r="F450" s="4">
        <v>4865.8100000000004</v>
      </c>
      <c r="G450" s="5">
        <v>411.85</v>
      </c>
      <c r="H450" s="6">
        <v>13</v>
      </c>
      <c r="I450" s="2" t="s">
        <v>2116</v>
      </c>
    </row>
    <row r="451" spans="2:9" x14ac:dyDescent="0.3">
      <c r="B451" s="2" t="s">
        <v>457</v>
      </c>
      <c r="C451" s="3">
        <v>44330</v>
      </c>
      <c r="D451" s="2" t="s">
        <v>2011</v>
      </c>
      <c r="E451" s="2" t="s">
        <v>2091</v>
      </c>
      <c r="F451" s="4">
        <v>1952.28</v>
      </c>
      <c r="G451" s="5">
        <v>249.81</v>
      </c>
      <c r="H451" s="6">
        <v>18</v>
      </c>
      <c r="I451" s="2" t="s">
        <v>2116</v>
      </c>
    </row>
    <row r="452" spans="2:9" x14ac:dyDescent="0.3">
      <c r="B452" s="2" t="s">
        <v>458</v>
      </c>
      <c r="C452" s="3">
        <v>44464</v>
      </c>
      <c r="D452" s="2" t="s">
        <v>2011</v>
      </c>
      <c r="E452" s="2" t="s">
        <v>2027</v>
      </c>
      <c r="F452" s="4">
        <v>1955.18</v>
      </c>
      <c r="G452" s="5">
        <v>501.63</v>
      </c>
      <c r="H452" s="6">
        <v>13</v>
      </c>
      <c r="I452" s="2" t="s">
        <v>2117</v>
      </c>
    </row>
    <row r="453" spans="2:9" x14ac:dyDescent="0.3">
      <c r="B453" s="2" t="s">
        <v>459</v>
      </c>
      <c r="C453" s="3">
        <v>44588</v>
      </c>
      <c r="D453" s="2" t="s">
        <v>2011</v>
      </c>
      <c r="E453" s="2" t="s">
        <v>2052</v>
      </c>
      <c r="F453" s="4">
        <v>4461.42</v>
      </c>
      <c r="G453" s="5">
        <v>495.93</v>
      </c>
      <c r="H453" s="6">
        <v>7</v>
      </c>
      <c r="I453" s="2" t="s">
        <v>2116</v>
      </c>
    </row>
    <row r="454" spans="2:9" x14ac:dyDescent="0.3">
      <c r="B454" s="2" t="s">
        <v>460</v>
      </c>
      <c r="C454" s="3">
        <v>43859</v>
      </c>
      <c r="D454" s="2" t="s">
        <v>2009</v>
      </c>
      <c r="E454" s="2" t="s">
        <v>2101</v>
      </c>
      <c r="F454" s="4">
        <v>1094.4000000000001</v>
      </c>
      <c r="G454" s="5">
        <v>306.77</v>
      </c>
      <c r="H454" s="6">
        <v>19</v>
      </c>
      <c r="I454" s="2" t="s">
        <v>2118</v>
      </c>
    </row>
    <row r="455" spans="2:9" x14ac:dyDescent="0.3">
      <c r="B455" s="2" t="s">
        <v>461</v>
      </c>
      <c r="C455" s="3">
        <v>44514</v>
      </c>
      <c r="D455" s="2" t="s">
        <v>2009</v>
      </c>
      <c r="E455" s="2" t="s">
        <v>2109</v>
      </c>
      <c r="F455" s="4">
        <v>1060</v>
      </c>
      <c r="G455" s="5">
        <v>639.26</v>
      </c>
      <c r="H455" s="6">
        <v>8</v>
      </c>
      <c r="I455" s="2" t="s">
        <v>2116</v>
      </c>
    </row>
    <row r="456" spans="2:9" x14ac:dyDescent="0.3">
      <c r="B456" s="2" t="s">
        <v>462</v>
      </c>
      <c r="C456" s="3">
        <v>45215</v>
      </c>
      <c r="D456" s="2" t="s">
        <v>2009</v>
      </c>
      <c r="E456" s="2" t="s">
        <v>2032</v>
      </c>
      <c r="F456" s="4">
        <v>1651.62</v>
      </c>
      <c r="G456" s="5">
        <v>512.22</v>
      </c>
      <c r="H456" s="6">
        <v>3</v>
      </c>
      <c r="I456" s="2" t="s">
        <v>2118</v>
      </c>
    </row>
    <row r="457" spans="2:9" x14ac:dyDescent="0.3">
      <c r="B457" s="2" t="s">
        <v>463</v>
      </c>
      <c r="C457" s="3">
        <v>44372</v>
      </c>
      <c r="D457" s="2" t="s">
        <v>2009</v>
      </c>
      <c r="E457" s="2" t="s">
        <v>2053</v>
      </c>
      <c r="F457" s="4">
        <v>4921.7299999999996</v>
      </c>
      <c r="G457" s="5">
        <v>508.18</v>
      </c>
      <c r="H457" s="6">
        <v>3</v>
      </c>
      <c r="I457" s="2" t="s">
        <v>2117</v>
      </c>
    </row>
    <row r="458" spans="2:9" x14ac:dyDescent="0.3">
      <c r="B458" s="2" t="s">
        <v>464</v>
      </c>
      <c r="C458" s="3">
        <v>44593</v>
      </c>
      <c r="D458" s="2" t="s">
        <v>2011</v>
      </c>
      <c r="E458" s="2" t="s">
        <v>2027</v>
      </c>
      <c r="F458" s="4">
        <v>1426.56</v>
      </c>
      <c r="G458" s="5">
        <v>140.30000000000001</v>
      </c>
      <c r="H458" s="6">
        <v>18</v>
      </c>
      <c r="I458" s="2" t="s">
        <v>2118</v>
      </c>
    </row>
    <row r="459" spans="2:9" x14ac:dyDescent="0.3">
      <c r="B459" s="2" t="s">
        <v>465</v>
      </c>
      <c r="C459" s="3">
        <v>44622</v>
      </c>
      <c r="D459" s="2" t="s">
        <v>2009</v>
      </c>
      <c r="E459" s="2" t="s">
        <v>2023</v>
      </c>
      <c r="F459" s="4">
        <v>476.19</v>
      </c>
      <c r="G459" s="5">
        <v>831.67</v>
      </c>
      <c r="H459" s="6">
        <v>3</v>
      </c>
      <c r="I459" s="2" t="s">
        <v>2116</v>
      </c>
    </row>
    <row r="460" spans="2:9" x14ac:dyDescent="0.3">
      <c r="B460" s="2" t="s">
        <v>466</v>
      </c>
      <c r="C460" s="3">
        <v>44635</v>
      </c>
      <c r="D460" s="2" t="s">
        <v>2012</v>
      </c>
      <c r="E460" s="2" t="s">
        <v>2035</v>
      </c>
      <c r="F460" s="4">
        <v>4343.68</v>
      </c>
      <c r="G460" s="5">
        <v>362.28</v>
      </c>
      <c r="H460" s="6">
        <v>10</v>
      </c>
      <c r="I460" s="2" t="s">
        <v>2117</v>
      </c>
    </row>
    <row r="461" spans="2:9" x14ac:dyDescent="0.3">
      <c r="B461" s="2" t="s">
        <v>467</v>
      </c>
      <c r="C461" s="3">
        <v>44678</v>
      </c>
      <c r="D461" s="2" t="s">
        <v>2009</v>
      </c>
      <c r="E461" s="2" t="s">
        <v>2102</v>
      </c>
      <c r="F461" s="4">
        <v>3987.63</v>
      </c>
      <c r="G461" s="5">
        <v>650.99</v>
      </c>
      <c r="H461" s="6">
        <v>5</v>
      </c>
      <c r="I461" s="2" t="s">
        <v>2116</v>
      </c>
    </row>
    <row r="462" spans="2:9" x14ac:dyDescent="0.3">
      <c r="B462" s="2" t="s">
        <v>468</v>
      </c>
      <c r="C462" s="3">
        <v>45046</v>
      </c>
      <c r="D462" s="2" t="s">
        <v>2011</v>
      </c>
      <c r="E462" s="2" t="s">
        <v>2037</v>
      </c>
      <c r="F462" s="4">
        <v>4009.24</v>
      </c>
      <c r="G462" s="5">
        <v>640.36</v>
      </c>
      <c r="H462" s="6">
        <v>19</v>
      </c>
      <c r="I462" s="2" t="s">
        <v>2116</v>
      </c>
    </row>
    <row r="463" spans="2:9" x14ac:dyDescent="0.3">
      <c r="B463" s="2" t="s">
        <v>469</v>
      </c>
      <c r="C463" s="3">
        <v>44237</v>
      </c>
      <c r="D463" s="2" t="s">
        <v>2009</v>
      </c>
      <c r="E463" s="2" t="s">
        <v>2084</v>
      </c>
      <c r="F463" s="4">
        <v>4332.34</v>
      </c>
      <c r="G463" s="5">
        <v>664.23</v>
      </c>
      <c r="H463" s="6">
        <v>1</v>
      </c>
      <c r="I463" s="2" t="s">
        <v>2117</v>
      </c>
    </row>
    <row r="464" spans="2:9" x14ac:dyDescent="0.3">
      <c r="B464" s="2" t="s">
        <v>470</v>
      </c>
      <c r="C464" s="3">
        <v>44918</v>
      </c>
      <c r="D464" s="2" t="s">
        <v>2009</v>
      </c>
      <c r="E464" s="2" t="s">
        <v>2089</v>
      </c>
      <c r="F464" s="4">
        <v>1205.3499999999999</v>
      </c>
      <c r="G464" s="5">
        <v>513.33000000000004</v>
      </c>
      <c r="H464" s="6">
        <v>7</v>
      </c>
      <c r="I464" s="2" t="s">
        <v>2117</v>
      </c>
    </row>
    <row r="465" spans="2:9" x14ac:dyDescent="0.3">
      <c r="B465" s="2" t="s">
        <v>471</v>
      </c>
      <c r="C465" s="3">
        <v>44507</v>
      </c>
      <c r="D465" s="2" t="s">
        <v>2012</v>
      </c>
      <c r="E465" s="2" t="s">
        <v>2073</v>
      </c>
      <c r="F465" s="4">
        <v>1270.5999999999999</v>
      </c>
      <c r="G465" s="5">
        <v>413.52</v>
      </c>
      <c r="H465" s="6">
        <v>18</v>
      </c>
      <c r="I465" s="2" t="s">
        <v>2116</v>
      </c>
    </row>
    <row r="466" spans="2:9" x14ac:dyDescent="0.3">
      <c r="B466" s="2" t="s">
        <v>472</v>
      </c>
      <c r="C466" s="3">
        <v>45002</v>
      </c>
      <c r="D466" s="2" t="s">
        <v>2009</v>
      </c>
      <c r="E466" s="2" t="s">
        <v>2041</v>
      </c>
      <c r="F466" s="4">
        <v>2511.1799999999998</v>
      </c>
      <c r="G466" s="5">
        <v>391.4</v>
      </c>
      <c r="H466" s="6">
        <v>14</v>
      </c>
      <c r="I466" s="2" t="s">
        <v>2117</v>
      </c>
    </row>
    <row r="467" spans="2:9" x14ac:dyDescent="0.3">
      <c r="B467" s="2" t="s">
        <v>473</v>
      </c>
      <c r="C467" s="3">
        <v>44788</v>
      </c>
      <c r="D467" s="2" t="s">
        <v>2012</v>
      </c>
      <c r="E467" s="2" t="s">
        <v>2065</v>
      </c>
      <c r="F467" s="4">
        <v>2601.2800000000002</v>
      </c>
      <c r="G467" s="5">
        <v>636.66999999999996</v>
      </c>
      <c r="H467" s="6">
        <v>16</v>
      </c>
      <c r="I467" s="2" t="s">
        <v>2116</v>
      </c>
    </row>
    <row r="468" spans="2:9" x14ac:dyDescent="0.3">
      <c r="B468" s="2" t="s">
        <v>474</v>
      </c>
      <c r="C468" s="3">
        <v>45504</v>
      </c>
      <c r="D468" s="2" t="s">
        <v>2009</v>
      </c>
      <c r="E468" s="2" t="s">
        <v>2058</v>
      </c>
      <c r="F468" s="4">
        <v>4228.4799999999996</v>
      </c>
      <c r="G468" s="5">
        <v>464.12</v>
      </c>
      <c r="H468" s="6">
        <v>9</v>
      </c>
      <c r="I468" s="2" t="s">
        <v>2118</v>
      </c>
    </row>
    <row r="469" spans="2:9" x14ac:dyDescent="0.3">
      <c r="B469" s="2" t="s">
        <v>475</v>
      </c>
      <c r="C469" s="3">
        <v>44832</v>
      </c>
      <c r="D469" s="2" t="s">
        <v>2010</v>
      </c>
      <c r="E469" s="2" t="s">
        <v>2034</v>
      </c>
      <c r="F469" s="4">
        <v>2657.27</v>
      </c>
      <c r="G469" s="5">
        <v>506.81</v>
      </c>
      <c r="H469" s="6">
        <v>7</v>
      </c>
      <c r="I469" s="2" t="s">
        <v>2116</v>
      </c>
    </row>
    <row r="470" spans="2:9" x14ac:dyDescent="0.3">
      <c r="B470" s="2" t="s">
        <v>476</v>
      </c>
      <c r="C470" s="3">
        <v>44127</v>
      </c>
      <c r="D470" s="2" t="s">
        <v>2011</v>
      </c>
      <c r="E470" s="2" t="s">
        <v>2075</v>
      </c>
      <c r="F470" s="4">
        <v>4049.19</v>
      </c>
      <c r="G470" s="5">
        <v>873.22</v>
      </c>
      <c r="H470" s="6">
        <v>7</v>
      </c>
      <c r="I470" s="2" t="s">
        <v>2118</v>
      </c>
    </row>
    <row r="471" spans="2:9" x14ac:dyDescent="0.3">
      <c r="B471" s="2" t="s">
        <v>477</v>
      </c>
      <c r="C471" s="3">
        <v>44383</v>
      </c>
      <c r="D471" s="2" t="s">
        <v>2011</v>
      </c>
      <c r="E471" s="2" t="s">
        <v>2063</v>
      </c>
      <c r="F471" s="4">
        <v>3156.73</v>
      </c>
      <c r="G471" s="5">
        <v>536.03</v>
      </c>
      <c r="H471" s="6">
        <v>14</v>
      </c>
      <c r="I471" s="2" t="s">
        <v>2116</v>
      </c>
    </row>
    <row r="472" spans="2:9" x14ac:dyDescent="0.3">
      <c r="B472" s="2" t="s">
        <v>478</v>
      </c>
      <c r="C472" s="3">
        <v>45191</v>
      </c>
      <c r="D472" s="2" t="s">
        <v>2009</v>
      </c>
      <c r="E472" s="2" t="s">
        <v>2067</v>
      </c>
      <c r="F472" s="4">
        <v>861.55</v>
      </c>
      <c r="G472" s="5">
        <v>460.38</v>
      </c>
      <c r="H472" s="6">
        <v>7</v>
      </c>
      <c r="I472" s="2" t="s">
        <v>2118</v>
      </c>
    </row>
    <row r="473" spans="2:9" x14ac:dyDescent="0.3">
      <c r="B473" s="2" t="s">
        <v>479</v>
      </c>
      <c r="C473" s="3">
        <v>45045</v>
      </c>
      <c r="D473" s="2" t="s">
        <v>2011</v>
      </c>
      <c r="E473" s="2" t="s">
        <v>2084</v>
      </c>
      <c r="F473" s="4">
        <v>4542.3</v>
      </c>
      <c r="G473" s="5">
        <v>621.69000000000005</v>
      </c>
      <c r="H473" s="6">
        <v>17</v>
      </c>
      <c r="I473" s="2" t="s">
        <v>2116</v>
      </c>
    </row>
    <row r="474" spans="2:9" x14ac:dyDescent="0.3">
      <c r="B474" s="2" t="s">
        <v>480</v>
      </c>
      <c r="C474" s="3">
        <v>44115</v>
      </c>
      <c r="D474" s="2" t="s">
        <v>2009</v>
      </c>
      <c r="E474" s="2" t="s">
        <v>2087</v>
      </c>
      <c r="F474" s="4">
        <v>2737.26</v>
      </c>
      <c r="G474" s="5">
        <v>89.34</v>
      </c>
      <c r="H474" s="6">
        <v>2</v>
      </c>
      <c r="I474" s="2" t="s">
        <v>2117</v>
      </c>
    </row>
    <row r="475" spans="2:9" x14ac:dyDescent="0.3">
      <c r="B475" s="2" t="s">
        <v>481</v>
      </c>
      <c r="C475" s="3">
        <v>44620</v>
      </c>
      <c r="D475" s="2" t="s">
        <v>2012</v>
      </c>
      <c r="E475" s="2" t="s">
        <v>2095</v>
      </c>
      <c r="F475" s="4">
        <v>4989.46</v>
      </c>
      <c r="G475" s="5">
        <v>524.02</v>
      </c>
      <c r="H475" s="6">
        <v>4</v>
      </c>
      <c r="I475" s="2" t="s">
        <v>2116</v>
      </c>
    </row>
    <row r="476" spans="2:9" x14ac:dyDescent="0.3">
      <c r="B476" s="2" t="s">
        <v>482</v>
      </c>
      <c r="C476" s="3">
        <v>44126</v>
      </c>
      <c r="D476" s="2" t="s">
        <v>2009</v>
      </c>
      <c r="E476" s="2" t="s">
        <v>2079</v>
      </c>
      <c r="F476" s="4">
        <v>2131.4</v>
      </c>
      <c r="G476" s="5">
        <v>37.049999999999997</v>
      </c>
      <c r="H476" s="6">
        <v>20</v>
      </c>
      <c r="I476" s="2" t="s">
        <v>2117</v>
      </c>
    </row>
    <row r="477" spans="2:9" x14ac:dyDescent="0.3">
      <c r="B477" s="2" t="s">
        <v>483</v>
      </c>
      <c r="C477" s="3">
        <v>44207</v>
      </c>
      <c r="D477" s="2" t="s">
        <v>2011</v>
      </c>
      <c r="E477" s="2" t="s">
        <v>2023</v>
      </c>
      <c r="F477" s="4">
        <v>4722.8999999999996</v>
      </c>
      <c r="G477" s="5">
        <v>393.95</v>
      </c>
      <c r="H477" s="6">
        <v>4</v>
      </c>
      <c r="I477" s="2" t="s">
        <v>2116</v>
      </c>
    </row>
    <row r="478" spans="2:9" x14ac:dyDescent="0.3">
      <c r="B478" s="2" t="s">
        <v>484</v>
      </c>
      <c r="C478" s="3">
        <v>45187</v>
      </c>
      <c r="D478" s="2" t="s">
        <v>2009</v>
      </c>
      <c r="E478" s="2" t="s">
        <v>2069</v>
      </c>
      <c r="F478" s="4">
        <v>4008.47</v>
      </c>
      <c r="G478" s="5">
        <v>107.55</v>
      </c>
      <c r="H478" s="6">
        <v>1</v>
      </c>
      <c r="I478" s="2" t="s">
        <v>2116</v>
      </c>
    </row>
    <row r="479" spans="2:9" x14ac:dyDescent="0.3">
      <c r="B479" s="2" t="s">
        <v>485</v>
      </c>
      <c r="C479" s="3">
        <v>44694</v>
      </c>
      <c r="D479" s="2" t="s">
        <v>2012</v>
      </c>
      <c r="E479" s="2" t="s">
        <v>2075</v>
      </c>
      <c r="F479" s="4">
        <v>1779.15</v>
      </c>
      <c r="G479" s="5">
        <v>275.64</v>
      </c>
      <c r="H479" s="6">
        <v>3</v>
      </c>
      <c r="I479" s="2" t="s">
        <v>2118</v>
      </c>
    </row>
    <row r="480" spans="2:9" x14ac:dyDescent="0.3">
      <c r="B480" s="2" t="s">
        <v>486</v>
      </c>
      <c r="C480" s="3">
        <v>45176</v>
      </c>
      <c r="D480" s="2" t="s">
        <v>2009</v>
      </c>
      <c r="E480" s="2" t="s">
        <v>2060</v>
      </c>
      <c r="F480" s="4">
        <v>3304.16</v>
      </c>
      <c r="G480" s="5">
        <v>432.07</v>
      </c>
      <c r="H480" s="6">
        <v>8</v>
      </c>
      <c r="I480" s="2" t="s">
        <v>2118</v>
      </c>
    </row>
    <row r="481" spans="2:9" x14ac:dyDescent="0.3">
      <c r="B481" s="2" t="s">
        <v>487</v>
      </c>
      <c r="C481" s="3">
        <v>45543</v>
      </c>
      <c r="D481" s="2" t="s">
        <v>2012</v>
      </c>
      <c r="E481" s="2" t="s">
        <v>2042</v>
      </c>
      <c r="F481" s="4">
        <v>272.81</v>
      </c>
      <c r="G481" s="5">
        <v>283.83999999999997</v>
      </c>
      <c r="H481" s="6">
        <v>19</v>
      </c>
      <c r="I481" s="2" t="s">
        <v>2116</v>
      </c>
    </row>
    <row r="482" spans="2:9" x14ac:dyDescent="0.3">
      <c r="B482" s="2" t="s">
        <v>488</v>
      </c>
      <c r="C482" s="3">
        <v>44407</v>
      </c>
      <c r="D482" s="2" t="s">
        <v>2011</v>
      </c>
      <c r="E482" s="2" t="s">
        <v>2051</v>
      </c>
      <c r="F482" s="4">
        <v>926.86</v>
      </c>
      <c r="G482" s="5">
        <v>851.72</v>
      </c>
      <c r="H482" s="6">
        <v>2</v>
      </c>
      <c r="I482" s="2" t="s">
        <v>2116</v>
      </c>
    </row>
    <row r="483" spans="2:9" x14ac:dyDescent="0.3">
      <c r="B483" s="2" t="s">
        <v>489</v>
      </c>
      <c r="C483" s="3">
        <v>44866</v>
      </c>
      <c r="D483" s="2" t="s">
        <v>2011</v>
      </c>
      <c r="E483" s="2" t="s">
        <v>2051</v>
      </c>
      <c r="F483" s="4">
        <v>4350.05</v>
      </c>
      <c r="G483" s="5">
        <v>948.81</v>
      </c>
      <c r="H483" s="6">
        <v>12</v>
      </c>
      <c r="I483" s="2" t="s">
        <v>2118</v>
      </c>
    </row>
    <row r="484" spans="2:9" x14ac:dyDescent="0.3">
      <c r="B484" s="2" t="s">
        <v>490</v>
      </c>
      <c r="C484" s="3">
        <v>45294</v>
      </c>
      <c r="D484" s="2" t="s">
        <v>2012</v>
      </c>
      <c r="E484" s="2" t="s">
        <v>2019</v>
      </c>
      <c r="F484" s="4">
        <v>1049.9100000000001</v>
      </c>
      <c r="G484" s="5">
        <v>480.33</v>
      </c>
      <c r="H484" s="6">
        <v>9</v>
      </c>
      <c r="I484" s="2" t="s">
        <v>2117</v>
      </c>
    </row>
    <row r="485" spans="2:9" x14ac:dyDescent="0.3">
      <c r="B485" s="2" t="s">
        <v>491</v>
      </c>
      <c r="C485" s="3">
        <v>44009</v>
      </c>
      <c r="D485" s="2" t="s">
        <v>2011</v>
      </c>
      <c r="E485" s="2" t="s">
        <v>2031</v>
      </c>
      <c r="F485" s="4">
        <v>299.54000000000002</v>
      </c>
      <c r="G485" s="5">
        <v>13.21</v>
      </c>
      <c r="H485" s="6">
        <v>10</v>
      </c>
      <c r="I485" s="2" t="s">
        <v>2118</v>
      </c>
    </row>
    <row r="486" spans="2:9" x14ac:dyDescent="0.3">
      <c r="B486" s="2" t="s">
        <v>492</v>
      </c>
      <c r="C486" s="3">
        <v>44581</v>
      </c>
      <c r="D486" s="2" t="s">
        <v>2011</v>
      </c>
      <c r="E486" s="2" t="s">
        <v>2081</v>
      </c>
      <c r="F486" s="4">
        <v>3684.61</v>
      </c>
      <c r="G486" s="5">
        <v>345.04</v>
      </c>
      <c r="H486" s="6">
        <v>18</v>
      </c>
      <c r="I486" s="2" t="s">
        <v>2118</v>
      </c>
    </row>
    <row r="487" spans="2:9" x14ac:dyDescent="0.3">
      <c r="B487" s="2" t="s">
        <v>493</v>
      </c>
      <c r="C487" s="3">
        <v>45527</v>
      </c>
      <c r="D487" s="2" t="s">
        <v>2009</v>
      </c>
      <c r="E487" s="2" t="s">
        <v>2013</v>
      </c>
      <c r="F487" s="4">
        <v>1570.26</v>
      </c>
      <c r="G487" s="5">
        <v>192.79</v>
      </c>
      <c r="H487" s="6">
        <v>11</v>
      </c>
      <c r="I487" s="2" t="s">
        <v>2116</v>
      </c>
    </row>
    <row r="488" spans="2:9" x14ac:dyDescent="0.3">
      <c r="B488" s="2" t="s">
        <v>494</v>
      </c>
      <c r="C488" s="3">
        <v>44430</v>
      </c>
      <c r="D488" s="2" t="s">
        <v>2010</v>
      </c>
      <c r="E488" s="2" t="s">
        <v>2045</v>
      </c>
      <c r="F488" s="4">
        <v>1789.75</v>
      </c>
      <c r="G488" s="5">
        <v>515.46</v>
      </c>
      <c r="H488" s="6">
        <v>9</v>
      </c>
      <c r="I488" s="2" t="s">
        <v>2116</v>
      </c>
    </row>
    <row r="489" spans="2:9" x14ac:dyDescent="0.3">
      <c r="B489" s="2" t="s">
        <v>495</v>
      </c>
      <c r="C489" s="3">
        <v>44336</v>
      </c>
      <c r="D489" s="2" t="s">
        <v>2011</v>
      </c>
      <c r="E489" s="2" t="s">
        <v>2040</v>
      </c>
      <c r="F489" s="4">
        <v>2876.53</v>
      </c>
      <c r="G489" s="5">
        <v>911.94</v>
      </c>
      <c r="H489" s="6">
        <v>16</v>
      </c>
      <c r="I489" s="2" t="s">
        <v>2117</v>
      </c>
    </row>
    <row r="490" spans="2:9" x14ac:dyDescent="0.3">
      <c r="B490" s="2" t="s">
        <v>496</v>
      </c>
      <c r="C490" s="3">
        <v>43861</v>
      </c>
      <c r="D490" s="2" t="s">
        <v>2009</v>
      </c>
      <c r="E490" s="2" t="s">
        <v>2021</v>
      </c>
      <c r="F490" s="4">
        <v>185.33</v>
      </c>
      <c r="G490" s="5">
        <v>887.49</v>
      </c>
      <c r="H490" s="6">
        <v>14</v>
      </c>
      <c r="I490" s="2" t="s">
        <v>2117</v>
      </c>
    </row>
    <row r="491" spans="2:9" x14ac:dyDescent="0.3">
      <c r="B491" s="2" t="s">
        <v>497</v>
      </c>
      <c r="C491" s="3">
        <v>45198</v>
      </c>
      <c r="D491" s="2" t="s">
        <v>2012</v>
      </c>
      <c r="E491" s="2" t="s">
        <v>2091</v>
      </c>
      <c r="F491" s="4">
        <v>3956.33</v>
      </c>
      <c r="G491" s="5">
        <v>370.85</v>
      </c>
      <c r="H491" s="6">
        <v>13</v>
      </c>
      <c r="I491" s="2" t="s">
        <v>2118</v>
      </c>
    </row>
    <row r="492" spans="2:9" x14ac:dyDescent="0.3">
      <c r="B492" s="2" t="s">
        <v>498</v>
      </c>
      <c r="C492" s="3">
        <v>44555</v>
      </c>
      <c r="D492" s="2" t="s">
        <v>2011</v>
      </c>
      <c r="E492" s="2" t="s">
        <v>2031</v>
      </c>
      <c r="F492" s="4">
        <v>4174.1000000000004</v>
      </c>
      <c r="G492" s="5">
        <v>761.03</v>
      </c>
      <c r="H492" s="6">
        <v>12</v>
      </c>
      <c r="I492" s="2" t="s">
        <v>2116</v>
      </c>
    </row>
    <row r="493" spans="2:9" x14ac:dyDescent="0.3">
      <c r="B493" s="2" t="s">
        <v>499</v>
      </c>
      <c r="C493" s="3">
        <v>45589</v>
      </c>
      <c r="D493" s="2" t="s">
        <v>2011</v>
      </c>
      <c r="E493" s="2" t="s">
        <v>2090</v>
      </c>
      <c r="F493" s="4">
        <v>2178.37</v>
      </c>
      <c r="G493" s="5">
        <v>893.02</v>
      </c>
      <c r="H493" s="6">
        <v>13</v>
      </c>
      <c r="I493" s="2" t="s">
        <v>2116</v>
      </c>
    </row>
    <row r="494" spans="2:9" x14ac:dyDescent="0.3">
      <c r="B494" s="2" t="s">
        <v>500</v>
      </c>
      <c r="C494" s="3">
        <v>44550</v>
      </c>
      <c r="D494" s="2" t="s">
        <v>2011</v>
      </c>
      <c r="E494" s="2" t="s">
        <v>2087</v>
      </c>
      <c r="F494" s="4">
        <v>3764.5</v>
      </c>
      <c r="G494" s="5">
        <v>990.04</v>
      </c>
      <c r="H494" s="6">
        <v>18</v>
      </c>
      <c r="I494" s="2" t="s">
        <v>2118</v>
      </c>
    </row>
    <row r="495" spans="2:9" x14ac:dyDescent="0.3">
      <c r="B495" s="2" t="s">
        <v>501</v>
      </c>
      <c r="C495" s="3">
        <v>45443</v>
      </c>
      <c r="D495" s="2" t="s">
        <v>2012</v>
      </c>
      <c r="E495" s="2" t="s">
        <v>2056</v>
      </c>
      <c r="F495" s="4">
        <v>4903.57</v>
      </c>
      <c r="G495" s="5">
        <v>650.22</v>
      </c>
      <c r="H495" s="6">
        <v>14</v>
      </c>
      <c r="I495" s="2" t="s">
        <v>2117</v>
      </c>
    </row>
    <row r="496" spans="2:9" x14ac:dyDescent="0.3">
      <c r="B496" s="2" t="s">
        <v>502</v>
      </c>
      <c r="C496" s="3">
        <v>44799</v>
      </c>
      <c r="D496" s="2" t="s">
        <v>2010</v>
      </c>
      <c r="E496" s="2" t="s">
        <v>2022</v>
      </c>
      <c r="F496" s="4">
        <v>1807</v>
      </c>
      <c r="G496" s="5">
        <v>102.34</v>
      </c>
      <c r="H496" s="6">
        <v>16</v>
      </c>
      <c r="I496" s="2" t="s">
        <v>2117</v>
      </c>
    </row>
    <row r="497" spans="2:9" x14ac:dyDescent="0.3">
      <c r="B497" s="2" t="s">
        <v>503</v>
      </c>
      <c r="C497" s="3">
        <v>43854</v>
      </c>
      <c r="D497" s="2" t="s">
        <v>2011</v>
      </c>
      <c r="E497" s="2" t="s">
        <v>2033</v>
      </c>
      <c r="F497" s="4">
        <v>2477.65</v>
      </c>
      <c r="G497" s="5">
        <v>179.64</v>
      </c>
      <c r="H497" s="6">
        <v>3</v>
      </c>
      <c r="I497" s="2" t="s">
        <v>2116</v>
      </c>
    </row>
    <row r="498" spans="2:9" x14ac:dyDescent="0.3">
      <c r="B498" s="2" t="s">
        <v>504</v>
      </c>
      <c r="C498" s="3">
        <v>45416</v>
      </c>
      <c r="D498" s="2" t="s">
        <v>2009</v>
      </c>
      <c r="E498" s="2" t="s">
        <v>2044</v>
      </c>
      <c r="F498" s="4">
        <v>2961.17</v>
      </c>
      <c r="G498" s="5">
        <v>970.38</v>
      </c>
      <c r="H498" s="6">
        <v>7</v>
      </c>
      <c r="I498" s="2" t="s">
        <v>2118</v>
      </c>
    </row>
    <row r="499" spans="2:9" x14ac:dyDescent="0.3">
      <c r="B499" s="2" t="s">
        <v>505</v>
      </c>
      <c r="C499" s="3">
        <v>44779</v>
      </c>
      <c r="D499" s="2" t="s">
        <v>2009</v>
      </c>
      <c r="E499" s="2" t="s">
        <v>2077</v>
      </c>
      <c r="F499" s="4">
        <v>3807.76</v>
      </c>
      <c r="G499" s="5">
        <v>698.66</v>
      </c>
      <c r="H499" s="6">
        <v>20</v>
      </c>
      <c r="I499" s="2" t="s">
        <v>2117</v>
      </c>
    </row>
    <row r="500" spans="2:9" x14ac:dyDescent="0.3">
      <c r="B500" s="2" t="s">
        <v>506</v>
      </c>
      <c r="C500" s="3">
        <v>45304</v>
      </c>
      <c r="D500" s="2" t="s">
        <v>2009</v>
      </c>
      <c r="E500" s="2" t="s">
        <v>2050</v>
      </c>
      <c r="F500" s="4">
        <v>4583.2299999999996</v>
      </c>
      <c r="G500" s="5">
        <v>363.38</v>
      </c>
      <c r="H500" s="6">
        <v>8</v>
      </c>
      <c r="I500" s="2" t="s">
        <v>2118</v>
      </c>
    </row>
    <row r="501" spans="2:9" x14ac:dyDescent="0.3">
      <c r="B501" s="2" t="s">
        <v>507</v>
      </c>
      <c r="C501" s="3">
        <v>44845</v>
      </c>
      <c r="D501" s="2" t="s">
        <v>2011</v>
      </c>
      <c r="E501" s="2" t="s">
        <v>2064</v>
      </c>
      <c r="F501" s="4">
        <v>4340.09</v>
      </c>
      <c r="G501" s="5">
        <v>815.1</v>
      </c>
      <c r="H501" s="6">
        <v>3</v>
      </c>
      <c r="I501" s="2" t="s">
        <v>2117</v>
      </c>
    </row>
    <row r="502" spans="2:9" x14ac:dyDescent="0.3">
      <c r="B502" s="2" t="s">
        <v>508</v>
      </c>
      <c r="C502" s="3">
        <v>44160</v>
      </c>
      <c r="D502" s="2" t="s">
        <v>2011</v>
      </c>
      <c r="E502" s="2" t="s">
        <v>2060</v>
      </c>
      <c r="F502" s="4">
        <v>2181.38</v>
      </c>
      <c r="G502" s="5">
        <v>460.56</v>
      </c>
      <c r="H502" s="6">
        <v>18</v>
      </c>
      <c r="I502" s="2" t="s">
        <v>2116</v>
      </c>
    </row>
    <row r="503" spans="2:9" x14ac:dyDescent="0.3">
      <c r="B503" s="2" t="s">
        <v>509</v>
      </c>
      <c r="C503" s="3">
        <v>45501</v>
      </c>
      <c r="D503" s="2" t="s">
        <v>2011</v>
      </c>
      <c r="E503" s="2" t="s">
        <v>2102</v>
      </c>
      <c r="F503" s="4">
        <v>3184.06</v>
      </c>
      <c r="G503" s="5">
        <v>239.27</v>
      </c>
      <c r="H503" s="6">
        <v>2</v>
      </c>
      <c r="I503" s="2" t="s">
        <v>2118</v>
      </c>
    </row>
    <row r="504" spans="2:9" x14ac:dyDescent="0.3">
      <c r="B504" s="2" t="s">
        <v>510</v>
      </c>
      <c r="C504" s="3">
        <v>44341</v>
      </c>
      <c r="D504" s="2" t="s">
        <v>2010</v>
      </c>
      <c r="E504" s="2" t="s">
        <v>2055</v>
      </c>
      <c r="F504" s="4">
        <v>2795.92</v>
      </c>
      <c r="G504" s="5">
        <v>129.6</v>
      </c>
      <c r="H504" s="6">
        <v>12</v>
      </c>
      <c r="I504" s="2" t="s">
        <v>2117</v>
      </c>
    </row>
    <row r="505" spans="2:9" x14ac:dyDescent="0.3">
      <c r="B505" s="2" t="s">
        <v>511</v>
      </c>
      <c r="C505" s="3">
        <v>45548</v>
      </c>
      <c r="D505" s="2" t="s">
        <v>2009</v>
      </c>
      <c r="E505" s="2" t="s">
        <v>2033</v>
      </c>
      <c r="F505" s="4">
        <v>1614.85</v>
      </c>
      <c r="G505" s="5">
        <v>701.06</v>
      </c>
      <c r="H505" s="6">
        <v>1</v>
      </c>
      <c r="I505" s="2" t="s">
        <v>2116</v>
      </c>
    </row>
    <row r="506" spans="2:9" x14ac:dyDescent="0.3">
      <c r="B506" s="2" t="s">
        <v>512</v>
      </c>
      <c r="C506" s="3">
        <v>45388</v>
      </c>
      <c r="D506" s="2" t="s">
        <v>2012</v>
      </c>
      <c r="E506" s="2" t="s">
        <v>2036</v>
      </c>
      <c r="F506" s="4">
        <v>3168.57</v>
      </c>
      <c r="G506" s="5">
        <v>227.47</v>
      </c>
      <c r="H506" s="6">
        <v>3</v>
      </c>
      <c r="I506" s="2" t="s">
        <v>2116</v>
      </c>
    </row>
    <row r="507" spans="2:9" x14ac:dyDescent="0.3">
      <c r="B507" s="2" t="s">
        <v>513</v>
      </c>
      <c r="C507" s="3">
        <v>44223</v>
      </c>
      <c r="D507" s="2" t="s">
        <v>2010</v>
      </c>
      <c r="E507" s="2" t="s">
        <v>2075</v>
      </c>
      <c r="F507" s="4">
        <v>1894.91</v>
      </c>
      <c r="G507" s="5">
        <v>670.99</v>
      </c>
      <c r="H507" s="6">
        <v>15</v>
      </c>
      <c r="I507" s="2" t="s">
        <v>2117</v>
      </c>
    </row>
    <row r="508" spans="2:9" x14ac:dyDescent="0.3">
      <c r="B508" s="2" t="s">
        <v>514</v>
      </c>
      <c r="C508" s="3">
        <v>44581</v>
      </c>
      <c r="D508" s="2" t="s">
        <v>2010</v>
      </c>
      <c r="E508" s="2" t="s">
        <v>2046</v>
      </c>
      <c r="F508" s="4">
        <v>1933.3</v>
      </c>
      <c r="G508" s="5">
        <v>952.31</v>
      </c>
      <c r="H508" s="6">
        <v>14</v>
      </c>
      <c r="I508" s="2" t="s">
        <v>2118</v>
      </c>
    </row>
    <row r="509" spans="2:9" x14ac:dyDescent="0.3">
      <c r="B509" s="2" t="s">
        <v>515</v>
      </c>
      <c r="C509" s="3">
        <v>45588</v>
      </c>
      <c r="D509" s="2" t="s">
        <v>2009</v>
      </c>
      <c r="E509" s="2" t="s">
        <v>2104</v>
      </c>
      <c r="F509" s="4">
        <v>962.9</v>
      </c>
      <c r="G509" s="5">
        <v>467.39</v>
      </c>
      <c r="H509" s="6">
        <v>15</v>
      </c>
      <c r="I509" s="2" t="s">
        <v>2117</v>
      </c>
    </row>
    <row r="510" spans="2:9" x14ac:dyDescent="0.3">
      <c r="B510" s="2" t="s">
        <v>516</v>
      </c>
      <c r="C510" s="3">
        <v>45474</v>
      </c>
      <c r="D510" s="2" t="s">
        <v>2009</v>
      </c>
      <c r="E510" s="2" t="s">
        <v>2096</v>
      </c>
      <c r="F510" s="4">
        <v>1335.07</v>
      </c>
      <c r="G510" s="5">
        <v>955.4</v>
      </c>
      <c r="H510" s="6">
        <v>3</v>
      </c>
      <c r="I510" s="2" t="s">
        <v>2116</v>
      </c>
    </row>
    <row r="511" spans="2:9" x14ac:dyDescent="0.3">
      <c r="B511" s="2" t="s">
        <v>517</v>
      </c>
      <c r="C511" s="3">
        <v>44721</v>
      </c>
      <c r="D511" s="2" t="s">
        <v>2010</v>
      </c>
      <c r="E511" s="2" t="s">
        <v>2026</v>
      </c>
      <c r="F511" s="4">
        <v>83.48</v>
      </c>
      <c r="G511" s="5">
        <v>709.02</v>
      </c>
      <c r="H511" s="6">
        <v>1</v>
      </c>
      <c r="I511" s="2" t="s">
        <v>2116</v>
      </c>
    </row>
    <row r="512" spans="2:9" x14ac:dyDescent="0.3">
      <c r="B512" s="2" t="s">
        <v>518</v>
      </c>
      <c r="C512" s="3">
        <v>45128</v>
      </c>
      <c r="D512" s="2" t="s">
        <v>2010</v>
      </c>
      <c r="E512" s="2" t="s">
        <v>2028</v>
      </c>
      <c r="F512" s="4">
        <v>2535.19</v>
      </c>
      <c r="G512" s="5">
        <v>222.79</v>
      </c>
      <c r="H512" s="6">
        <v>7</v>
      </c>
      <c r="I512" s="2" t="s">
        <v>2118</v>
      </c>
    </row>
    <row r="513" spans="2:9" x14ac:dyDescent="0.3">
      <c r="B513" s="2" t="s">
        <v>519</v>
      </c>
      <c r="C513" s="3">
        <v>44717</v>
      </c>
      <c r="D513" s="2" t="s">
        <v>2011</v>
      </c>
      <c r="E513" s="2" t="s">
        <v>2022</v>
      </c>
      <c r="F513" s="4">
        <v>2467.2399999999998</v>
      </c>
      <c r="G513" s="5">
        <v>184.37</v>
      </c>
      <c r="H513" s="6">
        <v>15</v>
      </c>
      <c r="I513" s="2" t="s">
        <v>2118</v>
      </c>
    </row>
    <row r="514" spans="2:9" x14ac:dyDescent="0.3">
      <c r="B514" s="2" t="s">
        <v>520</v>
      </c>
      <c r="C514" s="3">
        <v>45438</v>
      </c>
      <c r="D514" s="2" t="s">
        <v>2011</v>
      </c>
      <c r="E514" s="2" t="s">
        <v>2071</v>
      </c>
      <c r="F514" s="4">
        <v>4961.92</v>
      </c>
      <c r="G514" s="5">
        <v>852.07</v>
      </c>
      <c r="H514" s="6">
        <v>3</v>
      </c>
      <c r="I514" s="2" t="s">
        <v>2118</v>
      </c>
    </row>
    <row r="515" spans="2:9" x14ac:dyDescent="0.3">
      <c r="B515" s="2" t="s">
        <v>521</v>
      </c>
      <c r="C515" s="3">
        <v>45266</v>
      </c>
      <c r="D515" s="2" t="s">
        <v>2010</v>
      </c>
      <c r="E515" s="2" t="s">
        <v>2107</v>
      </c>
      <c r="F515" s="4">
        <v>2649.04</v>
      </c>
      <c r="G515" s="5">
        <v>994.35</v>
      </c>
      <c r="H515" s="6">
        <v>6</v>
      </c>
      <c r="I515" s="2" t="s">
        <v>2118</v>
      </c>
    </row>
    <row r="516" spans="2:9" x14ac:dyDescent="0.3">
      <c r="B516" s="2" t="s">
        <v>522</v>
      </c>
      <c r="C516" s="3">
        <v>43941</v>
      </c>
      <c r="D516" s="2" t="s">
        <v>2012</v>
      </c>
      <c r="E516" s="2" t="s">
        <v>2055</v>
      </c>
      <c r="F516" s="4">
        <v>1092.51</v>
      </c>
      <c r="G516" s="5">
        <v>346.8</v>
      </c>
      <c r="H516" s="6">
        <v>4</v>
      </c>
      <c r="I516" s="2" t="s">
        <v>2118</v>
      </c>
    </row>
    <row r="517" spans="2:9" x14ac:dyDescent="0.3">
      <c r="B517" s="2" t="s">
        <v>523</v>
      </c>
      <c r="C517" s="3">
        <v>45112</v>
      </c>
      <c r="D517" s="2" t="s">
        <v>2009</v>
      </c>
      <c r="E517" s="2" t="s">
        <v>2032</v>
      </c>
      <c r="F517" s="4">
        <v>2348.21</v>
      </c>
      <c r="G517" s="5">
        <v>521.46</v>
      </c>
      <c r="H517" s="6">
        <v>18</v>
      </c>
      <c r="I517" s="2" t="s">
        <v>2116</v>
      </c>
    </row>
    <row r="518" spans="2:9" x14ac:dyDescent="0.3">
      <c r="B518" s="2" t="s">
        <v>524</v>
      </c>
      <c r="C518" s="3">
        <v>44378</v>
      </c>
      <c r="D518" s="2" t="s">
        <v>2011</v>
      </c>
      <c r="E518" s="2" t="s">
        <v>2059</v>
      </c>
      <c r="F518" s="4">
        <v>4400.38</v>
      </c>
      <c r="G518" s="5">
        <v>921.52</v>
      </c>
      <c r="H518" s="6">
        <v>17</v>
      </c>
      <c r="I518" s="2" t="s">
        <v>2116</v>
      </c>
    </row>
    <row r="519" spans="2:9" x14ac:dyDescent="0.3">
      <c r="B519" s="2" t="s">
        <v>525</v>
      </c>
      <c r="C519" s="3">
        <v>44026</v>
      </c>
      <c r="D519" s="2" t="s">
        <v>2011</v>
      </c>
      <c r="E519" s="2" t="s">
        <v>2016</v>
      </c>
      <c r="F519" s="4">
        <v>3828.6</v>
      </c>
      <c r="G519" s="5">
        <v>580.30999999999995</v>
      </c>
      <c r="H519" s="6">
        <v>20</v>
      </c>
      <c r="I519" s="2" t="s">
        <v>2117</v>
      </c>
    </row>
    <row r="520" spans="2:9" x14ac:dyDescent="0.3">
      <c r="B520" s="2" t="s">
        <v>526</v>
      </c>
      <c r="C520" s="3">
        <v>45000</v>
      </c>
      <c r="D520" s="2" t="s">
        <v>2010</v>
      </c>
      <c r="E520" s="2" t="s">
        <v>2079</v>
      </c>
      <c r="F520" s="4">
        <v>3518.59</v>
      </c>
      <c r="G520" s="5">
        <v>74.91</v>
      </c>
      <c r="H520" s="6">
        <v>2</v>
      </c>
      <c r="I520" s="2" t="s">
        <v>2117</v>
      </c>
    </row>
    <row r="521" spans="2:9" x14ac:dyDescent="0.3">
      <c r="B521" s="2" t="s">
        <v>527</v>
      </c>
      <c r="C521" s="3">
        <v>44083</v>
      </c>
      <c r="D521" s="2" t="s">
        <v>2010</v>
      </c>
      <c r="E521" s="2" t="s">
        <v>2052</v>
      </c>
      <c r="F521" s="4">
        <v>65.02</v>
      </c>
      <c r="G521" s="5">
        <v>162.52000000000001</v>
      </c>
      <c r="H521" s="6">
        <v>9</v>
      </c>
      <c r="I521" s="2" t="s">
        <v>2116</v>
      </c>
    </row>
    <row r="522" spans="2:9" x14ac:dyDescent="0.3">
      <c r="B522" s="2" t="s">
        <v>528</v>
      </c>
      <c r="C522" s="3">
        <v>45569</v>
      </c>
      <c r="D522" s="2" t="s">
        <v>2010</v>
      </c>
      <c r="E522" s="2" t="s">
        <v>2089</v>
      </c>
      <c r="F522" s="4">
        <v>3835.8</v>
      </c>
      <c r="G522" s="5">
        <v>33.6</v>
      </c>
      <c r="H522" s="6">
        <v>10</v>
      </c>
      <c r="I522" s="2" t="s">
        <v>2118</v>
      </c>
    </row>
    <row r="523" spans="2:9" x14ac:dyDescent="0.3">
      <c r="B523" s="2" t="s">
        <v>529</v>
      </c>
      <c r="C523" s="3">
        <v>44142</v>
      </c>
      <c r="D523" s="2" t="s">
        <v>2011</v>
      </c>
      <c r="E523" s="2" t="s">
        <v>2108</v>
      </c>
      <c r="F523" s="4">
        <v>4827.58</v>
      </c>
      <c r="G523" s="5">
        <v>110.15</v>
      </c>
      <c r="H523" s="6">
        <v>16</v>
      </c>
      <c r="I523" s="2" t="s">
        <v>2118</v>
      </c>
    </row>
    <row r="524" spans="2:9" x14ac:dyDescent="0.3">
      <c r="B524" s="2" t="s">
        <v>530</v>
      </c>
      <c r="C524" s="3">
        <v>45111</v>
      </c>
      <c r="D524" s="2" t="s">
        <v>2010</v>
      </c>
      <c r="E524" s="2" t="s">
        <v>2024</v>
      </c>
      <c r="F524" s="4">
        <v>4694.45</v>
      </c>
      <c r="G524" s="5">
        <v>643.99</v>
      </c>
      <c r="H524" s="6">
        <v>1</v>
      </c>
      <c r="I524" s="2" t="s">
        <v>2118</v>
      </c>
    </row>
    <row r="525" spans="2:9" x14ac:dyDescent="0.3">
      <c r="B525" s="2" t="s">
        <v>531</v>
      </c>
      <c r="C525" s="3">
        <v>44383</v>
      </c>
      <c r="D525" s="2" t="s">
        <v>2012</v>
      </c>
      <c r="E525" s="2" t="s">
        <v>2095</v>
      </c>
      <c r="F525" s="4">
        <v>2285.91</v>
      </c>
      <c r="G525" s="5">
        <v>942.75</v>
      </c>
      <c r="H525" s="6">
        <v>8</v>
      </c>
      <c r="I525" s="2" t="s">
        <v>2117</v>
      </c>
    </row>
    <row r="526" spans="2:9" x14ac:dyDescent="0.3">
      <c r="B526" s="2" t="s">
        <v>532</v>
      </c>
      <c r="C526" s="3">
        <v>44272</v>
      </c>
      <c r="D526" s="2" t="s">
        <v>2010</v>
      </c>
      <c r="E526" s="2" t="s">
        <v>2016</v>
      </c>
      <c r="F526" s="4">
        <v>131.66</v>
      </c>
      <c r="G526" s="5">
        <v>257.12</v>
      </c>
      <c r="H526" s="6">
        <v>14</v>
      </c>
      <c r="I526" s="2" t="s">
        <v>2118</v>
      </c>
    </row>
    <row r="527" spans="2:9" x14ac:dyDescent="0.3">
      <c r="B527" s="2" t="s">
        <v>533</v>
      </c>
      <c r="C527" s="3">
        <v>45338</v>
      </c>
      <c r="D527" s="2" t="s">
        <v>2010</v>
      </c>
      <c r="E527" s="2" t="s">
        <v>2074</v>
      </c>
      <c r="F527" s="4">
        <v>3660.28</v>
      </c>
      <c r="G527" s="5">
        <v>854.99</v>
      </c>
      <c r="H527" s="6">
        <v>14</v>
      </c>
      <c r="I527" s="2" t="s">
        <v>2117</v>
      </c>
    </row>
    <row r="528" spans="2:9" x14ac:dyDescent="0.3">
      <c r="B528" s="2" t="s">
        <v>534</v>
      </c>
      <c r="C528" s="3">
        <v>44599</v>
      </c>
      <c r="D528" s="2" t="s">
        <v>2012</v>
      </c>
      <c r="E528" s="2" t="s">
        <v>2105</v>
      </c>
      <c r="F528" s="4">
        <v>3052.67</v>
      </c>
      <c r="G528" s="5">
        <v>463.77</v>
      </c>
      <c r="H528" s="6">
        <v>8</v>
      </c>
      <c r="I528" s="2" t="s">
        <v>2118</v>
      </c>
    </row>
    <row r="529" spans="2:9" x14ac:dyDescent="0.3">
      <c r="B529" s="2" t="s">
        <v>535</v>
      </c>
      <c r="C529" s="3">
        <v>44804</v>
      </c>
      <c r="D529" s="2" t="s">
        <v>2010</v>
      </c>
      <c r="E529" s="2" t="s">
        <v>2094</v>
      </c>
      <c r="F529" s="4">
        <v>3122.87</v>
      </c>
      <c r="G529" s="5">
        <v>226.78</v>
      </c>
      <c r="H529" s="6">
        <v>12</v>
      </c>
      <c r="I529" s="2" t="s">
        <v>2116</v>
      </c>
    </row>
    <row r="530" spans="2:9" x14ac:dyDescent="0.3">
      <c r="B530" s="2" t="s">
        <v>536</v>
      </c>
      <c r="C530" s="3">
        <v>44234</v>
      </c>
      <c r="D530" s="2" t="s">
        <v>2012</v>
      </c>
      <c r="E530" s="2" t="s">
        <v>2043</v>
      </c>
      <c r="F530" s="4">
        <v>3953.27</v>
      </c>
      <c r="G530" s="5">
        <v>614.41999999999996</v>
      </c>
      <c r="H530" s="6">
        <v>16</v>
      </c>
      <c r="I530" s="2" t="s">
        <v>2116</v>
      </c>
    </row>
    <row r="531" spans="2:9" x14ac:dyDescent="0.3">
      <c r="B531" s="2" t="s">
        <v>537</v>
      </c>
      <c r="C531" s="3">
        <v>44499</v>
      </c>
      <c r="D531" s="2" t="s">
        <v>2010</v>
      </c>
      <c r="E531" s="2" t="s">
        <v>2089</v>
      </c>
      <c r="F531" s="4">
        <v>2900.6</v>
      </c>
      <c r="G531" s="5">
        <v>46.66</v>
      </c>
      <c r="H531" s="6">
        <v>12</v>
      </c>
      <c r="I531" s="2" t="s">
        <v>2118</v>
      </c>
    </row>
    <row r="532" spans="2:9" x14ac:dyDescent="0.3">
      <c r="B532" s="2" t="s">
        <v>538</v>
      </c>
      <c r="C532" s="3">
        <v>44970</v>
      </c>
      <c r="D532" s="2" t="s">
        <v>2011</v>
      </c>
      <c r="E532" s="2" t="s">
        <v>2046</v>
      </c>
      <c r="F532" s="4">
        <v>4320.12</v>
      </c>
      <c r="G532" s="5">
        <v>621.22</v>
      </c>
      <c r="H532" s="6">
        <v>18</v>
      </c>
      <c r="I532" s="2" t="s">
        <v>2116</v>
      </c>
    </row>
    <row r="533" spans="2:9" x14ac:dyDescent="0.3">
      <c r="B533" s="2" t="s">
        <v>539</v>
      </c>
      <c r="C533" s="3">
        <v>44048</v>
      </c>
      <c r="D533" s="2" t="s">
        <v>2009</v>
      </c>
      <c r="E533" s="2" t="s">
        <v>2032</v>
      </c>
      <c r="F533" s="4">
        <v>4374.08</v>
      </c>
      <c r="G533" s="5">
        <v>517.59</v>
      </c>
      <c r="H533" s="6">
        <v>14</v>
      </c>
      <c r="I533" s="2" t="s">
        <v>2118</v>
      </c>
    </row>
    <row r="534" spans="2:9" x14ac:dyDescent="0.3">
      <c r="B534" s="2" t="s">
        <v>540</v>
      </c>
      <c r="C534" s="3">
        <v>45521</v>
      </c>
      <c r="D534" s="2" t="s">
        <v>2009</v>
      </c>
      <c r="E534" s="2" t="s">
        <v>2015</v>
      </c>
      <c r="F534" s="4">
        <v>3525.87</v>
      </c>
      <c r="G534" s="5">
        <v>467.12</v>
      </c>
      <c r="H534" s="6">
        <v>8</v>
      </c>
      <c r="I534" s="2" t="s">
        <v>2117</v>
      </c>
    </row>
    <row r="535" spans="2:9" x14ac:dyDescent="0.3">
      <c r="B535" s="2" t="s">
        <v>541</v>
      </c>
      <c r="C535" s="3">
        <v>44437</v>
      </c>
      <c r="D535" s="2" t="s">
        <v>2009</v>
      </c>
      <c r="E535" s="2" t="s">
        <v>2053</v>
      </c>
      <c r="F535" s="4">
        <v>2199.1999999999998</v>
      </c>
      <c r="G535" s="5">
        <v>41.89</v>
      </c>
      <c r="H535" s="6">
        <v>4</v>
      </c>
      <c r="I535" s="2" t="s">
        <v>2118</v>
      </c>
    </row>
    <row r="536" spans="2:9" x14ac:dyDescent="0.3">
      <c r="B536" s="2" t="s">
        <v>542</v>
      </c>
      <c r="C536" s="3">
        <v>44654</v>
      </c>
      <c r="D536" s="2" t="s">
        <v>2009</v>
      </c>
      <c r="E536" s="2" t="s">
        <v>2023</v>
      </c>
      <c r="F536" s="4">
        <v>2715.63</v>
      </c>
      <c r="G536" s="5">
        <v>629.66</v>
      </c>
      <c r="H536" s="6">
        <v>3</v>
      </c>
      <c r="I536" s="2" t="s">
        <v>2118</v>
      </c>
    </row>
    <row r="537" spans="2:9" x14ac:dyDescent="0.3">
      <c r="B537" s="2" t="s">
        <v>543</v>
      </c>
      <c r="C537" s="3">
        <v>44544</v>
      </c>
      <c r="D537" s="2" t="s">
        <v>2012</v>
      </c>
      <c r="E537" s="2" t="s">
        <v>2082</v>
      </c>
      <c r="F537" s="4">
        <v>2113.7600000000002</v>
      </c>
      <c r="G537" s="5">
        <v>486.24</v>
      </c>
      <c r="H537" s="6">
        <v>5</v>
      </c>
      <c r="I537" s="2" t="s">
        <v>2116</v>
      </c>
    </row>
    <row r="538" spans="2:9" x14ac:dyDescent="0.3">
      <c r="B538" s="2" t="s">
        <v>544</v>
      </c>
      <c r="C538" s="3">
        <v>44377</v>
      </c>
      <c r="D538" s="2" t="s">
        <v>2010</v>
      </c>
      <c r="E538" s="2" t="s">
        <v>2034</v>
      </c>
      <c r="F538" s="4">
        <v>2333.9</v>
      </c>
      <c r="G538" s="5">
        <v>956.32</v>
      </c>
      <c r="H538" s="6">
        <v>4</v>
      </c>
      <c r="I538" s="2" t="s">
        <v>2117</v>
      </c>
    </row>
    <row r="539" spans="2:9" x14ac:dyDescent="0.3">
      <c r="B539" s="2" t="s">
        <v>545</v>
      </c>
      <c r="C539" s="3">
        <v>44201</v>
      </c>
      <c r="D539" s="2" t="s">
        <v>2010</v>
      </c>
      <c r="E539" s="2" t="s">
        <v>2045</v>
      </c>
      <c r="F539" s="4">
        <v>4199.92</v>
      </c>
      <c r="G539" s="5">
        <v>185.14</v>
      </c>
      <c r="H539" s="6">
        <v>2</v>
      </c>
      <c r="I539" s="2" t="s">
        <v>2118</v>
      </c>
    </row>
    <row r="540" spans="2:9" x14ac:dyDescent="0.3">
      <c r="B540" s="2" t="s">
        <v>546</v>
      </c>
      <c r="C540" s="3">
        <v>44431</v>
      </c>
      <c r="D540" s="2" t="s">
        <v>2009</v>
      </c>
      <c r="E540" s="2" t="s">
        <v>2044</v>
      </c>
      <c r="F540" s="4">
        <v>1628.48</v>
      </c>
      <c r="G540" s="5">
        <v>837.78</v>
      </c>
      <c r="H540" s="6">
        <v>15</v>
      </c>
      <c r="I540" s="2" t="s">
        <v>2118</v>
      </c>
    </row>
    <row r="541" spans="2:9" x14ac:dyDescent="0.3">
      <c r="B541" s="2" t="s">
        <v>547</v>
      </c>
      <c r="C541" s="3">
        <v>45493</v>
      </c>
      <c r="D541" s="2" t="s">
        <v>2010</v>
      </c>
      <c r="E541" s="2" t="s">
        <v>2083</v>
      </c>
      <c r="F541" s="4">
        <v>3728.19</v>
      </c>
      <c r="G541" s="5">
        <v>738.03</v>
      </c>
      <c r="H541" s="6">
        <v>15</v>
      </c>
      <c r="I541" s="2" t="s">
        <v>2116</v>
      </c>
    </row>
    <row r="542" spans="2:9" x14ac:dyDescent="0.3">
      <c r="B542" s="2" t="s">
        <v>548</v>
      </c>
      <c r="C542" s="3">
        <v>45181</v>
      </c>
      <c r="D542" s="2" t="s">
        <v>2011</v>
      </c>
      <c r="E542" s="2" t="s">
        <v>2038</v>
      </c>
      <c r="F542" s="4">
        <v>1935.84</v>
      </c>
      <c r="G542" s="5">
        <v>67.260000000000005</v>
      </c>
      <c r="H542" s="6">
        <v>3</v>
      </c>
      <c r="I542" s="2" t="s">
        <v>2117</v>
      </c>
    </row>
    <row r="543" spans="2:9" x14ac:dyDescent="0.3">
      <c r="B543" s="2" t="s">
        <v>549</v>
      </c>
      <c r="C543" s="3">
        <v>45338</v>
      </c>
      <c r="D543" s="2" t="s">
        <v>2011</v>
      </c>
      <c r="E543" s="2" t="s">
        <v>2093</v>
      </c>
      <c r="F543" s="4">
        <v>2446.4299999999998</v>
      </c>
      <c r="G543" s="5">
        <v>501.88</v>
      </c>
      <c r="H543" s="6">
        <v>8</v>
      </c>
      <c r="I543" s="2" t="s">
        <v>2118</v>
      </c>
    </row>
    <row r="544" spans="2:9" x14ac:dyDescent="0.3">
      <c r="B544" s="2" t="s">
        <v>550</v>
      </c>
      <c r="C544" s="3">
        <v>45155</v>
      </c>
      <c r="D544" s="2" t="s">
        <v>2010</v>
      </c>
      <c r="E544" s="2" t="s">
        <v>2077</v>
      </c>
      <c r="F544" s="4">
        <v>3709.66</v>
      </c>
      <c r="G544" s="5">
        <v>623.6</v>
      </c>
      <c r="H544" s="6">
        <v>7</v>
      </c>
      <c r="I544" s="2" t="s">
        <v>2118</v>
      </c>
    </row>
    <row r="545" spans="2:9" x14ac:dyDescent="0.3">
      <c r="B545" s="2" t="s">
        <v>551</v>
      </c>
      <c r="C545" s="3">
        <v>44130</v>
      </c>
      <c r="D545" s="2" t="s">
        <v>2009</v>
      </c>
      <c r="E545" s="2" t="s">
        <v>2028</v>
      </c>
      <c r="F545" s="4">
        <v>1645.19</v>
      </c>
      <c r="G545" s="5">
        <v>938.05</v>
      </c>
      <c r="H545" s="6">
        <v>18</v>
      </c>
      <c r="I545" s="2" t="s">
        <v>2118</v>
      </c>
    </row>
    <row r="546" spans="2:9" x14ac:dyDescent="0.3">
      <c r="B546" s="2" t="s">
        <v>552</v>
      </c>
      <c r="C546" s="3">
        <v>44162</v>
      </c>
      <c r="D546" s="2" t="s">
        <v>2012</v>
      </c>
      <c r="E546" s="2" t="s">
        <v>2023</v>
      </c>
      <c r="F546" s="4">
        <v>4362.17</v>
      </c>
      <c r="G546" s="5">
        <v>891.31</v>
      </c>
      <c r="H546" s="6">
        <v>18</v>
      </c>
      <c r="I546" s="2" t="s">
        <v>2118</v>
      </c>
    </row>
    <row r="547" spans="2:9" x14ac:dyDescent="0.3">
      <c r="B547" s="2" t="s">
        <v>553</v>
      </c>
      <c r="C547" s="3">
        <v>45519</v>
      </c>
      <c r="D547" s="2" t="s">
        <v>2012</v>
      </c>
      <c r="E547" s="2" t="s">
        <v>2016</v>
      </c>
      <c r="F547" s="4">
        <v>1844.29</v>
      </c>
      <c r="G547" s="5">
        <v>452.17</v>
      </c>
      <c r="H547" s="6">
        <v>3</v>
      </c>
      <c r="I547" s="2" t="s">
        <v>2117</v>
      </c>
    </row>
    <row r="548" spans="2:9" x14ac:dyDescent="0.3">
      <c r="B548" s="2" t="s">
        <v>554</v>
      </c>
      <c r="C548" s="3">
        <v>44104</v>
      </c>
      <c r="D548" s="2" t="s">
        <v>2012</v>
      </c>
      <c r="E548" s="2" t="s">
        <v>2100</v>
      </c>
      <c r="F548" s="4">
        <v>1686.93</v>
      </c>
      <c r="G548" s="5">
        <v>217.68</v>
      </c>
      <c r="H548" s="6">
        <v>16</v>
      </c>
      <c r="I548" s="2" t="s">
        <v>2118</v>
      </c>
    </row>
    <row r="549" spans="2:9" x14ac:dyDescent="0.3">
      <c r="B549" s="2" t="s">
        <v>555</v>
      </c>
      <c r="C549" s="3">
        <v>44471</v>
      </c>
      <c r="D549" s="2" t="s">
        <v>2012</v>
      </c>
      <c r="E549" s="2" t="s">
        <v>2048</v>
      </c>
      <c r="F549" s="4">
        <v>965.87</v>
      </c>
      <c r="G549" s="5">
        <v>884.44</v>
      </c>
      <c r="H549" s="6">
        <v>13</v>
      </c>
      <c r="I549" s="2" t="s">
        <v>2117</v>
      </c>
    </row>
    <row r="550" spans="2:9" x14ac:dyDescent="0.3">
      <c r="B550" s="2" t="s">
        <v>556</v>
      </c>
      <c r="C550" s="3">
        <v>44682</v>
      </c>
      <c r="D550" s="2" t="s">
        <v>2010</v>
      </c>
      <c r="E550" s="2" t="s">
        <v>2074</v>
      </c>
      <c r="F550" s="4">
        <v>4178.09</v>
      </c>
      <c r="G550" s="5">
        <v>848.91</v>
      </c>
      <c r="H550" s="6">
        <v>10</v>
      </c>
      <c r="I550" s="2" t="s">
        <v>2118</v>
      </c>
    </row>
    <row r="551" spans="2:9" x14ac:dyDescent="0.3">
      <c r="B551" s="2" t="s">
        <v>557</v>
      </c>
      <c r="C551" s="3">
        <v>45527</v>
      </c>
      <c r="D551" s="2" t="s">
        <v>2009</v>
      </c>
      <c r="E551" s="2" t="s">
        <v>2072</v>
      </c>
      <c r="F551" s="4">
        <v>4017.97</v>
      </c>
      <c r="G551" s="5">
        <v>902.62</v>
      </c>
      <c r="H551" s="6">
        <v>6</v>
      </c>
      <c r="I551" s="2" t="s">
        <v>2116</v>
      </c>
    </row>
    <row r="552" spans="2:9" x14ac:dyDescent="0.3">
      <c r="B552" s="2" t="s">
        <v>558</v>
      </c>
      <c r="C552" s="3">
        <v>43932</v>
      </c>
      <c r="D552" s="2" t="s">
        <v>2010</v>
      </c>
      <c r="E552" s="2" t="s">
        <v>2109</v>
      </c>
      <c r="F552" s="4">
        <v>1021.37</v>
      </c>
      <c r="G552" s="5">
        <v>484.63</v>
      </c>
      <c r="H552" s="6">
        <v>13</v>
      </c>
      <c r="I552" s="2" t="s">
        <v>2118</v>
      </c>
    </row>
    <row r="553" spans="2:9" x14ac:dyDescent="0.3">
      <c r="B553" s="2" t="s">
        <v>559</v>
      </c>
      <c r="C553" s="3">
        <v>44240</v>
      </c>
      <c r="D553" s="2" t="s">
        <v>2009</v>
      </c>
      <c r="E553" s="2" t="s">
        <v>2069</v>
      </c>
      <c r="F553" s="4">
        <v>2367.54</v>
      </c>
      <c r="G553" s="5">
        <v>381.01</v>
      </c>
      <c r="H553" s="6">
        <v>9</v>
      </c>
      <c r="I553" s="2" t="s">
        <v>2116</v>
      </c>
    </row>
    <row r="554" spans="2:9" x14ac:dyDescent="0.3">
      <c r="B554" s="2" t="s">
        <v>560</v>
      </c>
      <c r="C554" s="3">
        <v>45595</v>
      </c>
      <c r="D554" s="2" t="s">
        <v>2012</v>
      </c>
      <c r="E554" s="2" t="s">
        <v>2082</v>
      </c>
      <c r="F554" s="4">
        <v>2317.7199999999998</v>
      </c>
      <c r="G554" s="5">
        <v>322.60000000000002</v>
      </c>
      <c r="H554" s="6">
        <v>8</v>
      </c>
      <c r="I554" s="2" t="s">
        <v>2117</v>
      </c>
    </row>
    <row r="555" spans="2:9" x14ac:dyDescent="0.3">
      <c r="B555" s="2" t="s">
        <v>561</v>
      </c>
      <c r="C555" s="3">
        <v>44116</v>
      </c>
      <c r="D555" s="2" t="s">
        <v>2010</v>
      </c>
      <c r="E555" s="2" t="s">
        <v>2090</v>
      </c>
      <c r="F555" s="4">
        <v>3280.37</v>
      </c>
      <c r="G555" s="5">
        <v>435.43</v>
      </c>
      <c r="H555" s="6">
        <v>4</v>
      </c>
      <c r="I555" s="2" t="s">
        <v>2117</v>
      </c>
    </row>
    <row r="556" spans="2:9" x14ac:dyDescent="0.3">
      <c r="B556" s="2" t="s">
        <v>562</v>
      </c>
      <c r="C556" s="3">
        <v>45286</v>
      </c>
      <c r="D556" s="2" t="s">
        <v>2011</v>
      </c>
      <c r="E556" s="2" t="s">
        <v>2054</v>
      </c>
      <c r="F556" s="4">
        <v>697.76</v>
      </c>
      <c r="G556" s="5">
        <v>115.69</v>
      </c>
      <c r="H556" s="6">
        <v>15</v>
      </c>
      <c r="I556" s="2" t="s">
        <v>2116</v>
      </c>
    </row>
    <row r="557" spans="2:9" x14ac:dyDescent="0.3">
      <c r="B557" s="2" t="s">
        <v>563</v>
      </c>
      <c r="C557" s="3">
        <v>44094</v>
      </c>
      <c r="D557" s="2" t="s">
        <v>2009</v>
      </c>
      <c r="E557" s="2" t="s">
        <v>2053</v>
      </c>
      <c r="F557" s="4">
        <v>3035.58</v>
      </c>
      <c r="G557" s="5">
        <v>617.79999999999995</v>
      </c>
      <c r="H557" s="6">
        <v>5</v>
      </c>
      <c r="I557" s="2" t="s">
        <v>2116</v>
      </c>
    </row>
    <row r="558" spans="2:9" x14ac:dyDescent="0.3">
      <c r="B558" s="2" t="s">
        <v>564</v>
      </c>
      <c r="C558" s="3">
        <v>44960</v>
      </c>
      <c r="D558" s="2" t="s">
        <v>2011</v>
      </c>
      <c r="E558" s="2" t="s">
        <v>2021</v>
      </c>
      <c r="F558" s="4">
        <v>752.41</v>
      </c>
      <c r="G558" s="5">
        <v>680.24</v>
      </c>
      <c r="H558" s="6">
        <v>2</v>
      </c>
      <c r="I558" s="2" t="s">
        <v>2116</v>
      </c>
    </row>
    <row r="559" spans="2:9" x14ac:dyDescent="0.3">
      <c r="B559" s="2" t="s">
        <v>565</v>
      </c>
      <c r="C559" s="3">
        <v>45422</v>
      </c>
      <c r="D559" s="2" t="s">
        <v>2012</v>
      </c>
      <c r="E559" s="2" t="s">
        <v>2095</v>
      </c>
      <c r="F559" s="4">
        <v>3993.97</v>
      </c>
      <c r="G559" s="5">
        <v>387.59</v>
      </c>
      <c r="H559" s="6">
        <v>18</v>
      </c>
      <c r="I559" s="2" t="s">
        <v>2117</v>
      </c>
    </row>
    <row r="560" spans="2:9" x14ac:dyDescent="0.3">
      <c r="B560" s="2" t="s">
        <v>566</v>
      </c>
      <c r="C560" s="3">
        <v>44428</v>
      </c>
      <c r="D560" s="2" t="s">
        <v>2012</v>
      </c>
      <c r="E560" s="2" t="s">
        <v>2094</v>
      </c>
      <c r="F560" s="4">
        <v>4681.49</v>
      </c>
      <c r="G560" s="5">
        <v>71.930000000000007</v>
      </c>
      <c r="H560" s="6">
        <v>20</v>
      </c>
      <c r="I560" s="2" t="s">
        <v>2117</v>
      </c>
    </row>
    <row r="561" spans="2:9" x14ac:dyDescent="0.3">
      <c r="B561" s="2" t="s">
        <v>567</v>
      </c>
      <c r="C561" s="3">
        <v>44448</v>
      </c>
      <c r="D561" s="2" t="s">
        <v>2011</v>
      </c>
      <c r="E561" s="2" t="s">
        <v>2088</v>
      </c>
      <c r="F561" s="4">
        <v>3461.81</v>
      </c>
      <c r="G561" s="5">
        <v>631.45000000000005</v>
      </c>
      <c r="H561" s="6">
        <v>16</v>
      </c>
      <c r="I561" s="2" t="s">
        <v>2116</v>
      </c>
    </row>
    <row r="562" spans="2:9" x14ac:dyDescent="0.3">
      <c r="B562" s="2" t="s">
        <v>568</v>
      </c>
      <c r="C562" s="3">
        <v>44440</v>
      </c>
      <c r="D562" s="2" t="s">
        <v>2011</v>
      </c>
      <c r="E562" s="2" t="s">
        <v>2050</v>
      </c>
      <c r="F562" s="4">
        <v>4366.79</v>
      </c>
      <c r="G562" s="5">
        <v>385.31</v>
      </c>
      <c r="H562" s="6">
        <v>20</v>
      </c>
      <c r="I562" s="2" t="s">
        <v>2117</v>
      </c>
    </row>
    <row r="563" spans="2:9" x14ac:dyDescent="0.3">
      <c r="B563" s="2" t="s">
        <v>569</v>
      </c>
      <c r="C563" s="3">
        <v>44157</v>
      </c>
      <c r="D563" s="2" t="s">
        <v>2010</v>
      </c>
      <c r="E563" s="2" t="s">
        <v>2079</v>
      </c>
      <c r="F563" s="4">
        <v>2585.36</v>
      </c>
      <c r="G563" s="5">
        <v>206.47</v>
      </c>
      <c r="H563" s="6">
        <v>20</v>
      </c>
      <c r="I563" s="2" t="s">
        <v>2117</v>
      </c>
    </row>
    <row r="564" spans="2:9" x14ac:dyDescent="0.3">
      <c r="B564" s="2" t="s">
        <v>570</v>
      </c>
      <c r="C564" s="3">
        <v>44128</v>
      </c>
      <c r="D564" s="2" t="s">
        <v>2012</v>
      </c>
      <c r="E564" s="2" t="s">
        <v>2102</v>
      </c>
      <c r="F564" s="4">
        <v>833.17</v>
      </c>
      <c r="G564" s="5">
        <v>424.44</v>
      </c>
      <c r="H564" s="6">
        <v>19</v>
      </c>
      <c r="I564" s="2" t="s">
        <v>2117</v>
      </c>
    </row>
    <row r="565" spans="2:9" x14ac:dyDescent="0.3">
      <c r="B565" s="2" t="s">
        <v>571</v>
      </c>
      <c r="C565" s="3">
        <v>44015</v>
      </c>
      <c r="D565" s="2" t="s">
        <v>2011</v>
      </c>
      <c r="E565" s="2" t="s">
        <v>2094</v>
      </c>
      <c r="F565" s="4">
        <v>3661.58</v>
      </c>
      <c r="G565" s="5">
        <v>194.7</v>
      </c>
      <c r="H565" s="6">
        <v>17</v>
      </c>
      <c r="I565" s="2" t="s">
        <v>2118</v>
      </c>
    </row>
    <row r="566" spans="2:9" x14ac:dyDescent="0.3">
      <c r="B566" s="2" t="s">
        <v>572</v>
      </c>
      <c r="C566" s="3">
        <v>44467</v>
      </c>
      <c r="D566" s="2" t="s">
        <v>2010</v>
      </c>
      <c r="E566" s="2" t="s">
        <v>2037</v>
      </c>
      <c r="F566" s="4">
        <v>4568.79</v>
      </c>
      <c r="G566" s="5">
        <v>903.9</v>
      </c>
      <c r="H566" s="6">
        <v>14</v>
      </c>
      <c r="I566" s="2" t="s">
        <v>2118</v>
      </c>
    </row>
    <row r="567" spans="2:9" x14ac:dyDescent="0.3">
      <c r="B567" s="2" t="s">
        <v>573</v>
      </c>
      <c r="C567" s="3">
        <v>44495</v>
      </c>
      <c r="D567" s="2" t="s">
        <v>2012</v>
      </c>
      <c r="E567" s="2" t="s">
        <v>2048</v>
      </c>
      <c r="F567" s="4">
        <v>1087.8</v>
      </c>
      <c r="G567" s="5">
        <v>850.59</v>
      </c>
      <c r="H567" s="6">
        <v>18</v>
      </c>
      <c r="I567" s="2" t="s">
        <v>2117</v>
      </c>
    </row>
    <row r="568" spans="2:9" x14ac:dyDescent="0.3">
      <c r="B568" s="2" t="s">
        <v>574</v>
      </c>
      <c r="C568" s="3">
        <v>45007</v>
      </c>
      <c r="D568" s="2" t="s">
        <v>2009</v>
      </c>
      <c r="E568" s="2" t="s">
        <v>2043</v>
      </c>
      <c r="F568" s="4">
        <v>4654.57</v>
      </c>
      <c r="G568" s="5">
        <v>685.85</v>
      </c>
      <c r="H568" s="6">
        <v>3</v>
      </c>
      <c r="I568" s="2" t="s">
        <v>2116</v>
      </c>
    </row>
    <row r="569" spans="2:9" x14ac:dyDescent="0.3">
      <c r="B569" s="2" t="s">
        <v>575</v>
      </c>
      <c r="C569" s="3">
        <v>45389</v>
      </c>
      <c r="D569" s="2" t="s">
        <v>2011</v>
      </c>
      <c r="E569" s="2" t="s">
        <v>2038</v>
      </c>
      <c r="F569" s="4">
        <v>3548.99</v>
      </c>
      <c r="G569" s="5">
        <v>421.88</v>
      </c>
      <c r="H569" s="6">
        <v>6</v>
      </c>
      <c r="I569" s="2" t="s">
        <v>2116</v>
      </c>
    </row>
    <row r="570" spans="2:9" x14ac:dyDescent="0.3">
      <c r="B570" s="2" t="s">
        <v>576</v>
      </c>
      <c r="C570" s="3">
        <v>44405</v>
      </c>
      <c r="D570" s="2" t="s">
        <v>2011</v>
      </c>
      <c r="E570" s="2" t="s">
        <v>2061</v>
      </c>
      <c r="F570" s="4">
        <v>734.55</v>
      </c>
      <c r="G570" s="5">
        <v>336.47</v>
      </c>
      <c r="H570" s="6">
        <v>16</v>
      </c>
      <c r="I570" s="2" t="s">
        <v>2116</v>
      </c>
    </row>
    <row r="571" spans="2:9" x14ac:dyDescent="0.3">
      <c r="B571" s="2" t="s">
        <v>577</v>
      </c>
      <c r="C571" s="3">
        <v>43920</v>
      </c>
      <c r="D571" s="2" t="s">
        <v>2011</v>
      </c>
      <c r="E571" s="2" t="s">
        <v>2043</v>
      </c>
      <c r="F571" s="4">
        <v>4078.66</v>
      </c>
      <c r="G571" s="5">
        <v>350.24</v>
      </c>
      <c r="H571" s="6">
        <v>15</v>
      </c>
      <c r="I571" s="2" t="s">
        <v>2118</v>
      </c>
    </row>
    <row r="572" spans="2:9" x14ac:dyDescent="0.3">
      <c r="B572" s="2" t="s">
        <v>578</v>
      </c>
      <c r="C572" s="3">
        <v>45091</v>
      </c>
      <c r="D572" s="2" t="s">
        <v>2010</v>
      </c>
      <c r="E572" s="2" t="s">
        <v>2107</v>
      </c>
      <c r="F572" s="4">
        <v>608.15</v>
      </c>
      <c r="G572" s="5">
        <v>354.91</v>
      </c>
      <c r="H572" s="6">
        <v>20</v>
      </c>
      <c r="I572" s="2" t="s">
        <v>2118</v>
      </c>
    </row>
    <row r="573" spans="2:9" x14ac:dyDescent="0.3">
      <c r="B573" s="2" t="s">
        <v>579</v>
      </c>
      <c r="C573" s="3">
        <v>45543</v>
      </c>
      <c r="D573" s="2" t="s">
        <v>2009</v>
      </c>
      <c r="E573" s="2" t="s">
        <v>2055</v>
      </c>
      <c r="F573" s="4">
        <v>3322.21</v>
      </c>
      <c r="G573" s="5">
        <v>150.09</v>
      </c>
      <c r="H573" s="6">
        <v>3</v>
      </c>
      <c r="I573" s="2" t="s">
        <v>2117</v>
      </c>
    </row>
    <row r="574" spans="2:9" x14ac:dyDescent="0.3">
      <c r="B574" s="2" t="s">
        <v>580</v>
      </c>
      <c r="C574" s="3">
        <v>43859</v>
      </c>
      <c r="D574" s="2" t="s">
        <v>2012</v>
      </c>
      <c r="E574" s="2" t="s">
        <v>2088</v>
      </c>
      <c r="F574" s="4">
        <v>2265.86</v>
      </c>
      <c r="G574" s="5">
        <v>484.24</v>
      </c>
      <c r="H574" s="6">
        <v>7</v>
      </c>
      <c r="I574" s="2" t="s">
        <v>2116</v>
      </c>
    </row>
    <row r="575" spans="2:9" x14ac:dyDescent="0.3">
      <c r="B575" s="2" t="s">
        <v>581</v>
      </c>
      <c r="C575" s="3">
        <v>44550</v>
      </c>
      <c r="D575" s="2" t="s">
        <v>2011</v>
      </c>
      <c r="E575" s="2" t="s">
        <v>2104</v>
      </c>
      <c r="F575" s="4">
        <v>779.15</v>
      </c>
      <c r="G575" s="5">
        <v>515.19000000000005</v>
      </c>
      <c r="H575" s="6">
        <v>12</v>
      </c>
      <c r="I575" s="2" t="s">
        <v>2116</v>
      </c>
    </row>
    <row r="576" spans="2:9" x14ac:dyDescent="0.3">
      <c r="B576" s="2" t="s">
        <v>582</v>
      </c>
      <c r="C576" s="3">
        <v>45338</v>
      </c>
      <c r="D576" s="2" t="s">
        <v>2009</v>
      </c>
      <c r="E576" s="2" t="s">
        <v>2083</v>
      </c>
      <c r="F576" s="4">
        <v>1468.68</v>
      </c>
      <c r="G576" s="5">
        <v>533.63</v>
      </c>
      <c r="H576" s="6">
        <v>11</v>
      </c>
      <c r="I576" s="2" t="s">
        <v>2117</v>
      </c>
    </row>
    <row r="577" spans="2:9" x14ac:dyDescent="0.3">
      <c r="B577" s="2" t="s">
        <v>583</v>
      </c>
      <c r="C577" s="3">
        <v>45461</v>
      </c>
      <c r="D577" s="2" t="s">
        <v>2010</v>
      </c>
      <c r="E577" s="2" t="s">
        <v>2026</v>
      </c>
      <c r="F577" s="4">
        <v>1419.16</v>
      </c>
      <c r="G577" s="5">
        <v>746.09</v>
      </c>
      <c r="H577" s="6">
        <v>14</v>
      </c>
      <c r="I577" s="2" t="s">
        <v>2118</v>
      </c>
    </row>
    <row r="578" spans="2:9" x14ac:dyDescent="0.3">
      <c r="B578" s="2" t="s">
        <v>584</v>
      </c>
      <c r="C578" s="3">
        <v>45290</v>
      </c>
      <c r="D578" s="2" t="s">
        <v>2010</v>
      </c>
      <c r="E578" s="2" t="s">
        <v>2016</v>
      </c>
      <c r="F578" s="4">
        <v>4779.87</v>
      </c>
      <c r="G578" s="5">
        <v>497.5</v>
      </c>
      <c r="H578" s="6">
        <v>16</v>
      </c>
      <c r="I578" s="2" t="s">
        <v>2118</v>
      </c>
    </row>
    <row r="579" spans="2:9" x14ac:dyDescent="0.3">
      <c r="B579" s="2" t="s">
        <v>585</v>
      </c>
      <c r="C579" s="3">
        <v>44451</v>
      </c>
      <c r="D579" s="2" t="s">
        <v>2009</v>
      </c>
      <c r="E579" s="2" t="s">
        <v>2051</v>
      </c>
      <c r="F579" s="4">
        <v>3542.42</v>
      </c>
      <c r="G579" s="5">
        <v>363.5</v>
      </c>
      <c r="H579" s="6">
        <v>12</v>
      </c>
      <c r="I579" s="2" t="s">
        <v>2116</v>
      </c>
    </row>
    <row r="580" spans="2:9" x14ac:dyDescent="0.3">
      <c r="B580" s="2" t="s">
        <v>586</v>
      </c>
      <c r="C580" s="3">
        <v>45045</v>
      </c>
      <c r="D580" s="2" t="s">
        <v>2009</v>
      </c>
      <c r="E580" s="2" t="s">
        <v>2078</v>
      </c>
      <c r="F580" s="4">
        <v>1221.32</v>
      </c>
      <c r="G580" s="5">
        <v>745.13</v>
      </c>
      <c r="H580" s="6">
        <v>13</v>
      </c>
      <c r="I580" s="2" t="s">
        <v>2116</v>
      </c>
    </row>
    <row r="581" spans="2:9" x14ac:dyDescent="0.3">
      <c r="B581" s="2" t="s">
        <v>587</v>
      </c>
      <c r="C581" s="3">
        <v>44722</v>
      </c>
      <c r="D581" s="2" t="s">
        <v>2012</v>
      </c>
      <c r="E581" s="2" t="s">
        <v>2096</v>
      </c>
      <c r="F581" s="4">
        <v>4079.24</v>
      </c>
      <c r="G581" s="5">
        <v>74.22</v>
      </c>
      <c r="H581" s="6">
        <v>9</v>
      </c>
      <c r="I581" s="2" t="s">
        <v>2116</v>
      </c>
    </row>
    <row r="582" spans="2:9" x14ac:dyDescent="0.3">
      <c r="B582" s="2" t="s">
        <v>588</v>
      </c>
      <c r="C582" s="3">
        <v>44541</v>
      </c>
      <c r="D582" s="2" t="s">
        <v>2011</v>
      </c>
      <c r="E582" s="2" t="s">
        <v>2077</v>
      </c>
      <c r="F582" s="4">
        <v>648.57000000000005</v>
      </c>
      <c r="G582" s="5">
        <v>158.79</v>
      </c>
      <c r="H582" s="6">
        <v>11</v>
      </c>
      <c r="I582" s="2" t="s">
        <v>2116</v>
      </c>
    </row>
    <row r="583" spans="2:9" x14ac:dyDescent="0.3">
      <c r="B583" s="2" t="s">
        <v>589</v>
      </c>
      <c r="C583" s="3">
        <v>45265</v>
      </c>
      <c r="D583" s="2" t="s">
        <v>2010</v>
      </c>
      <c r="E583" s="2" t="s">
        <v>2044</v>
      </c>
      <c r="F583" s="4">
        <v>933.38</v>
      </c>
      <c r="G583" s="5">
        <v>540.1</v>
      </c>
      <c r="H583" s="6">
        <v>5</v>
      </c>
      <c r="I583" s="2" t="s">
        <v>2117</v>
      </c>
    </row>
    <row r="584" spans="2:9" x14ac:dyDescent="0.3">
      <c r="B584" s="2" t="s">
        <v>590</v>
      </c>
      <c r="C584" s="3">
        <v>45073</v>
      </c>
      <c r="D584" s="2" t="s">
        <v>2009</v>
      </c>
      <c r="E584" s="2" t="s">
        <v>2101</v>
      </c>
      <c r="F584" s="4">
        <v>3965.41</v>
      </c>
      <c r="G584" s="5">
        <v>287.97000000000003</v>
      </c>
      <c r="H584" s="6">
        <v>6</v>
      </c>
      <c r="I584" s="2" t="s">
        <v>2118</v>
      </c>
    </row>
    <row r="585" spans="2:9" x14ac:dyDescent="0.3">
      <c r="B585" s="2" t="s">
        <v>591</v>
      </c>
      <c r="C585" s="3">
        <v>45214</v>
      </c>
      <c r="D585" s="2" t="s">
        <v>2011</v>
      </c>
      <c r="E585" s="2" t="s">
        <v>2053</v>
      </c>
      <c r="F585" s="4">
        <v>3287.12</v>
      </c>
      <c r="G585" s="5">
        <v>717.42</v>
      </c>
      <c r="H585" s="6">
        <v>1</v>
      </c>
      <c r="I585" s="2" t="s">
        <v>2118</v>
      </c>
    </row>
    <row r="586" spans="2:9" x14ac:dyDescent="0.3">
      <c r="B586" s="2" t="s">
        <v>592</v>
      </c>
      <c r="C586" s="3">
        <v>44008</v>
      </c>
      <c r="D586" s="2" t="s">
        <v>2012</v>
      </c>
      <c r="E586" s="2" t="s">
        <v>2056</v>
      </c>
      <c r="F586" s="4">
        <v>2145.33</v>
      </c>
      <c r="G586" s="5">
        <v>929.65</v>
      </c>
      <c r="H586" s="6">
        <v>17</v>
      </c>
      <c r="I586" s="2" t="s">
        <v>2116</v>
      </c>
    </row>
    <row r="587" spans="2:9" x14ac:dyDescent="0.3">
      <c r="B587" s="2" t="s">
        <v>593</v>
      </c>
      <c r="C587" s="3">
        <v>43841</v>
      </c>
      <c r="D587" s="2" t="s">
        <v>2010</v>
      </c>
      <c r="E587" s="2" t="s">
        <v>2074</v>
      </c>
      <c r="F587" s="4">
        <v>1729.33</v>
      </c>
      <c r="G587" s="5">
        <v>884.3</v>
      </c>
      <c r="H587" s="6">
        <v>3</v>
      </c>
      <c r="I587" s="2" t="s">
        <v>2116</v>
      </c>
    </row>
    <row r="588" spans="2:9" x14ac:dyDescent="0.3">
      <c r="B588" s="2" t="s">
        <v>594</v>
      </c>
      <c r="C588" s="3">
        <v>44696</v>
      </c>
      <c r="D588" s="2" t="s">
        <v>2012</v>
      </c>
      <c r="E588" s="2" t="s">
        <v>2023</v>
      </c>
      <c r="F588" s="4">
        <v>446.16</v>
      </c>
      <c r="G588" s="5">
        <v>759.7</v>
      </c>
      <c r="H588" s="6">
        <v>1</v>
      </c>
      <c r="I588" s="2" t="s">
        <v>2116</v>
      </c>
    </row>
    <row r="589" spans="2:9" x14ac:dyDescent="0.3">
      <c r="B589" s="2" t="s">
        <v>595</v>
      </c>
      <c r="C589" s="3">
        <v>45105</v>
      </c>
      <c r="D589" s="2" t="s">
        <v>2011</v>
      </c>
      <c r="E589" s="2" t="s">
        <v>2062</v>
      </c>
      <c r="F589" s="4">
        <v>4271.28</v>
      </c>
      <c r="G589" s="5">
        <v>929.51</v>
      </c>
      <c r="H589" s="6">
        <v>5</v>
      </c>
      <c r="I589" s="2" t="s">
        <v>2118</v>
      </c>
    </row>
    <row r="590" spans="2:9" x14ac:dyDescent="0.3">
      <c r="B590" s="2" t="s">
        <v>596</v>
      </c>
      <c r="C590" s="3">
        <v>43992</v>
      </c>
      <c r="D590" s="2" t="s">
        <v>2010</v>
      </c>
      <c r="E590" s="2" t="s">
        <v>2016</v>
      </c>
      <c r="F590" s="4">
        <v>451.13</v>
      </c>
      <c r="G590" s="5">
        <v>425.23</v>
      </c>
      <c r="H590" s="6">
        <v>15</v>
      </c>
      <c r="I590" s="2" t="s">
        <v>2116</v>
      </c>
    </row>
    <row r="591" spans="2:9" x14ac:dyDescent="0.3">
      <c r="B591" s="2" t="s">
        <v>597</v>
      </c>
      <c r="C591" s="3">
        <v>44866</v>
      </c>
      <c r="D591" s="2" t="s">
        <v>2009</v>
      </c>
      <c r="E591" s="2" t="s">
        <v>2091</v>
      </c>
      <c r="F591" s="4">
        <v>4718.6499999999996</v>
      </c>
      <c r="G591" s="5">
        <v>871.93</v>
      </c>
      <c r="H591" s="6">
        <v>16</v>
      </c>
      <c r="I591" s="2" t="s">
        <v>2116</v>
      </c>
    </row>
    <row r="592" spans="2:9" x14ac:dyDescent="0.3">
      <c r="B592" s="2" t="s">
        <v>598</v>
      </c>
      <c r="C592" s="3">
        <v>44732</v>
      </c>
      <c r="D592" s="2" t="s">
        <v>2011</v>
      </c>
      <c r="E592" s="2" t="s">
        <v>2102</v>
      </c>
      <c r="F592" s="4">
        <v>3382.58</v>
      </c>
      <c r="G592" s="5">
        <v>29.04</v>
      </c>
      <c r="H592" s="6">
        <v>1</v>
      </c>
      <c r="I592" s="2" t="s">
        <v>2118</v>
      </c>
    </row>
    <row r="593" spans="2:9" x14ac:dyDescent="0.3">
      <c r="B593" s="2" t="s">
        <v>599</v>
      </c>
      <c r="C593" s="3">
        <v>44671</v>
      </c>
      <c r="D593" s="2" t="s">
        <v>2009</v>
      </c>
      <c r="E593" s="2" t="s">
        <v>2109</v>
      </c>
      <c r="F593" s="4">
        <v>3431.99</v>
      </c>
      <c r="G593" s="5">
        <v>575.58000000000004</v>
      </c>
      <c r="H593" s="6">
        <v>4</v>
      </c>
      <c r="I593" s="2" t="s">
        <v>2116</v>
      </c>
    </row>
    <row r="594" spans="2:9" x14ac:dyDescent="0.3">
      <c r="B594" s="2" t="s">
        <v>600</v>
      </c>
      <c r="C594" s="3">
        <v>44405</v>
      </c>
      <c r="D594" s="2" t="s">
        <v>2012</v>
      </c>
      <c r="E594" s="2" t="s">
        <v>2028</v>
      </c>
      <c r="F594" s="4">
        <v>606.26</v>
      </c>
      <c r="G594" s="5">
        <v>732.51</v>
      </c>
      <c r="H594" s="6">
        <v>15</v>
      </c>
      <c r="I594" s="2" t="s">
        <v>2118</v>
      </c>
    </row>
    <row r="595" spans="2:9" x14ac:dyDescent="0.3">
      <c r="B595" s="2" t="s">
        <v>601</v>
      </c>
      <c r="C595" s="3">
        <v>44405</v>
      </c>
      <c r="D595" s="2" t="s">
        <v>2010</v>
      </c>
      <c r="E595" s="2" t="s">
        <v>2054</v>
      </c>
      <c r="F595" s="4">
        <v>4604.68</v>
      </c>
      <c r="G595" s="5">
        <v>100.28</v>
      </c>
      <c r="H595" s="6">
        <v>13</v>
      </c>
      <c r="I595" s="2" t="s">
        <v>2117</v>
      </c>
    </row>
    <row r="596" spans="2:9" x14ac:dyDescent="0.3">
      <c r="B596" s="2" t="s">
        <v>602</v>
      </c>
      <c r="C596" s="3">
        <v>44365</v>
      </c>
      <c r="D596" s="2" t="s">
        <v>2010</v>
      </c>
      <c r="E596" s="2" t="s">
        <v>2073</v>
      </c>
      <c r="F596" s="4">
        <v>1732.68</v>
      </c>
      <c r="G596" s="5">
        <v>46.47</v>
      </c>
      <c r="H596" s="6">
        <v>20</v>
      </c>
      <c r="I596" s="2" t="s">
        <v>2116</v>
      </c>
    </row>
    <row r="597" spans="2:9" x14ac:dyDescent="0.3">
      <c r="B597" s="2" t="s">
        <v>603</v>
      </c>
      <c r="C597" s="3">
        <v>45362</v>
      </c>
      <c r="D597" s="2" t="s">
        <v>2009</v>
      </c>
      <c r="E597" s="2" t="s">
        <v>2093</v>
      </c>
      <c r="F597" s="4">
        <v>4367.01</v>
      </c>
      <c r="G597" s="5">
        <v>877.46</v>
      </c>
      <c r="H597" s="6">
        <v>4</v>
      </c>
      <c r="I597" s="2" t="s">
        <v>2116</v>
      </c>
    </row>
    <row r="598" spans="2:9" x14ac:dyDescent="0.3">
      <c r="B598" s="2" t="s">
        <v>604</v>
      </c>
      <c r="C598" s="3">
        <v>44338</v>
      </c>
      <c r="D598" s="2" t="s">
        <v>2012</v>
      </c>
      <c r="E598" s="2" t="s">
        <v>2056</v>
      </c>
      <c r="F598" s="4">
        <v>1656.12</v>
      </c>
      <c r="G598" s="5">
        <v>190.82</v>
      </c>
      <c r="H598" s="6">
        <v>5</v>
      </c>
      <c r="I598" s="2" t="s">
        <v>2116</v>
      </c>
    </row>
    <row r="599" spans="2:9" x14ac:dyDescent="0.3">
      <c r="B599" s="2" t="s">
        <v>605</v>
      </c>
      <c r="C599" s="3">
        <v>44237</v>
      </c>
      <c r="D599" s="2" t="s">
        <v>2012</v>
      </c>
      <c r="E599" s="2" t="s">
        <v>2080</v>
      </c>
      <c r="F599" s="4">
        <v>3005.26</v>
      </c>
      <c r="G599" s="5">
        <v>862.37</v>
      </c>
      <c r="H599" s="6">
        <v>18</v>
      </c>
      <c r="I599" s="2" t="s">
        <v>2118</v>
      </c>
    </row>
    <row r="600" spans="2:9" x14ac:dyDescent="0.3">
      <c r="B600" s="2" t="s">
        <v>606</v>
      </c>
      <c r="C600" s="3">
        <v>44862</v>
      </c>
      <c r="D600" s="2" t="s">
        <v>2011</v>
      </c>
      <c r="E600" s="2" t="s">
        <v>2099</v>
      </c>
      <c r="F600" s="4">
        <v>4393.41</v>
      </c>
      <c r="G600" s="5">
        <v>783.93</v>
      </c>
      <c r="H600" s="6">
        <v>9</v>
      </c>
      <c r="I600" s="2" t="s">
        <v>2116</v>
      </c>
    </row>
    <row r="601" spans="2:9" x14ac:dyDescent="0.3">
      <c r="B601" s="2" t="s">
        <v>607</v>
      </c>
      <c r="C601" s="3">
        <v>44301</v>
      </c>
      <c r="D601" s="2" t="s">
        <v>2010</v>
      </c>
      <c r="E601" s="2" t="s">
        <v>2082</v>
      </c>
      <c r="F601" s="4">
        <v>3127.34</v>
      </c>
      <c r="G601" s="5">
        <v>636.66999999999996</v>
      </c>
      <c r="H601" s="6">
        <v>20</v>
      </c>
      <c r="I601" s="2" t="s">
        <v>2116</v>
      </c>
    </row>
    <row r="602" spans="2:9" x14ac:dyDescent="0.3">
      <c r="B602" s="2" t="s">
        <v>608</v>
      </c>
      <c r="C602" s="3">
        <v>44508</v>
      </c>
      <c r="D602" s="2" t="s">
        <v>2012</v>
      </c>
      <c r="E602" s="2" t="s">
        <v>2054</v>
      </c>
      <c r="F602" s="4">
        <v>287.3</v>
      </c>
      <c r="G602" s="5">
        <v>718.3</v>
      </c>
      <c r="H602" s="6">
        <v>15</v>
      </c>
      <c r="I602" s="2" t="s">
        <v>2118</v>
      </c>
    </row>
    <row r="603" spans="2:9" x14ac:dyDescent="0.3">
      <c r="B603" s="2" t="s">
        <v>609</v>
      </c>
      <c r="C603" s="3">
        <v>44513</v>
      </c>
      <c r="D603" s="2" t="s">
        <v>2010</v>
      </c>
      <c r="E603" s="2" t="s">
        <v>2111</v>
      </c>
      <c r="F603" s="4">
        <v>4045.14</v>
      </c>
      <c r="G603" s="5">
        <v>213.25</v>
      </c>
      <c r="H603" s="6">
        <v>18</v>
      </c>
      <c r="I603" s="2" t="s">
        <v>2116</v>
      </c>
    </row>
    <row r="604" spans="2:9" x14ac:dyDescent="0.3">
      <c r="B604" s="2" t="s">
        <v>610</v>
      </c>
      <c r="C604" s="3">
        <v>45129</v>
      </c>
      <c r="D604" s="2" t="s">
        <v>2012</v>
      </c>
      <c r="E604" s="2" t="s">
        <v>2052</v>
      </c>
      <c r="F604" s="4">
        <v>4313.54</v>
      </c>
      <c r="G604" s="5">
        <v>23.04</v>
      </c>
      <c r="H604" s="6">
        <v>11</v>
      </c>
      <c r="I604" s="2" t="s">
        <v>2118</v>
      </c>
    </row>
    <row r="605" spans="2:9" x14ac:dyDescent="0.3">
      <c r="B605" s="2" t="s">
        <v>611</v>
      </c>
      <c r="C605" s="3">
        <v>44092</v>
      </c>
      <c r="D605" s="2" t="s">
        <v>2009</v>
      </c>
      <c r="E605" s="2" t="s">
        <v>2112</v>
      </c>
      <c r="F605" s="4">
        <v>1801.15</v>
      </c>
      <c r="G605" s="5">
        <v>452.42</v>
      </c>
      <c r="H605" s="6">
        <v>15</v>
      </c>
      <c r="I605" s="2" t="s">
        <v>2116</v>
      </c>
    </row>
    <row r="606" spans="2:9" x14ac:dyDescent="0.3">
      <c r="B606" s="2" t="s">
        <v>612</v>
      </c>
      <c r="C606" s="3">
        <v>45439</v>
      </c>
      <c r="D606" s="2" t="s">
        <v>2012</v>
      </c>
      <c r="E606" s="2" t="s">
        <v>2022</v>
      </c>
      <c r="F606" s="4">
        <v>328.65</v>
      </c>
      <c r="G606" s="5">
        <v>443.78</v>
      </c>
      <c r="H606" s="6">
        <v>20</v>
      </c>
      <c r="I606" s="2" t="s">
        <v>2117</v>
      </c>
    </row>
    <row r="607" spans="2:9" x14ac:dyDescent="0.3">
      <c r="B607" s="2" t="s">
        <v>613</v>
      </c>
      <c r="C607" s="3">
        <v>45209</v>
      </c>
      <c r="D607" s="2" t="s">
        <v>2011</v>
      </c>
      <c r="E607" s="2" t="s">
        <v>2039</v>
      </c>
      <c r="F607" s="4">
        <v>2109.02</v>
      </c>
      <c r="G607" s="5">
        <v>192.64</v>
      </c>
      <c r="H607" s="6">
        <v>8</v>
      </c>
      <c r="I607" s="2" t="s">
        <v>2116</v>
      </c>
    </row>
    <row r="608" spans="2:9" x14ac:dyDescent="0.3">
      <c r="B608" s="2" t="s">
        <v>614</v>
      </c>
      <c r="C608" s="3">
        <v>44208</v>
      </c>
      <c r="D608" s="2" t="s">
        <v>2012</v>
      </c>
      <c r="E608" s="2" t="s">
        <v>2071</v>
      </c>
      <c r="F608" s="4">
        <v>236.02</v>
      </c>
      <c r="G608" s="5">
        <v>642.35</v>
      </c>
      <c r="H608" s="6">
        <v>14</v>
      </c>
      <c r="I608" s="2" t="s">
        <v>2118</v>
      </c>
    </row>
    <row r="609" spans="2:9" x14ac:dyDescent="0.3">
      <c r="B609" s="2" t="s">
        <v>615</v>
      </c>
      <c r="C609" s="3">
        <v>44035</v>
      </c>
      <c r="D609" s="2" t="s">
        <v>2012</v>
      </c>
      <c r="E609" s="2" t="s">
        <v>2043</v>
      </c>
      <c r="F609" s="4">
        <v>1601.51</v>
      </c>
      <c r="G609" s="5">
        <v>427.21</v>
      </c>
      <c r="H609" s="6">
        <v>16</v>
      </c>
      <c r="I609" s="2" t="s">
        <v>2116</v>
      </c>
    </row>
    <row r="610" spans="2:9" x14ac:dyDescent="0.3">
      <c r="B610" s="2" t="s">
        <v>616</v>
      </c>
      <c r="C610" s="3">
        <v>44663</v>
      </c>
      <c r="D610" s="2" t="s">
        <v>2009</v>
      </c>
      <c r="E610" s="2" t="s">
        <v>2041</v>
      </c>
      <c r="F610" s="4">
        <v>637.76</v>
      </c>
      <c r="G610" s="5">
        <v>429.68</v>
      </c>
      <c r="H610" s="6">
        <v>2</v>
      </c>
      <c r="I610" s="2" t="s">
        <v>2118</v>
      </c>
    </row>
    <row r="611" spans="2:9" x14ac:dyDescent="0.3">
      <c r="B611" s="2" t="s">
        <v>617</v>
      </c>
      <c r="C611" s="3">
        <v>45524</v>
      </c>
      <c r="D611" s="2" t="s">
        <v>2011</v>
      </c>
      <c r="E611" s="2" t="s">
        <v>2039</v>
      </c>
      <c r="F611" s="4">
        <v>4800.43</v>
      </c>
      <c r="G611" s="5">
        <v>634.74</v>
      </c>
      <c r="H611" s="6">
        <v>9</v>
      </c>
      <c r="I611" s="2" t="s">
        <v>2116</v>
      </c>
    </row>
    <row r="612" spans="2:9" x14ac:dyDescent="0.3">
      <c r="B612" s="2" t="s">
        <v>618</v>
      </c>
      <c r="C612" s="3">
        <v>45022</v>
      </c>
      <c r="D612" s="2" t="s">
        <v>2011</v>
      </c>
      <c r="E612" s="2" t="s">
        <v>2061</v>
      </c>
      <c r="F612" s="4">
        <v>3875.66</v>
      </c>
      <c r="G612" s="5">
        <v>693.13</v>
      </c>
      <c r="H612" s="6">
        <v>6</v>
      </c>
      <c r="I612" s="2" t="s">
        <v>2116</v>
      </c>
    </row>
    <row r="613" spans="2:9" x14ac:dyDescent="0.3">
      <c r="B613" s="2" t="s">
        <v>619</v>
      </c>
      <c r="C613" s="3">
        <v>43912</v>
      </c>
      <c r="D613" s="2" t="s">
        <v>2012</v>
      </c>
      <c r="E613" s="2" t="s">
        <v>2020</v>
      </c>
      <c r="F613" s="4">
        <v>1068.6400000000001</v>
      </c>
      <c r="G613" s="5">
        <v>490.38</v>
      </c>
      <c r="H613" s="6">
        <v>19</v>
      </c>
      <c r="I613" s="2" t="s">
        <v>2116</v>
      </c>
    </row>
    <row r="614" spans="2:9" x14ac:dyDescent="0.3">
      <c r="B614" s="2" t="s">
        <v>620</v>
      </c>
      <c r="C614" s="3">
        <v>44083</v>
      </c>
      <c r="D614" s="2" t="s">
        <v>2011</v>
      </c>
      <c r="E614" s="2" t="s">
        <v>2111</v>
      </c>
      <c r="F614" s="4">
        <v>727.42</v>
      </c>
      <c r="G614" s="5">
        <v>775.08</v>
      </c>
      <c r="H614" s="6">
        <v>2</v>
      </c>
      <c r="I614" s="2" t="s">
        <v>2118</v>
      </c>
    </row>
    <row r="615" spans="2:9" x14ac:dyDescent="0.3">
      <c r="B615" s="2" t="s">
        <v>621</v>
      </c>
      <c r="C615" s="3">
        <v>45132</v>
      </c>
      <c r="D615" s="2" t="s">
        <v>2009</v>
      </c>
      <c r="E615" s="2" t="s">
        <v>2072</v>
      </c>
      <c r="F615" s="4">
        <v>2114.04</v>
      </c>
      <c r="G615" s="5">
        <v>569.89</v>
      </c>
      <c r="H615" s="6">
        <v>3</v>
      </c>
      <c r="I615" s="2" t="s">
        <v>2118</v>
      </c>
    </row>
    <row r="616" spans="2:9" x14ac:dyDescent="0.3">
      <c r="B616" s="2" t="s">
        <v>622</v>
      </c>
      <c r="C616" s="3">
        <v>45106</v>
      </c>
      <c r="D616" s="2" t="s">
        <v>2011</v>
      </c>
      <c r="E616" s="2" t="s">
        <v>2045</v>
      </c>
      <c r="F616" s="4">
        <v>2303.91</v>
      </c>
      <c r="G616" s="5">
        <v>414.87</v>
      </c>
      <c r="H616" s="6">
        <v>14</v>
      </c>
      <c r="I616" s="2" t="s">
        <v>2116</v>
      </c>
    </row>
    <row r="617" spans="2:9" x14ac:dyDescent="0.3">
      <c r="B617" s="2" t="s">
        <v>623</v>
      </c>
      <c r="C617" s="3">
        <v>44497</v>
      </c>
      <c r="D617" s="2" t="s">
        <v>2012</v>
      </c>
      <c r="E617" s="2" t="s">
        <v>2089</v>
      </c>
      <c r="F617" s="4">
        <v>95.62</v>
      </c>
      <c r="G617" s="5">
        <v>121.01</v>
      </c>
      <c r="H617" s="6">
        <v>1</v>
      </c>
      <c r="I617" s="2" t="s">
        <v>2118</v>
      </c>
    </row>
    <row r="618" spans="2:9" x14ac:dyDescent="0.3">
      <c r="B618" s="2" t="s">
        <v>624</v>
      </c>
      <c r="C618" s="3">
        <v>45194</v>
      </c>
      <c r="D618" s="2" t="s">
        <v>2010</v>
      </c>
      <c r="E618" s="2" t="s">
        <v>2081</v>
      </c>
      <c r="F618" s="4">
        <v>662.6</v>
      </c>
      <c r="G618" s="5">
        <v>516.82000000000005</v>
      </c>
      <c r="H618" s="6">
        <v>15</v>
      </c>
      <c r="I618" s="2" t="s">
        <v>2116</v>
      </c>
    </row>
    <row r="619" spans="2:9" x14ac:dyDescent="0.3">
      <c r="B619" s="2" t="s">
        <v>625</v>
      </c>
      <c r="C619" s="3">
        <v>44687</v>
      </c>
      <c r="D619" s="2" t="s">
        <v>2009</v>
      </c>
      <c r="E619" s="2" t="s">
        <v>2089</v>
      </c>
      <c r="F619" s="4">
        <v>3972.51</v>
      </c>
      <c r="G619" s="5">
        <v>292.95999999999998</v>
      </c>
      <c r="H619" s="6">
        <v>13</v>
      </c>
      <c r="I619" s="2" t="s">
        <v>2116</v>
      </c>
    </row>
    <row r="620" spans="2:9" x14ac:dyDescent="0.3">
      <c r="B620" s="2" t="s">
        <v>626</v>
      </c>
      <c r="C620" s="3">
        <v>45116</v>
      </c>
      <c r="D620" s="2" t="s">
        <v>2012</v>
      </c>
      <c r="E620" s="2" t="s">
        <v>2112</v>
      </c>
      <c r="F620" s="4">
        <v>4365.45</v>
      </c>
      <c r="G620" s="5">
        <v>748.75</v>
      </c>
      <c r="H620" s="6">
        <v>12</v>
      </c>
      <c r="I620" s="2" t="s">
        <v>2117</v>
      </c>
    </row>
    <row r="621" spans="2:9" x14ac:dyDescent="0.3">
      <c r="B621" s="2" t="s">
        <v>627</v>
      </c>
      <c r="C621" s="3">
        <v>44030</v>
      </c>
      <c r="D621" s="2" t="s">
        <v>2010</v>
      </c>
      <c r="E621" s="2" t="s">
        <v>2051</v>
      </c>
      <c r="F621" s="4">
        <v>1066.98</v>
      </c>
      <c r="G621" s="5">
        <v>305.08999999999997</v>
      </c>
      <c r="H621" s="6">
        <v>2</v>
      </c>
      <c r="I621" s="2" t="s">
        <v>2117</v>
      </c>
    </row>
    <row r="622" spans="2:9" x14ac:dyDescent="0.3">
      <c r="B622" s="2" t="s">
        <v>628</v>
      </c>
      <c r="C622" s="3">
        <v>44927</v>
      </c>
      <c r="D622" s="2" t="s">
        <v>2011</v>
      </c>
      <c r="E622" s="2" t="s">
        <v>2032</v>
      </c>
      <c r="F622" s="4">
        <v>2198.77</v>
      </c>
      <c r="G622" s="5">
        <v>378.52</v>
      </c>
      <c r="H622" s="6">
        <v>5</v>
      </c>
      <c r="I622" s="2" t="s">
        <v>2117</v>
      </c>
    </row>
    <row r="623" spans="2:9" x14ac:dyDescent="0.3">
      <c r="B623" s="2" t="s">
        <v>629</v>
      </c>
      <c r="C623" s="3">
        <v>45231</v>
      </c>
      <c r="D623" s="2" t="s">
        <v>2010</v>
      </c>
      <c r="E623" s="2" t="s">
        <v>2050</v>
      </c>
      <c r="F623" s="4">
        <v>4203.51</v>
      </c>
      <c r="G623" s="5">
        <v>999.06</v>
      </c>
      <c r="H623" s="6">
        <v>12</v>
      </c>
      <c r="I623" s="2" t="s">
        <v>2116</v>
      </c>
    </row>
    <row r="624" spans="2:9" x14ac:dyDescent="0.3">
      <c r="B624" s="2" t="s">
        <v>630</v>
      </c>
      <c r="C624" s="3">
        <v>44427</v>
      </c>
      <c r="D624" s="2" t="s">
        <v>2011</v>
      </c>
      <c r="E624" s="2" t="s">
        <v>2027</v>
      </c>
      <c r="F624" s="4">
        <v>1527.03</v>
      </c>
      <c r="G624" s="5">
        <v>546.91</v>
      </c>
      <c r="H624" s="6">
        <v>20</v>
      </c>
      <c r="I624" s="2" t="s">
        <v>2117</v>
      </c>
    </row>
    <row r="625" spans="2:9" x14ac:dyDescent="0.3">
      <c r="B625" s="2" t="s">
        <v>631</v>
      </c>
      <c r="C625" s="3">
        <v>44669</v>
      </c>
      <c r="D625" s="2" t="s">
        <v>2009</v>
      </c>
      <c r="E625" s="2" t="s">
        <v>2046</v>
      </c>
      <c r="F625" s="4">
        <v>2819.58</v>
      </c>
      <c r="G625" s="5">
        <v>935.52</v>
      </c>
      <c r="H625" s="6">
        <v>2</v>
      </c>
      <c r="I625" s="2" t="s">
        <v>2116</v>
      </c>
    </row>
    <row r="626" spans="2:9" x14ac:dyDescent="0.3">
      <c r="B626" s="2" t="s">
        <v>632</v>
      </c>
      <c r="C626" s="3">
        <v>45571</v>
      </c>
      <c r="D626" s="2" t="s">
        <v>2010</v>
      </c>
      <c r="E626" s="2" t="s">
        <v>2033</v>
      </c>
      <c r="F626" s="4">
        <v>3753.85</v>
      </c>
      <c r="G626" s="5">
        <v>106.15</v>
      </c>
      <c r="H626" s="6">
        <v>6</v>
      </c>
      <c r="I626" s="2" t="s">
        <v>2117</v>
      </c>
    </row>
    <row r="627" spans="2:9" x14ac:dyDescent="0.3">
      <c r="B627" s="2" t="s">
        <v>633</v>
      </c>
      <c r="C627" s="3">
        <v>44045</v>
      </c>
      <c r="D627" s="2" t="s">
        <v>2012</v>
      </c>
      <c r="E627" s="2" t="s">
        <v>2075</v>
      </c>
      <c r="F627" s="4">
        <v>62.1</v>
      </c>
      <c r="G627" s="5">
        <v>632.02</v>
      </c>
      <c r="H627" s="6">
        <v>6</v>
      </c>
      <c r="I627" s="2" t="s">
        <v>2118</v>
      </c>
    </row>
    <row r="628" spans="2:9" x14ac:dyDescent="0.3">
      <c r="B628" s="2" t="s">
        <v>634</v>
      </c>
      <c r="C628" s="3">
        <v>44551</v>
      </c>
      <c r="D628" s="2" t="s">
        <v>2010</v>
      </c>
      <c r="E628" s="2" t="s">
        <v>2028</v>
      </c>
      <c r="F628" s="4">
        <v>3818.08</v>
      </c>
      <c r="G628" s="5">
        <v>575.74</v>
      </c>
      <c r="H628" s="6">
        <v>2</v>
      </c>
      <c r="I628" s="2" t="s">
        <v>2118</v>
      </c>
    </row>
    <row r="629" spans="2:9" x14ac:dyDescent="0.3">
      <c r="B629" s="2" t="s">
        <v>635</v>
      </c>
      <c r="C629" s="3">
        <v>44380</v>
      </c>
      <c r="D629" s="2" t="s">
        <v>2012</v>
      </c>
      <c r="E629" s="2" t="s">
        <v>2107</v>
      </c>
      <c r="F629" s="4">
        <v>660.69</v>
      </c>
      <c r="G629" s="5">
        <v>998.42</v>
      </c>
      <c r="H629" s="6">
        <v>14</v>
      </c>
      <c r="I629" s="2" t="s">
        <v>2117</v>
      </c>
    </row>
    <row r="630" spans="2:9" x14ac:dyDescent="0.3">
      <c r="B630" s="2" t="s">
        <v>636</v>
      </c>
      <c r="C630" s="3">
        <v>44328</v>
      </c>
      <c r="D630" s="2" t="s">
        <v>2010</v>
      </c>
      <c r="E630" s="2" t="s">
        <v>2019</v>
      </c>
      <c r="F630" s="4">
        <v>3568.08</v>
      </c>
      <c r="G630" s="5">
        <v>660.24</v>
      </c>
      <c r="H630" s="6">
        <v>7</v>
      </c>
      <c r="I630" s="2" t="s">
        <v>2118</v>
      </c>
    </row>
    <row r="631" spans="2:9" x14ac:dyDescent="0.3">
      <c r="B631" s="2" t="s">
        <v>637</v>
      </c>
      <c r="C631" s="3">
        <v>45555</v>
      </c>
      <c r="D631" s="2" t="s">
        <v>2010</v>
      </c>
      <c r="E631" s="2" t="s">
        <v>2054</v>
      </c>
      <c r="F631" s="4">
        <v>2586.6999999999998</v>
      </c>
      <c r="G631" s="5">
        <v>189.02</v>
      </c>
      <c r="H631" s="6">
        <v>9</v>
      </c>
      <c r="I631" s="2" t="s">
        <v>2117</v>
      </c>
    </row>
    <row r="632" spans="2:9" x14ac:dyDescent="0.3">
      <c r="B632" s="2" t="s">
        <v>638</v>
      </c>
      <c r="C632" s="3">
        <v>45487</v>
      </c>
      <c r="D632" s="2" t="s">
        <v>2011</v>
      </c>
      <c r="E632" s="2" t="s">
        <v>2054</v>
      </c>
      <c r="F632" s="4">
        <v>4704.6899999999996</v>
      </c>
      <c r="G632" s="5">
        <v>885.35</v>
      </c>
      <c r="H632" s="6">
        <v>18</v>
      </c>
      <c r="I632" s="2" t="s">
        <v>2118</v>
      </c>
    </row>
    <row r="633" spans="2:9" x14ac:dyDescent="0.3">
      <c r="B633" s="2" t="s">
        <v>639</v>
      </c>
      <c r="C633" s="3">
        <v>44686</v>
      </c>
      <c r="D633" s="2" t="s">
        <v>2010</v>
      </c>
      <c r="E633" s="2" t="s">
        <v>2105</v>
      </c>
      <c r="F633" s="4">
        <v>2433.44</v>
      </c>
      <c r="G633" s="5">
        <v>648.05999999999995</v>
      </c>
      <c r="H633" s="6">
        <v>9</v>
      </c>
      <c r="I633" s="2" t="s">
        <v>2116</v>
      </c>
    </row>
    <row r="634" spans="2:9" x14ac:dyDescent="0.3">
      <c r="B634" s="2" t="s">
        <v>640</v>
      </c>
      <c r="C634" s="3">
        <v>45108</v>
      </c>
      <c r="D634" s="2" t="s">
        <v>2011</v>
      </c>
      <c r="E634" s="2" t="s">
        <v>2041</v>
      </c>
      <c r="F634" s="4">
        <v>3171.74</v>
      </c>
      <c r="G634" s="5">
        <v>221.78</v>
      </c>
      <c r="H634" s="6">
        <v>6</v>
      </c>
      <c r="I634" s="2" t="s">
        <v>2118</v>
      </c>
    </row>
    <row r="635" spans="2:9" x14ac:dyDescent="0.3">
      <c r="B635" s="2" t="s">
        <v>641</v>
      </c>
      <c r="C635" s="3">
        <v>45334</v>
      </c>
      <c r="D635" s="2" t="s">
        <v>2011</v>
      </c>
      <c r="E635" s="2" t="s">
        <v>2018</v>
      </c>
      <c r="F635" s="4">
        <v>3265.74</v>
      </c>
      <c r="G635" s="5">
        <v>315.07</v>
      </c>
      <c r="H635" s="6">
        <v>11</v>
      </c>
      <c r="I635" s="2" t="s">
        <v>2117</v>
      </c>
    </row>
    <row r="636" spans="2:9" x14ac:dyDescent="0.3">
      <c r="B636" s="2" t="s">
        <v>642</v>
      </c>
      <c r="C636" s="3">
        <v>43948</v>
      </c>
      <c r="D636" s="2" t="s">
        <v>2009</v>
      </c>
      <c r="E636" s="2" t="s">
        <v>2095</v>
      </c>
      <c r="F636" s="4">
        <v>1329.92</v>
      </c>
      <c r="G636" s="5">
        <v>250.97</v>
      </c>
      <c r="H636" s="6">
        <v>20</v>
      </c>
      <c r="I636" s="2" t="s">
        <v>2117</v>
      </c>
    </row>
    <row r="637" spans="2:9" x14ac:dyDescent="0.3">
      <c r="B637" s="2" t="s">
        <v>643</v>
      </c>
      <c r="C637" s="3">
        <v>44201</v>
      </c>
      <c r="D637" s="2" t="s">
        <v>2011</v>
      </c>
      <c r="E637" s="2" t="s">
        <v>2082</v>
      </c>
      <c r="F637" s="4">
        <v>3131.85</v>
      </c>
      <c r="G637" s="5">
        <v>408.14</v>
      </c>
      <c r="H637" s="6">
        <v>16</v>
      </c>
      <c r="I637" s="2" t="s">
        <v>2117</v>
      </c>
    </row>
    <row r="638" spans="2:9" x14ac:dyDescent="0.3">
      <c r="B638" s="2" t="s">
        <v>644</v>
      </c>
      <c r="C638" s="3">
        <v>44093</v>
      </c>
      <c r="D638" s="2" t="s">
        <v>2010</v>
      </c>
      <c r="E638" s="2" t="s">
        <v>2085</v>
      </c>
      <c r="F638" s="4">
        <v>2258.59</v>
      </c>
      <c r="G638" s="5">
        <v>118.86</v>
      </c>
      <c r="H638" s="6">
        <v>12</v>
      </c>
      <c r="I638" s="2" t="s">
        <v>2117</v>
      </c>
    </row>
    <row r="639" spans="2:9" x14ac:dyDescent="0.3">
      <c r="B639" s="2" t="s">
        <v>645</v>
      </c>
      <c r="C639" s="3">
        <v>44183</v>
      </c>
      <c r="D639" s="2" t="s">
        <v>2009</v>
      </c>
      <c r="E639" s="2" t="s">
        <v>2024</v>
      </c>
      <c r="F639" s="4">
        <v>3208.93</v>
      </c>
      <c r="G639" s="5">
        <v>572.61</v>
      </c>
      <c r="H639" s="6">
        <v>12</v>
      </c>
      <c r="I639" s="2" t="s">
        <v>2118</v>
      </c>
    </row>
    <row r="640" spans="2:9" x14ac:dyDescent="0.3">
      <c r="B640" s="2" t="s">
        <v>646</v>
      </c>
      <c r="C640" s="3">
        <v>45330</v>
      </c>
      <c r="D640" s="2" t="s">
        <v>2012</v>
      </c>
      <c r="E640" s="2" t="s">
        <v>2013</v>
      </c>
      <c r="F640" s="4">
        <v>906.01</v>
      </c>
      <c r="G640" s="5">
        <v>863.11</v>
      </c>
      <c r="H640" s="6">
        <v>10</v>
      </c>
      <c r="I640" s="2" t="s">
        <v>2116</v>
      </c>
    </row>
    <row r="641" spans="2:9" x14ac:dyDescent="0.3">
      <c r="B641" s="2" t="s">
        <v>647</v>
      </c>
      <c r="C641" s="3">
        <v>44035</v>
      </c>
      <c r="D641" s="2" t="s">
        <v>2012</v>
      </c>
      <c r="E641" s="2" t="s">
        <v>2076</v>
      </c>
      <c r="F641" s="4">
        <v>4612.95</v>
      </c>
      <c r="G641" s="5">
        <v>346.65</v>
      </c>
      <c r="H641" s="6">
        <v>12</v>
      </c>
      <c r="I641" s="2" t="s">
        <v>2116</v>
      </c>
    </row>
    <row r="642" spans="2:9" x14ac:dyDescent="0.3">
      <c r="B642" s="2" t="s">
        <v>648</v>
      </c>
      <c r="C642" s="3">
        <v>45596</v>
      </c>
      <c r="D642" s="2" t="s">
        <v>2010</v>
      </c>
      <c r="E642" s="2" t="s">
        <v>2092</v>
      </c>
      <c r="F642" s="4">
        <v>3321.94</v>
      </c>
      <c r="G642" s="5">
        <v>121.01</v>
      </c>
      <c r="H642" s="6">
        <v>10</v>
      </c>
      <c r="I642" s="2" t="s">
        <v>2116</v>
      </c>
    </row>
    <row r="643" spans="2:9" x14ac:dyDescent="0.3">
      <c r="B643" s="2" t="s">
        <v>649</v>
      </c>
      <c r="C643" s="3">
        <v>44725</v>
      </c>
      <c r="D643" s="2" t="s">
        <v>2012</v>
      </c>
      <c r="E643" s="2" t="s">
        <v>2018</v>
      </c>
      <c r="F643" s="4">
        <v>955.36</v>
      </c>
      <c r="G643" s="5">
        <v>34.200000000000003</v>
      </c>
      <c r="H643" s="6">
        <v>15</v>
      </c>
      <c r="I643" s="2" t="s">
        <v>2116</v>
      </c>
    </row>
    <row r="644" spans="2:9" x14ac:dyDescent="0.3">
      <c r="B644" s="2" t="s">
        <v>650</v>
      </c>
      <c r="C644" s="3">
        <v>45162</v>
      </c>
      <c r="D644" s="2" t="s">
        <v>2012</v>
      </c>
      <c r="E644" s="2" t="s">
        <v>2037</v>
      </c>
      <c r="F644" s="4">
        <v>2899.87</v>
      </c>
      <c r="G644" s="5">
        <v>569.58000000000004</v>
      </c>
      <c r="H644" s="6">
        <v>6</v>
      </c>
      <c r="I644" s="2" t="s">
        <v>2117</v>
      </c>
    </row>
    <row r="645" spans="2:9" x14ac:dyDescent="0.3">
      <c r="B645" s="2" t="s">
        <v>651</v>
      </c>
      <c r="C645" s="3">
        <v>44403</v>
      </c>
      <c r="D645" s="2" t="s">
        <v>2010</v>
      </c>
      <c r="E645" s="2" t="s">
        <v>2070</v>
      </c>
      <c r="F645" s="4">
        <v>4026.72</v>
      </c>
      <c r="G645" s="5">
        <v>472.74</v>
      </c>
      <c r="H645" s="6">
        <v>7</v>
      </c>
      <c r="I645" s="2" t="s">
        <v>2117</v>
      </c>
    </row>
    <row r="646" spans="2:9" x14ac:dyDescent="0.3">
      <c r="B646" s="2" t="s">
        <v>652</v>
      </c>
      <c r="C646" s="3">
        <v>45101</v>
      </c>
      <c r="D646" s="2" t="s">
        <v>2009</v>
      </c>
      <c r="E646" s="2" t="s">
        <v>2073</v>
      </c>
      <c r="F646" s="4">
        <v>1956.1</v>
      </c>
      <c r="G646" s="5">
        <v>93.46</v>
      </c>
      <c r="H646" s="6">
        <v>13</v>
      </c>
      <c r="I646" s="2" t="s">
        <v>2116</v>
      </c>
    </row>
    <row r="647" spans="2:9" x14ac:dyDescent="0.3">
      <c r="B647" s="2" t="s">
        <v>653</v>
      </c>
      <c r="C647" s="3">
        <v>45483</v>
      </c>
      <c r="D647" s="2" t="s">
        <v>2011</v>
      </c>
      <c r="E647" s="2" t="s">
        <v>2044</v>
      </c>
      <c r="F647" s="4">
        <v>3794.62</v>
      </c>
      <c r="G647" s="5">
        <v>890.21</v>
      </c>
      <c r="H647" s="6">
        <v>8</v>
      </c>
      <c r="I647" s="2" t="s">
        <v>2118</v>
      </c>
    </row>
    <row r="648" spans="2:9" x14ac:dyDescent="0.3">
      <c r="B648" s="2" t="s">
        <v>654</v>
      </c>
      <c r="C648" s="3">
        <v>44868</v>
      </c>
      <c r="D648" s="2" t="s">
        <v>2009</v>
      </c>
      <c r="E648" s="2" t="s">
        <v>2039</v>
      </c>
      <c r="F648" s="4">
        <v>3518.97</v>
      </c>
      <c r="G648" s="5">
        <v>649.17999999999995</v>
      </c>
      <c r="H648" s="6">
        <v>5</v>
      </c>
      <c r="I648" s="2" t="s">
        <v>2118</v>
      </c>
    </row>
    <row r="649" spans="2:9" x14ac:dyDescent="0.3">
      <c r="B649" s="2" t="s">
        <v>655</v>
      </c>
      <c r="C649" s="3">
        <v>43955</v>
      </c>
      <c r="D649" s="2" t="s">
        <v>2010</v>
      </c>
      <c r="E649" s="2" t="s">
        <v>2079</v>
      </c>
      <c r="F649" s="4">
        <v>764.08</v>
      </c>
      <c r="G649" s="5">
        <v>572.27</v>
      </c>
      <c r="H649" s="6">
        <v>2</v>
      </c>
      <c r="I649" s="2" t="s">
        <v>2116</v>
      </c>
    </row>
    <row r="650" spans="2:9" x14ac:dyDescent="0.3">
      <c r="B650" s="2" t="s">
        <v>656</v>
      </c>
      <c r="C650" s="3">
        <v>44816</v>
      </c>
      <c r="D650" s="2" t="s">
        <v>2012</v>
      </c>
      <c r="E650" s="2" t="s">
        <v>2036</v>
      </c>
      <c r="F650" s="4">
        <v>2594.17</v>
      </c>
      <c r="G650" s="5">
        <v>123.31</v>
      </c>
      <c r="H650" s="6">
        <v>13</v>
      </c>
      <c r="I650" s="2" t="s">
        <v>2118</v>
      </c>
    </row>
    <row r="651" spans="2:9" x14ac:dyDescent="0.3">
      <c r="B651" s="2" t="s">
        <v>657</v>
      </c>
      <c r="C651" s="3">
        <v>45003</v>
      </c>
      <c r="D651" s="2" t="s">
        <v>2011</v>
      </c>
      <c r="E651" s="2" t="s">
        <v>2020</v>
      </c>
      <c r="F651" s="4">
        <v>848.36</v>
      </c>
      <c r="G651" s="5">
        <v>752.49</v>
      </c>
      <c r="H651" s="6">
        <v>2</v>
      </c>
      <c r="I651" s="2" t="s">
        <v>2116</v>
      </c>
    </row>
    <row r="652" spans="2:9" x14ac:dyDescent="0.3">
      <c r="B652" s="2" t="s">
        <v>658</v>
      </c>
      <c r="C652" s="3">
        <v>45447</v>
      </c>
      <c r="D652" s="2" t="s">
        <v>2012</v>
      </c>
      <c r="E652" s="2" t="s">
        <v>2026</v>
      </c>
      <c r="F652" s="4">
        <v>1010.7</v>
      </c>
      <c r="G652" s="5">
        <v>447.47</v>
      </c>
      <c r="H652" s="6">
        <v>15</v>
      </c>
      <c r="I652" s="2" t="s">
        <v>2117</v>
      </c>
    </row>
    <row r="653" spans="2:9" x14ac:dyDescent="0.3">
      <c r="B653" s="2" t="s">
        <v>659</v>
      </c>
      <c r="C653" s="3">
        <v>44383</v>
      </c>
      <c r="D653" s="2" t="s">
        <v>2009</v>
      </c>
      <c r="E653" s="2" t="s">
        <v>2095</v>
      </c>
      <c r="F653" s="4">
        <v>379.93</v>
      </c>
      <c r="G653" s="5">
        <v>429.04</v>
      </c>
      <c r="H653" s="6">
        <v>20</v>
      </c>
      <c r="I653" s="2" t="s">
        <v>2116</v>
      </c>
    </row>
    <row r="654" spans="2:9" x14ac:dyDescent="0.3">
      <c r="B654" s="2" t="s">
        <v>660</v>
      </c>
      <c r="C654" s="3">
        <v>45243</v>
      </c>
      <c r="D654" s="2" t="s">
        <v>2010</v>
      </c>
      <c r="E654" s="2" t="s">
        <v>2110</v>
      </c>
      <c r="F654" s="4">
        <v>3360.46</v>
      </c>
      <c r="G654" s="5">
        <v>785.79</v>
      </c>
      <c r="H654" s="6">
        <v>16</v>
      </c>
      <c r="I654" s="2" t="s">
        <v>2118</v>
      </c>
    </row>
    <row r="655" spans="2:9" x14ac:dyDescent="0.3">
      <c r="B655" s="2" t="s">
        <v>661</v>
      </c>
      <c r="C655" s="3">
        <v>44557</v>
      </c>
      <c r="D655" s="2" t="s">
        <v>2011</v>
      </c>
      <c r="E655" s="2" t="s">
        <v>2074</v>
      </c>
      <c r="F655" s="4">
        <v>2636.97</v>
      </c>
      <c r="G655" s="5">
        <v>610.47</v>
      </c>
      <c r="H655" s="6">
        <v>13</v>
      </c>
      <c r="I655" s="2" t="s">
        <v>2117</v>
      </c>
    </row>
    <row r="656" spans="2:9" x14ac:dyDescent="0.3">
      <c r="B656" s="2" t="s">
        <v>662</v>
      </c>
      <c r="C656" s="3">
        <v>44631</v>
      </c>
      <c r="D656" s="2" t="s">
        <v>2009</v>
      </c>
      <c r="E656" s="2" t="s">
        <v>2044</v>
      </c>
      <c r="F656" s="4">
        <v>2465.17</v>
      </c>
      <c r="G656" s="5">
        <v>496.9</v>
      </c>
      <c r="H656" s="6">
        <v>11</v>
      </c>
      <c r="I656" s="2" t="s">
        <v>2117</v>
      </c>
    </row>
    <row r="657" spans="2:9" x14ac:dyDescent="0.3">
      <c r="B657" s="2" t="s">
        <v>663</v>
      </c>
      <c r="C657" s="3">
        <v>45424</v>
      </c>
      <c r="D657" s="2" t="s">
        <v>2010</v>
      </c>
      <c r="E657" s="2" t="s">
        <v>2051</v>
      </c>
      <c r="F657" s="4">
        <v>3584.06</v>
      </c>
      <c r="G657" s="5">
        <v>39.36</v>
      </c>
      <c r="H657" s="6">
        <v>12</v>
      </c>
      <c r="I657" s="2" t="s">
        <v>2117</v>
      </c>
    </row>
    <row r="658" spans="2:9" x14ac:dyDescent="0.3">
      <c r="B658" s="2" t="s">
        <v>664</v>
      </c>
      <c r="C658" s="3">
        <v>45368</v>
      </c>
      <c r="D658" s="2" t="s">
        <v>2010</v>
      </c>
      <c r="E658" s="2" t="s">
        <v>2024</v>
      </c>
      <c r="F658" s="4">
        <v>2531.98</v>
      </c>
      <c r="G658" s="5">
        <v>359.35</v>
      </c>
      <c r="H658" s="6">
        <v>2</v>
      </c>
      <c r="I658" s="2" t="s">
        <v>2116</v>
      </c>
    </row>
    <row r="659" spans="2:9" x14ac:dyDescent="0.3">
      <c r="B659" s="2" t="s">
        <v>665</v>
      </c>
      <c r="C659" s="3">
        <v>45430</v>
      </c>
      <c r="D659" s="2" t="s">
        <v>2011</v>
      </c>
      <c r="E659" s="2" t="s">
        <v>2021</v>
      </c>
      <c r="F659" s="4">
        <v>4087.68</v>
      </c>
      <c r="G659" s="5">
        <v>87.66</v>
      </c>
      <c r="H659" s="6">
        <v>13</v>
      </c>
      <c r="I659" s="2" t="s">
        <v>2116</v>
      </c>
    </row>
    <row r="660" spans="2:9" x14ac:dyDescent="0.3">
      <c r="B660" s="2" t="s">
        <v>666</v>
      </c>
      <c r="C660" s="3">
        <v>44902</v>
      </c>
      <c r="D660" s="2" t="s">
        <v>2009</v>
      </c>
      <c r="E660" s="2" t="s">
        <v>2028</v>
      </c>
      <c r="F660" s="4">
        <v>2353.42</v>
      </c>
      <c r="G660" s="5">
        <v>25.95</v>
      </c>
      <c r="H660" s="6">
        <v>11</v>
      </c>
      <c r="I660" s="2" t="s">
        <v>2116</v>
      </c>
    </row>
    <row r="661" spans="2:9" x14ac:dyDescent="0.3">
      <c r="B661" s="2" t="s">
        <v>667</v>
      </c>
      <c r="C661" s="3">
        <v>45381</v>
      </c>
      <c r="D661" s="2" t="s">
        <v>2010</v>
      </c>
      <c r="E661" s="2" t="s">
        <v>2111</v>
      </c>
      <c r="F661" s="4">
        <v>3682.57</v>
      </c>
      <c r="G661" s="5">
        <v>727.23</v>
      </c>
      <c r="H661" s="6">
        <v>8</v>
      </c>
      <c r="I661" s="2" t="s">
        <v>2116</v>
      </c>
    </row>
    <row r="662" spans="2:9" x14ac:dyDescent="0.3">
      <c r="B662" s="2" t="s">
        <v>668</v>
      </c>
      <c r="C662" s="3">
        <v>45087</v>
      </c>
      <c r="D662" s="2" t="s">
        <v>2012</v>
      </c>
      <c r="E662" s="2" t="s">
        <v>2030</v>
      </c>
      <c r="F662" s="4">
        <v>273.37</v>
      </c>
      <c r="G662" s="5">
        <v>838.54</v>
      </c>
      <c r="H662" s="6">
        <v>5</v>
      </c>
      <c r="I662" s="2" t="s">
        <v>2118</v>
      </c>
    </row>
    <row r="663" spans="2:9" x14ac:dyDescent="0.3">
      <c r="B663" s="2" t="s">
        <v>669</v>
      </c>
      <c r="C663" s="3">
        <v>44746</v>
      </c>
      <c r="D663" s="2" t="s">
        <v>2010</v>
      </c>
      <c r="E663" s="2" t="s">
        <v>2060</v>
      </c>
      <c r="F663" s="4">
        <v>4462.6499999999996</v>
      </c>
      <c r="G663" s="5">
        <v>693.98</v>
      </c>
      <c r="H663" s="6">
        <v>2</v>
      </c>
      <c r="I663" s="2" t="s">
        <v>2116</v>
      </c>
    </row>
    <row r="664" spans="2:9" x14ac:dyDescent="0.3">
      <c r="B664" s="2" t="s">
        <v>670</v>
      </c>
      <c r="C664" s="3">
        <v>44493</v>
      </c>
      <c r="D664" s="2" t="s">
        <v>2011</v>
      </c>
      <c r="E664" s="2" t="s">
        <v>2042</v>
      </c>
      <c r="F664" s="4">
        <v>2524.98</v>
      </c>
      <c r="G664" s="5">
        <v>349.39</v>
      </c>
      <c r="H664" s="6">
        <v>20</v>
      </c>
      <c r="I664" s="2" t="s">
        <v>2117</v>
      </c>
    </row>
    <row r="665" spans="2:9" x14ac:dyDescent="0.3">
      <c r="B665" s="2" t="s">
        <v>671</v>
      </c>
      <c r="C665" s="3">
        <v>44281</v>
      </c>
      <c r="D665" s="2" t="s">
        <v>2011</v>
      </c>
      <c r="E665" s="2" t="s">
        <v>2065</v>
      </c>
      <c r="F665" s="4">
        <v>4603.8599999999997</v>
      </c>
      <c r="G665" s="5">
        <v>983.79</v>
      </c>
      <c r="H665" s="6">
        <v>11</v>
      </c>
      <c r="I665" s="2" t="s">
        <v>2118</v>
      </c>
    </row>
    <row r="666" spans="2:9" x14ac:dyDescent="0.3">
      <c r="B666" s="2" t="s">
        <v>672</v>
      </c>
      <c r="C666" s="3">
        <v>44110</v>
      </c>
      <c r="D666" s="2" t="s">
        <v>2011</v>
      </c>
      <c r="E666" s="2" t="s">
        <v>2083</v>
      </c>
      <c r="F666" s="4">
        <v>1877.16</v>
      </c>
      <c r="G666" s="5">
        <v>140.26</v>
      </c>
      <c r="H666" s="6">
        <v>7</v>
      </c>
      <c r="I666" s="2" t="s">
        <v>2118</v>
      </c>
    </row>
    <row r="667" spans="2:9" x14ac:dyDescent="0.3">
      <c r="B667" s="2" t="s">
        <v>673</v>
      </c>
      <c r="C667" s="3">
        <v>45137</v>
      </c>
      <c r="D667" s="2" t="s">
        <v>2012</v>
      </c>
      <c r="E667" s="2" t="s">
        <v>2016</v>
      </c>
      <c r="F667" s="4">
        <v>3914.18</v>
      </c>
      <c r="G667" s="5">
        <v>921.84</v>
      </c>
      <c r="H667" s="6">
        <v>2</v>
      </c>
      <c r="I667" s="2" t="s">
        <v>2118</v>
      </c>
    </row>
    <row r="668" spans="2:9" x14ac:dyDescent="0.3">
      <c r="B668" s="2" t="s">
        <v>674</v>
      </c>
      <c r="C668" s="3">
        <v>44478</v>
      </c>
      <c r="D668" s="2" t="s">
        <v>2009</v>
      </c>
      <c r="E668" s="2" t="s">
        <v>2087</v>
      </c>
      <c r="F668" s="4">
        <v>4042.52</v>
      </c>
      <c r="G668" s="5">
        <v>92.13</v>
      </c>
      <c r="H668" s="6">
        <v>10</v>
      </c>
      <c r="I668" s="2" t="s">
        <v>2118</v>
      </c>
    </row>
    <row r="669" spans="2:9" x14ac:dyDescent="0.3">
      <c r="B669" s="2" t="s">
        <v>675</v>
      </c>
      <c r="C669" s="3">
        <v>44187</v>
      </c>
      <c r="D669" s="2" t="s">
        <v>2011</v>
      </c>
      <c r="E669" s="2" t="s">
        <v>2096</v>
      </c>
      <c r="F669" s="4">
        <v>3051.99</v>
      </c>
      <c r="G669" s="5">
        <v>39.57</v>
      </c>
      <c r="H669" s="6">
        <v>17</v>
      </c>
      <c r="I669" s="2" t="s">
        <v>2116</v>
      </c>
    </row>
    <row r="670" spans="2:9" x14ac:dyDescent="0.3">
      <c r="B670" s="2" t="s">
        <v>676</v>
      </c>
      <c r="C670" s="3">
        <v>44817</v>
      </c>
      <c r="D670" s="2" t="s">
        <v>2009</v>
      </c>
      <c r="E670" s="2" t="s">
        <v>2016</v>
      </c>
      <c r="F670" s="4">
        <v>2453.5100000000002</v>
      </c>
      <c r="G670" s="5">
        <v>276.8</v>
      </c>
      <c r="H670" s="6">
        <v>1</v>
      </c>
      <c r="I670" s="2" t="s">
        <v>2118</v>
      </c>
    </row>
    <row r="671" spans="2:9" x14ac:dyDescent="0.3">
      <c r="B671" s="2" t="s">
        <v>677</v>
      </c>
      <c r="C671" s="3">
        <v>45026</v>
      </c>
      <c r="D671" s="2" t="s">
        <v>2009</v>
      </c>
      <c r="E671" s="2" t="s">
        <v>2096</v>
      </c>
      <c r="F671" s="4">
        <v>3715.86</v>
      </c>
      <c r="G671" s="5">
        <v>76.2</v>
      </c>
      <c r="H671" s="6">
        <v>16</v>
      </c>
      <c r="I671" s="2" t="s">
        <v>2116</v>
      </c>
    </row>
    <row r="672" spans="2:9" x14ac:dyDescent="0.3">
      <c r="B672" s="2" t="s">
        <v>678</v>
      </c>
      <c r="C672" s="3">
        <v>43956</v>
      </c>
      <c r="D672" s="2" t="s">
        <v>2010</v>
      </c>
      <c r="E672" s="2" t="s">
        <v>2104</v>
      </c>
      <c r="F672" s="4">
        <v>2841.27</v>
      </c>
      <c r="G672" s="5">
        <v>549.57000000000005</v>
      </c>
      <c r="H672" s="6">
        <v>4</v>
      </c>
      <c r="I672" s="2" t="s">
        <v>2116</v>
      </c>
    </row>
    <row r="673" spans="2:9" x14ac:dyDescent="0.3">
      <c r="B673" s="2" t="s">
        <v>679</v>
      </c>
      <c r="C673" s="3">
        <v>44338</v>
      </c>
      <c r="D673" s="2" t="s">
        <v>2009</v>
      </c>
      <c r="E673" s="2" t="s">
        <v>2077</v>
      </c>
      <c r="F673" s="4">
        <v>1515.53</v>
      </c>
      <c r="G673" s="5">
        <v>256.55</v>
      </c>
      <c r="H673" s="6">
        <v>13</v>
      </c>
      <c r="I673" s="2" t="s">
        <v>2116</v>
      </c>
    </row>
    <row r="674" spans="2:9" x14ac:dyDescent="0.3">
      <c r="B674" s="2" t="s">
        <v>680</v>
      </c>
      <c r="C674" s="3">
        <v>44612</v>
      </c>
      <c r="D674" s="2" t="s">
        <v>2011</v>
      </c>
      <c r="E674" s="2" t="s">
        <v>2065</v>
      </c>
      <c r="F674" s="4">
        <v>4030.19</v>
      </c>
      <c r="G674" s="5">
        <v>315.62</v>
      </c>
      <c r="H674" s="6">
        <v>10</v>
      </c>
      <c r="I674" s="2" t="s">
        <v>2117</v>
      </c>
    </row>
    <row r="675" spans="2:9" x14ac:dyDescent="0.3">
      <c r="B675" s="2" t="s">
        <v>681</v>
      </c>
      <c r="C675" s="3">
        <v>44459</v>
      </c>
      <c r="D675" s="2" t="s">
        <v>2011</v>
      </c>
      <c r="E675" s="2" t="s">
        <v>2105</v>
      </c>
      <c r="F675" s="4">
        <v>303.58</v>
      </c>
      <c r="G675" s="5">
        <v>727.97</v>
      </c>
      <c r="H675" s="6">
        <v>4</v>
      </c>
      <c r="I675" s="2" t="s">
        <v>2117</v>
      </c>
    </row>
    <row r="676" spans="2:9" x14ac:dyDescent="0.3">
      <c r="B676" s="2" t="s">
        <v>682</v>
      </c>
      <c r="C676" s="3">
        <v>44734</v>
      </c>
      <c r="D676" s="2" t="s">
        <v>2012</v>
      </c>
      <c r="E676" s="2" t="s">
        <v>2074</v>
      </c>
      <c r="F676" s="4">
        <v>4350.83</v>
      </c>
      <c r="G676" s="5">
        <v>775.83</v>
      </c>
      <c r="H676" s="6">
        <v>18</v>
      </c>
      <c r="I676" s="2" t="s">
        <v>2116</v>
      </c>
    </row>
    <row r="677" spans="2:9" x14ac:dyDescent="0.3">
      <c r="B677" s="2" t="s">
        <v>683</v>
      </c>
      <c r="C677" s="3">
        <v>45249</v>
      </c>
      <c r="D677" s="2" t="s">
        <v>2011</v>
      </c>
      <c r="E677" s="2" t="s">
        <v>2063</v>
      </c>
      <c r="F677" s="4">
        <v>4334.7</v>
      </c>
      <c r="G677" s="5">
        <v>429.71</v>
      </c>
      <c r="H677" s="6">
        <v>19</v>
      </c>
      <c r="I677" s="2" t="s">
        <v>2118</v>
      </c>
    </row>
    <row r="678" spans="2:9" x14ac:dyDescent="0.3">
      <c r="B678" s="2" t="s">
        <v>684</v>
      </c>
      <c r="C678" s="3">
        <v>44619</v>
      </c>
      <c r="D678" s="2" t="s">
        <v>2009</v>
      </c>
      <c r="E678" s="2" t="s">
        <v>2084</v>
      </c>
      <c r="F678" s="4">
        <v>79.11</v>
      </c>
      <c r="G678" s="5">
        <v>562.98</v>
      </c>
      <c r="H678" s="6">
        <v>13</v>
      </c>
      <c r="I678" s="2" t="s">
        <v>2117</v>
      </c>
    </row>
    <row r="679" spans="2:9" x14ac:dyDescent="0.3">
      <c r="B679" s="2" t="s">
        <v>685</v>
      </c>
      <c r="C679" s="3">
        <v>43944</v>
      </c>
      <c r="D679" s="2" t="s">
        <v>2011</v>
      </c>
      <c r="E679" s="2" t="s">
        <v>2104</v>
      </c>
      <c r="F679" s="4">
        <v>3247.11</v>
      </c>
      <c r="G679" s="5">
        <v>62.28</v>
      </c>
      <c r="H679" s="6">
        <v>4</v>
      </c>
      <c r="I679" s="2" t="s">
        <v>2117</v>
      </c>
    </row>
    <row r="680" spans="2:9" x14ac:dyDescent="0.3">
      <c r="B680" s="2" t="s">
        <v>686</v>
      </c>
      <c r="C680" s="3">
        <v>44016</v>
      </c>
      <c r="D680" s="2" t="s">
        <v>2012</v>
      </c>
      <c r="E680" s="2" t="s">
        <v>2055</v>
      </c>
      <c r="F680" s="4">
        <v>1045.97</v>
      </c>
      <c r="G680" s="5">
        <v>680.45</v>
      </c>
      <c r="H680" s="6">
        <v>12</v>
      </c>
      <c r="I680" s="2" t="s">
        <v>2117</v>
      </c>
    </row>
    <row r="681" spans="2:9" x14ac:dyDescent="0.3">
      <c r="B681" s="2" t="s">
        <v>687</v>
      </c>
      <c r="C681" s="3">
        <v>44017</v>
      </c>
      <c r="D681" s="2" t="s">
        <v>2009</v>
      </c>
      <c r="E681" s="2" t="s">
        <v>2078</v>
      </c>
      <c r="F681" s="4">
        <v>4825.6499999999996</v>
      </c>
      <c r="G681" s="5">
        <v>533.19000000000005</v>
      </c>
      <c r="H681" s="6">
        <v>1</v>
      </c>
      <c r="I681" s="2" t="s">
        <v>2118</v>
      </c>
    </row>
    <row r="682" spans="2:9" x14ac:dyDescent="0.3">
      <c r="B682" s="2" t="s">
        <v>688</v>
      </c>
      <c r="C682" s="3">
        <v>44416</v>
      </c>
      <c r="D682" s="2" t="s">
        <v>2012</v>
      </c>
      <c r="E682" s="2" t="s">
        <v>2073</v>
      </c>
      <c r="F682" s="4">
        <v>4614.75</v>
      </c>
      <c r="G682" s="5">
        <v>628.09</v>
      </c>
      <c r="H682" s="6">
        <v>18</v>
      </c>
      <c r="I682" s="2" t="s">
        <v>2117</v>
      </c>
    </row>
    <row r="683" spans="2:9" x14ac:dyDescent="0.3">
      <c r="B683" s="2" t="s">
        <v>689</v>
      </c>
      <c r="C683" s="3">
        <v>44504</v>
      </c>
      <c r="D683" s="2" t="s">
        <v>2009</v>
      </c>
      <c r="E683" s="2" t="s">
        <v>2083</v>
      </c>
      <c r="F683" s="4">
        <v>4496.4799999999996</v>
      </c>
      <c r="G683" s="5">
        <v>833.34</v>
      </c>
      <c r="H683" s="6">
        <v>8</v>
      </c>
      <c r="I683" s="2" t="s">
        <v>2117</v>
      </c>
    </row>
    <row r="684" spans="2:9" x14ac:dyDescent="0.3">
      <c r="B684" s="2" t="s">
        <v>690</v>
      </c>
      <c r="C684" s="3">
        <v>45501</v>
      </c>
      <c r="D684" s="2" t="s">
        <v>2010</v>
      </c>
      <c r="E684" s="2" t="s">
        <v>2060</v>
      </c>
      <c r="F684" s="4">
        <v>1576.7</v>
      </c>
      <c r="G684" s="5">
        <v>478.58</v>
      </c>
      <c r="H684" s="6">
        <v>3</v>
      </c>
      <c r="I684" s="2" t="s">
        <v>2118</v>
      </c>
    </row>
    <row r="685" spans="2:9" x14ac:dyDescent="0.3">
      <c r="B685" s="2" t="s">
        <v>691</v>
      </c>
      <c r="C685" s="3">
        <v>45547</v>
      </c>
      <c r="D685" s="2" t="s">
        <v>2010</v>
      </c>
      <c r="E685" s="2" t="s">
        <v>2089</v>
      </c>
      <c r="F685" s="4">
        <v>1510.44</v>
      </c>
      <c r="G685" s="5">
        <v>416.19</v>
      </c>
      <c r="H685" s="6">
        <v>2</v>
      </c>
      <c r="I685" s="2" t="s">
        <v>2118</v>
      </c>
    </row>
    <row r="686" spans="2:9" x14ac:dyDescent="0.3">
      <c r="B686" s="2" t="s">
        <v>692</v>
      </c>
      <c r="C686" s="3">
        <v>44844</v>
      </c>
      <c r="D686" s="2" t="s">
        <v>2011</v>
      </c>
      <c r="E686" s="2" t="s">
        <v>2093</v>
      </c>
      <c r="F686" s="4">
        <v>230.27</v>
      </c>
      <c r="G686" s="5">
        <v>131.77000000000001</v>
      </c>
      <c r="H686" s="6">
        <v>16</v>
      </c>
      <c r="I686" s="2" t="s">
        <v>2118</v>
      </c>
    </row>
    <row r="687" spans="2:9" x14ac:dyDescent="0.3">
      <c r="B687" s="2" t="s">
        <v>693</v>
      </c>
      <c r="C687" s="3">
        <v>45048</v>
      </c>
      <c r="D687" s="2" t="s">
        <v>2009</v>
      </c>
      <c r="E687" s="2" t="s">
        <v>2066</v>
      </c>
      <c r="F687" s="4">
        <v>1320.37</v>
      </c>
      <c r="G687" s="5">
        <v>135.44999999999999</v>
      </c>
      <c r="H687" s="6">
        <v>15</v>
      </c>
      <c r="I687" s="2" t="s">
        <v>2118</v>
      </c>
    </row>
    <row r="688" spans="2:9" x14ac:dyDescent="0.3">
      <c r="B688" s="2" t="s">
        <v>694</v>
      </c>
      <c r="C688" s="3">
        <v>44189</v>
      </c>
      <c r="D688" s="2" t="s">
        <v>2011</v>
      </c>
      <c r="E688" s="2" t="s">
        <v>2025</v>
      </c>
      <c r="F688" s="4">
        <v>1521.42</v>
      </c>
      <c r="G688" s="5">
        <v>680.21</v>
      </c>
      <c r="H688" s="6">
        <v>5</v>
      </c>
      <c r="I688" s="2" t="s">
        <v>2116</v>
      </c>
    </row>
    <row r="689" spans="2:9" x14ac:dyDescent="0.3">
      <c r="B689" s="2" t="s">
        <v>695</v>
      </c>
      <c r="C689" s="3">
        <v>43948</v>
      </c>
      <c r="D689" s="2" t="s">
        <v>2010</v>
      </c>
      <c r="E689" s="2" t="s">
        <v>2014</v>
      </c>
      <c r="F689" s="4">
        <v>1451.34</v>
      </c>
      <c r="G689" s="5">
        <v>57.44</v>
      </c>
      <c r="H689" s="6">
        <v>14</v>
      </c>
      <c r="I689" s="2" t="s">
        <v>2116</v>
      </c>
    </row>
    <row r="690" spans="2:9" x14ac:dyDescent="0.3">
      <c r="B690" s="2" t="s">
        <v>696</v>
      </c>
      <c r="C690" s="3">
        <v>45137</v>
      </c>
      <c r="D690" s="2" t="s">
        <v>2011</v>
      </c>
      <c r="E690" s="2" t="s">
        <v>2095</v>
      </c>
      <c r="F690" s="4">
        <v>3348.49</v>
      </c>
      <c r="G690" s="5">
        <v>873.81</v>
      </c>
      <c r="H690" s="6">
        <v>2</v>
      </c>
      <c r="I690" s="2" t="s">
        <v>2118</v>
      </c>
    </row>
    <row r="691" spans="2:9" x14ac:dyDescent="0.3">
      <c r="B691" s="2" t="s">
        <v>697</v>
      </c>
      <c r="C691" s="3">
        <v>43939</v>
      </c>
      <c r="D691" s="2" t="s">
        <v>2010</v>
      </c>
      <c r="E691" s="2" t="s">
        <v>2033</v>
      </c>
      <c r="F691" s="4">
        <v>3444.24</v>
      </c>
      <c r="G691" s="5">
        <v>137.13999999999999</v>
      </c>
      <c r="H691" s="6">
        <v>9</v>
      </c>
      <c r="I691" s="2" t="s">
        <v>2118</v>
      </c>
    </row>
    <row r="692" spans="2:9" x14ac:dyDescent="0.3">
      <c r="B692" s="2" t="s">
        <v>698</v>
      </c>
      <c r="C692" s="3">
        <v>44852</v>
      </c>
      <c r="D692" s="2" t="s">
        <v>2010</v>
      </c>
      <c r="E692" s="2" t="s">
        <v>2097</v>
      </c>
      <c r="F692" s="4">
        <v>2456.92</v>
      </c>
      <c r="G692" s="5">
        <v>817.5</v>
      </c>
      <c r="H692" s="6">
        <v>6</v>
      </c>
      <c r="I692" s="2" t="s">
        <v>2118</v>
      </c>
    </row>
    <row r="693" spans="2:9" x14ac:dyDescent="0.3">
      <c r="B693" s="2" t="s">
        <v>699</v>
      </c>
      <c r="C693" s="3">
        <v>43975</v>
      </c>
      <c r="D693" s="2" t="s">
        <v>2011</v>
      </c>
      <c r="E693" s="2" t="s">
        <v>2026</v>
      </c>
      <c r="F693" s="4">
        <v>587.16</v>
      </c>
      <c r="G693" s="5">
        <v>839.46</v>
      </c>
      <c r="H693" s="6">
        <v>13</v>
      </c>
      <c r="I693" s="2" t="s">
        <v>2118</v>
      </c>
    </row>
    <row r="694" spans="2:9" x14ac:dyDescent="0.3">
      <c r="B694" s="2" t="s">
        <v>700</v>
      </c>
      <c r="C694" s="3">
        <v>44580</v>
      </c>
      <c r="D694" s="2" t="s">
        <v>2011</v>
      </c>
      <c r="E694" s="2" t="s">
        <v>2020</v>
      </c>
      <c r="F694" s="4">
        <v>4298.62</v>
      </c>
      <c r="G694" s="5">
        <v>694.33</v>
      </c>
      <c r="H694" s="6">
        <v>18</v>
      </c>
      <c r="I694" s="2" t="s">
        <v>2118</v>
      </c>
    </row>
    <row r="695" spans="2:9" x14ac:dyDescent="0.3">
      <c r="B695" s="2" t="s">
        <v>701</v>
      </c>
      <c r="C695" s="3">
        <v>44955</v>
      </c>
      <c r="D695" s="2" t="s">
        <v>2012</v>
      </c>
      <c r="E695" s="2" t="s">
        <v>2056</v>
      </c>
      <c r="F695" s="4">
        <v>4770.45</v>
      </c>
      <c r="G695" s="5">
        <v>950.31</v>
      </c>
      <c r="H695" s="6">
        <v>5</v>
      </c>
      <c r="I695" s="2" t="s">
        <v>2117</v>
      </c>
    </row>
    <row r="696" spans="2:9" x14ac:dyDescent="0.3">
      <c r="B696" s="2" t="s">
        <v>702</v>
      </c>
      <c r="C696" s="3">
        <v>43915</v>
      </c>
      <c r="D696" s="2" t="s">
        <v>2009</v>
      </c>
      <c r="E696" s="2" t="s">
        <v>2093</v>
      </c>
      <c r="F696" s="4">
        <v>438.84</v>
      </c>
      <c r="G696" s="5">
        <v>154.66</v>
      </c>
      <c r="H696" s="6">
        <v>10</v>
      </c>
      <c r="I696" s="2" t="s">
        <v>2116</v>
      </c>
    </row>
    <row r="697" spans="2:9" x14ac:dyDescent="0.3">
      <c r="B697" s="2" t="s">
        <v>703</v>
      </c>
      <c r="C697" s="3">
        <v>44028</v>
      </c>
      <c r="D697" s="2" t="s">
        <v>2010</v>
      </c>
      <c r="E697" s="2" t="s">
        <v>2098</v>
      </c>
      <c r="F697" s="4">
        <v>2508.4</v>
      </c>
      <c r="G697" s="5">
        <v>276.45</v>
      </c>
      <c r="H697" s="6">
        <v>3</v>
      </c>
      <c r="I697" s="2" t="s">
        <v>2116</v>
      </c>
    </row>
    <row r="698" spans="2:9" x14ac:dyDescent="0.3">
      <c r="B698" s="2" t="s">
        <v>704</v>
      </c>
      <c r="C698" s="3">
        <v>44097</v>
      </c>
      <c r="D698" s="2" t="s">
        <v>2011</v>
      </c>
      <c r="E698" s="2" t="s">
        <v>2035</v>
      </c>
      <c r="F698" s="4">
        <v>548.38</v>
      </c>
      <c r="G698" s="5">
        <v>342.07</v>
      </c>
      <c r="H698" s="6">
        <v>19</v>
      </c>
      <c r="I698" s="2" t="s">
        <v>2116</v>
      </c>
    </row>
    <row r="699" spans="2:9" x14ac:dyDescent="0.3">
      <c r="B699" s="2" t="s">
        <v>705</v>
      </c>
      <c r="C699" s="3">
        <v>45523</v>
      </c>
      <c r="D699" s="2" t="s">
        <v>2009</v>
      </c>
      <c r="E699" s="2" t="s">
        <v>2056</v>
      </c>
      <c r="F699" s="4">
        <v>85.51</v>
      </c>
      <c r="G699" s="5">
        <v>179.7</v>
      </c>
      <c r="H699" s="6">
        <v>17</v>
      </c>
      <c r="I699" s="2" t="s">
        <v>2117</v>
      </c>
    </row>
    <row r="700" spans="2:9" x14ac:dyDescent="0.3">
      <c r="B700" s="2" t="s">
        <v>706</v>
      </c>
      <c r="C700" s="3">
        <v>44025</v>
      </c>
      <c r="D700" s="2" t="s">
        <v>2010</v>
      </c>
      <c r="E700" s="2" t="s">
        <v>2015</v>
      </c>
      <c r="F700" s="4">
        <v>2372.9299999999998</v>
      </c>
      <c r="G700" s="5">
        <v>503.41</v>
      </c>
      <c r="H700" s="6">
        <v>6</v>
      </c>
      <c r="I700" s="2" t="s">
        <v>2116</v>
      </c>
    </row>
    <row r="701" spans="2:9" x14ac:dyDescent="0.3">
      <c r="B701" s="2" t="s">
        <v>707</v>
      </c>
      <c r="C701" s="3">
        <v>44451</v>
      </c>
      <c r="D701" s="2" t="s">
        <v>2011</v>
      </c>
      <c r="E701" s="2" t="s">
        <v>2092</v>
      </c>
      <c r="F701" s="4">
        <v>1866.34</v>
      </c>
      <c r="G701" s="5">
        <v>755.46</v>
      </c>
      <c r="H701" s="6">
        <v>5</v>
      </c>
      <c r="I701" s="2" t="s">
        <v>2117</v>
      </c>
    </row>
    <row r="702" spans="2:9" x14ac:dyDescent="0.3">
      <c r="B702" s="2" t="s">
        <v>708</v>
      </c>
      <c r="C702" s="3">
        <v>45036</v>
      </c>
      <c r="D702" s="2" t="s">
        <v>2011</v>
      </c>
      <c r="E702" s="2" t="s">
        <v>2086</v>
      </c>
      <c r="F702" s="4">
        <v>2272.9299999999998</v>
      </c>
      <c r="G702" s="5">
        <v>771.19</v>
      </c>
      <c r="H702" s="6">
        <v>17</v>
      </c>
      <c r="I702" s="2" t="s">
        <v>2116</v>
      </c>
    </row>
    <row r="703" spans="2:9" x14ac:dyDescent="0.3">
      <c r="B703" s="2" t="s">
        <v>709</v>
      </c>
      <c r="C703" s="3">
        <v>44055</v>
      </c>
      <c r="D703" s="2" t="s">
        <v>2009</v>
      </c>
      <c r="E703" s="2" t="s">
        <v>2037</v>
      </c>
      <c r="F703" s="4">
        <v>660.27</v>
      </c>
      <c r="G703" s="5">
        <v>415.28</v>
      </c>
      <c r="H703" s="6">
        <v>20</v>
      </c>
      <c r="I703" s="2" t="s">
        <v>2117</v>
      </c>
    </row>
    <row r="704" spans="2:9" x14ac:dyDescent="0.3">
      <c r="B704" s="2" t="s">
        <v>710</v>
      </c>
      <c r="C704" s="3">
        <v>44268</v>
      </c>
      <c r="D704" s="2" t="s">
        <v>2009</v>
      </c>
      <c r="E704" s="2" t="s">
        <v>2063</v>
      </c>
      <c r="F704" s="4">
        <v>4618.4399999999996</v>
      </c>
      <c r="G704" s="5">
        <v>671.56</v>
      </c>
      <c r="H704" s="6">
        <v>18</v>
      </c>
      <c r="I704" s="2" t="s">
        <v>2116</v>
      </c>
    </row>
    <row r="705" spans="2:9" x14ac:dyDescent="0.3">
      <c r="B705" s="2" t="s">
        <v>711</v>
      </c>
      <c r="C705" s="3">
        <v>45003</v>
      </c>
      <c r="D705" s="2" t="s">
        <v>2010</v>
      </c>
      <c r="E705" s="2" t="s">
        <v>2085</v>
      </c>
      <c r="F705" s="4">
        <v>283.02999999999997</v>
      </c>
      <c r="G705" s="5">
        <v>632.17999999999995</v>
      </c>
      <c r="H705" s="6">
        <v>4</v>
      </c>
      <c r="I705" s="2" t="s">
        <v>2116</v>
      </c>
    </row>
    <row r="706" spans="2:9" x14ac:dyDescent="0.3">
      <c r="B706" s="2" t="s">
        <v>712</v>
      </c>
      <c r="C706" s="3">
        <v>44962</v>
      </c>
      <c r="D706" s="2" t="s">
        <v>2010</v>
      </c>
      <c r="E706" s="2" t="s">
        <v>2087</v>
      </c>
      <c r="F706" s="4">
        <v>2132.98</v>
      </c>
      <c r="G706" s="5">
        <v>262.43</v>
      </c>
      <c r="H706" s="6">
        <v>3</v>
      </c>
      <c r="I706" s="2" t="s">
        <v>2117</v>
      </c>
    </row>
    <row r="707" spans="2:9" x14ac:dyDescent="0.3">
      <c r="B707" s="2" t="s">
        <v>713</v>
      </c>
      <c r="C707" s="3">
        <v>43851</v>
      </c>
      <c r="D707" s="2" t="s">
        <v>2009</v>
      </c>
      <c r="E707" s="2" t="s">
        <v>2039</v>
      </c>
      <c r="F707" s="4">
        <v>4258.38</v>
      </c>
      <c r="G707" s="5">
        <v>118.55</v>
      </c>
      <c r="H707" s="6">
        <v>17</v>
      </c>
      <c r="I707" s="2" t="s">
        <v>2118</v>
      </c>
    </row>
    <row r="708" spans="2:9" x14ac:dyDescent="0.3">
      <c r="B708" s="2" t="s">
        <v>714</v>
      </c>
      <c r="C708" s="3">
        <v>44028</v>
      </c>
      <c r="D708" s="2" t="s">
        <v>2010</v>
      </c>
      <c r="E708" s="2" t="s">
        <v>2103</v>
      </c>
      <c r="F708" s="4">
        <v>741.44</v>
      </c>
      <c r="G708" s="5">
        <v>91.21</v>
      </c>
      <c r="H708" s="6">
        <v>16</v>
      </c>
      <c r="I708" s="2" t="s">
        <v>2116</v>
      </c>
    </row>
    <row r="709" spans="2:9" x14ac:dyDescent="0.3">
      <c r="B709" s="2" t="s">
        <v>715</v>
      </c>
      <c r="C709" s="3">
        <v>45181</v>
      </c>
      <c r="D709" s="2" t="s">
        <v>2011</v>
      </c>
      <c r="E709" s="2" t="s">
        <v>2109</v>
      </c>
      <c r="F709" s="4">
        <v>3601.03</v>
      </c>
      <c r="G709" s="5">
        <v>862.97</v>
      </c>
      <c r="H709" s="6">
        <v>4</v>
      </c>
      <c r="I709" s="2" t="s">
        <v>2116</v>
      </c>
    </row>
    <row r="710" spans="2:9" x14ac:dyDescent="0.3">
      <c r="B710" s="2" t="s">
        <v>716</v>
      </c>
      <c r="C710" s="3">
        <v>44449</v>
      </c>
      <c r="D710" s="2" t="s">
        <v>2011</v>
      </c>
      <c r="E710" s="2" t="s">
        <v>2065</v>
      </c>
      <c r="F710" s="4">
        <v>4838.8999999999996</v>
      </c>
      <c r="G710" s="5">
        <v>356.01</v>
      </c>
      <c r="H710" s="6">
        <v>11</v>
      </c>
      <c r="I710" s="2" t="s">
        <v>2117</v>
      </c>
    </row>
    <row r="711" spans="2:9" x14ac:dyDescent="0.3">
      <c r="B711" s="2" t="s">
        <v>717</v>
      </c>
      <c r="C711" s="3">
        <v>44694</v>
      </c>
      <c r="D711" s="2" t="s">
        <v>2011</v>
      </c>
      <c r="E711" s="2" t="s">
        <v>2025</v>
      </c>
      <c r="F711" s="4">
        <v>53.73</v>
      </c>
      <c r="G711" s="5">
        <v>964.56</v>
      </c>
      <c r="H711" s="6">
        <v>4</v>
      </c>
      <c r="I711" s="2" t="s">
        <v>2116</v>
      </c>
    </row>
    <row r="712" spans="2:9" x14ac:dyDescent="0.3">
      <c r="B712" s="2" t="s">
        <v>718</v>
      </c>
      <c r="C712" s="3">
        <v>45046</v>
      </c>
      <c r="D712" s="2" t="s">
        <v>2010</v>
      </c>
      <c r="E712" s="2" t="s">
        <v>2025</v>
      </c>
      <c r="F712" s="4">
        <v>3212.65</v>
      </c>
      <c r="G712" s="5">
        <v>88.87</v>
      </c>
      <c r="H712" s="6">
        <v>20</v>
      </c>
      <c r="I712" s="2" t="s">
        <v>2117</v>
      </c>
    </row>
    <row r="713" spans="2:9" x14ac:dyDescent="0.3">
      <c r="B713" s="2" t="s">
        <v>719</v>
      </c>
      <c r="C713" s="3">
        <v>43944</v>
      </c>
      <c r="D713" s="2" t="s">
        <v>2009</v>
      </c>
      <c r="E713" s="2" t="s">
        <v>2049</v>
      </c>
      <c r="F713" s="4">
        <v>2770.66</v>
      </c>
      <c r="G713" s="5">
        <v>807.78</v>
      </c>
      <c r="H713" s="6">
        <v>12</v>
      </c>
      <c r="I713" s="2" t="s">
        <v>2117</v>
      </c>
    </row>
    <row r="714" spans="2:9" x14ac:dyDescent="0.3">
      <c r="B714" s="2" t="s">
        <v>720</v>
      </c>
      <c r="C714" s="3">
        <v>44874</v>
      </c>
      <c r="D714" s="2" t="s">
        <v>2010</v>
      </c>
      <c r="E714" s="2" t="s">
        <v>2098</v>
      </c>
      <c r="F714" s="4">
        <v>4575.7700000000004</v>
      </c>
      <c r="G714" s="5">
        <v>477.28</v>
      </c>
      <c r="H714" s="6">
        <v>2</v>
      </c>
      <c r="I714" s="2" t="s">
        <v>2117</v>
      </c>
    </row>
    <row r="715" spans="2:9" x14ac:dyDescent="0.3">
      <c r="B715" s="2" t="s">
        <v>721</v>
      </c>
      <c r="C715" s="3">
        <v>44667</v>
      </c>
      <c r="D715" s="2" t="s">
        <v>2012</v>
      </c>
      <c r="E715" s="2" t="s">
        <v>2045</v>
      </c>
      <c r="F715" s="4">
        <v>99.11</v>
      </c>
      <c r="G715" s="5">
        <v>782.72</v>
      </c>
      <c r="H715" s="6">
        <v>8</v>
      </c>
      <c r="I715" s="2" t="s">
        <v>2117</v>
      </c>
    </row>
    <row r="716" spans="2:9" x14ac:dyDescent="0.3">
      <c r="B716" s="2" t="s">
        <v>722</v>
      </c>
      <c r="C716" s="3">
        <v>44058</v>
      </c>
      <c r="D716" s="2" t="s">
        <v>2009</v>
      </c>
      <c r="E716" s="2" t="s">
        <v>2096</v>
      </c>
      <c r="F716" s="4">
        <v>2835.81</v>
      </c>
      <c r="G716" s="5">
        <v>452.9</v>
      </c>
      <c r="H716" s="6">
        <v>3</v>
      </c>
      <c r="I716" s="2" t="s">
        <v>2116</v>
      </c>
    </row>
    <row r="717" spans="2:9" x14ac:dyDescent="0.3">
      <c r="B717" s="2" t="s">
        <v>723</v>
      </c>
      <c r="C717" s="3">
        <v>45355</v>
      </c>
      <c r="D717" s="2" t="s">
        <v>2009</v>
      </c>
      <c r="E717" s="2" t="s">
        <v>2061</v>
      </c>
      <c r="F717" s="4">
        <v>494.19</v>
      </c>
      <c r="G717" s="5">
        <v>659.66</v>
      </c>
      <c r="H717" s="6">
        <v>19</v>
      </c>
      <c r="I717" s="2" t="s">
        <v>2117</v>
      </c>
    </row>
    <row r="718" spans="2:9" x14ac:dyDescent="0.3">
      <c r="B718" s="2" t="s">
        <v>724</v>
      </c>
      <c r="C718" s="3">
        <v>44480</v>
      </c>
      <c r="D718" s="2" t="s">
        <v>2009</v>
      </c>
      <c r="E718" s="2" t="s">
        <v>2085</v>
      </c>
      <c r="F718" s="4">
        <v>4875.84</v>
      </c>
      <c r="G718" s="5">
        <v>640.54</v>
      </c>
      <c r="H718" s="6">
        <v>2</v>
      </c>
      <c r="I718" s="2" t="s">
        <v>2117</v>
      </c>
    </row>
    <row r="719" spans="2:9" x14ac:dyDescent="0.3">
      <c r="B719" s="2" t="s">
        <v>725</v>
      </c>
      <c r="C719" s="3">
        <v>44818</v>
      </c>
      <c r="D719" s="2" t="s">
        <v>2011</v>
      </c>
      <c r="E719" s="2" t="s">
        <v>2059</v>
      </c>
      <c r="F719" s="4">
        <v>218.81</v>
      </c>
      <c r="G719" s="5">
        <v>146.32</v>
      </c>
      <c r="H719" s="6">
        <v>1</v>
      </c>
      <c r="I719" s="2" t="s">
        <v>2118</v>
      </c>
    </row>
    <row r="720" spans="2:9" x14ac:dyDescent="0.3">
      <c r="B720" s="2" t="s">
        <v>726</v>
      </c>
      <c r="C720" s="3">
        <v>44143</v>
      </c>
      <c r="D720" s="2" t="s">
        <v>2009</v>
      </c>
      <c r="E720" s="2" t="s">
        <v>2097</v>
      </c>
      <c r="F720" s="4">
        <v>2316.48</v>
      </c>
      <c r="G720" s="5">
        <v>186.02</v>
      </c>
      <c r="H720" s="6">
        <v>15</v>
      </c>
      <c r="I720" s="2" t="s">
        <v>2117</v>
      </c>
    </row>
    <row r="721" spans="2:9" x14ac:dyDescent="0.3">
      <c r="B721" s="2" t="s">
        <v>727</v>
      </c>
      <c r="C721" s="3">
        <v>45024</v>
      </c>
      <c r="D721" s="2" t="s">
        <v>2012</v>
      </c>
      <c r="E721" s="2" t="s">
        <v>2039</v>
      </c>
      <c r="F721" s="4">
        <v>4630.67</v>
      </c>
      <c r="G721" s="5">
        <v>122.53</v>
      </c>
      <c r="H721" s="6">
        <v>3</v>
      </c>
      <c r="I721" s="2" t="s">
        <v>2117</v>
      </c>
    </row>
    <row r="722" spans="2:9" x14ac:dyDescent="0.3">
      <c r="B722" s="2" t="s">
        <v>728</v>
      </c>
      <c r="C722" s="3">
        <v>44651</v>
      </c>
      <c r="D722" s="2" t="s">
        <v>2009</v>
      </c>
      <c r="E722" s="2" t="s">
        <v>2063</v>
      </c>
      <c r="F722" s="4">
        <v>3890.14</v>
      </c>
      <c r="G722" s="5">
        <v>848.66</v>
      </c>
      <c r="H722" s="6">
        <v>14</v>
      </c>
      <c r="I722" s="2" t="s">
        <v>2118</v>
      </c>
    </row>
    <row r="723" spans="2:9" x14ac:dyDescent="0.3">
      <c r="B723" s="2" t="s">
        <v>729</v>
      </c>
      <c r="C723" s="3">
        <v>43869</v>
      </c>
      <c r="D723" s="2" t="s">
        <v>2012</v>
      </c>
      <c r="E723" s="2" t="s">
        <v>2076</v>
      </c>
      <c r="F723" s="4">
        <v>1577.72</v>
      </c>
      <c r="G723" s="5">
        <v>487.45</v>
      </c>
      <c r="H723" s="6">
        <v>2</v>
      </c>
      <c r="I723" s="2" t="s">
        <v>2117</v>
      </c>
    </row>
    <row r="724" spans="2:9" x14ac:dyDescent="0.3">
      <c r="B724" s="2" t="s">
        <v>730</v>
      </c>
      <c r="C724" s="3">
        <v>44656</v>
      </c>
      <c r="D724" s="2" t="s">
        <v>2010</v>
      </c>
      <c r="E724" s="2" t="s">
        <v>2058</v>
      </c>
      <c r="F724" s="4">
        <v>2904.6</v>
      </c>
      <c r="G724" s="5">
        <v>631.1</v>
      </c>
      <c r="H724" s="6">
        <v>13</v>
      </c>
      <c r="I724" s="2" t="s">
        <v>2118</v>
      </c>
    </row>
    <row r="725" spans="2:9" x14ac:dyDescent="0.3">
      <c r="B725" s="2" t="s">
        <v>731</v>
      </c>
      <c r="C725" s="3">
        <v>44425</v>
      </c>
      <c r="D725" s="2" t="s">
        <v>2010</v>
      </c>
      <c r="E725" s="2" t="s">
        <v>2103</v>
      </c>
      <c r="F725" s="4">
        <v>4452.8900000000003</v>
      </c>
      <c r="G725" s="5">
        <v>106.54</v>
      </c>
      <c r="H725" s="6">
        <v>18</v>
      </c>
      <c r="I725" s="2" t="s">
        <v>2117</v>
      </c>
    </row>
    <row r="726" spans="2:9" x14ac:dyDescent="0.3">
      <c r="B726" s="2" t="s">
        <v>732</v>
      </c>
      <c r="C726" s="3">
        <v>44066</v>
      </c>
      <c r="D726" s="2" t="s">
        <v>2010</v>
      </c>
      <c r="E726" s="2" t="s">
        <v>2061</v>
      </c>
      <c r="F726" s="4">
        <v>2186.7600000000002</v>
      </c>
      <c r="G726" s="5">
        <v>613.91</v>
      </c>
      <c r="H726" s="6">
        <v>15</v>
      </c>
      <c r="I726" s="2" t="s">
        <v>2118</v>
      </c>
    </row>
    <row r="727" spans="2:9" x14ac:dyDescent="0.3">
      <c r="B727" s="2" t="s">
        <v>733</v>
      </c>
      <c r="C727" s="3">
        <v>45404</v>
      </c>
      <c r="D727" s="2" t="s">
        <v>2012</v>
      </c>
      <c r="E727" s="2" t="s">
        <v>2096</v>
      </c>
      <c r="F727" s="4">
        <v>4527.54</v>
      </c>
      <c r="G727" s="5">
        <v>68.209999999999994</v>
      </c>
      <c r="H727" s="6">
        <v>19</v>
      </c>
      <c r="I727" s="2" t="s">
        <v>2116</v>
      </c>
    </row>
    <row r="728" spans="2:9" x14ac:dyDescent="0.3">
      <c r="B728" s="2" t="s">
        <v>734</v>
      </c>
      <c r="C728" s="3">
        <v>44050</v>
      </c>
      <c r="D728" s="2" t="s">
        <v>2009</v>
      </c>
      <c r="E728" s="2" t="s">
        <v>2084</v>
      </c>
      <c r="F728" s="4">
        <v>3420.6</v>
      </c>
      <c r="G728" s="5">
        <v>834.25</v>
      </c>
      <c r="H728" s="6">
        <v>14</v>
      </c>
      <c r="I728" s="2" t="s">
        <v>2117</v>
      </c>
    </row>
    <row r="729" spans="2:9" x14ac:dyDescent="0.3">
      <c r="B729" s="2" t="s">
        <v>735</v>
      </c>
      <c r="C729" s="3">
        <v>45507</v>
      </c>
      <c r="D729" s="2" t="s">
        <v>2009</v>
      </c>
      <c r="E729" s="2" t="s">
        <v>2061</v>
      </c>
      <c r="F729" s="4">
        <v>3734.92</v>
      </c>
      <c r="G729" s="5">
        <v>718.15</v>
      </c>
      <c r="H729" s="6">
        <v>16</v>
      </c>
      <c r="I729" s="2" t="s">
        <v>2118</v>
      </c>
    </row>
    <row r="730" spans="2:9" x14ac:dyDescent="0.3">
      <c r="B730" s="2" t="s">
        <v>736</v>
      </c>
      <c r="C730" s="3">
        <v>44876</v>
      </c>
      <c r="D730" s="2" t="s">
        <v>2012</v>
      </c>
      <c r="E730" s="2" t="s">
        <v>2065</v>
      </c>
      <c r="F730" s="4">
        <v>4631.2299999999996</v>
      </c>
      <c r="G730" s="5">
        <v>445.61</v>
      </c>
      <c r="H730" s="6">
        <v>3</v>
      </c>
      <c r="I730" s="2" t="s">
        <v>2116</v>
      </c>
    </row>
    <row r="731" spans="2:9" x14ac:dyDescent="0.3">
      <c r="B731" s="2" t="s">
        <v>737</v>
      </c>
      <c r="C731" s="3">
        <v>44826</v>
      </c>
      <c r="D731" s="2" t="s">
        <v>2010</v>
      </c>
      <c r="E731" s="2" t="s">
        <v>2034</v>
      </c>
      <c r="F731" s="4">
        <v>2500.27</v>
      </c>
      <c r="G731" s="5">
        <v>693.82</v>
      </c>
      <c r="H731" s="6">
        <v>16</v>
      </c>
      <c r="I731" s="2" t="s">
        <v>2118</v>
      </c>
    </row>
    <row r="732" spans="2:9" x14ac:dyDescent="0.3">
      <c r="B732" s="2" t="s">
        <v>738</v>
      </c>
      <c r="C732" s="3">
        <v>44304</v>
      </c>
      <c r="D732" s="2" t="s">
        <v>2012</v>
      </c>
      <c r="E732" s="2" t="s">
        <v>2054</v>
      </c>
      <c r="F732" s="4">
        <v>402.16</v>
      </c>
      <c r="G732" s="5">
        <v>344.04</v>
      </c>
      <c r="H732" s="6">
        <v>1</v>
      </c>
      <c r="I732" s="2" t="s">
        <v>2118</v>
      </c>
    </row>
    <row r="733" spans="2:9" x14ac:dyDescent="0.3">
      <c r="B733" s="2" t="s">
        <v>739</v>
      </c>
      <c r="C733" s="3">
        <v>44997</v>
      </c>
      <c r="D733" s="2" t="s">
        <v>2011</v>
      </c>
      <c r="E733" s="2" t="s">
        <v>2060</v>
      </c>
      <c r="F733" s="4">
        <v>3914.57</v>
      </c>
      <c r="G733" s="5">
        <v>613.87</v>
      </c>
      <c r="H733" s="6">
        <v>3</v>
      </c>
      <c r="I733" s="2" t="s">
        <v>2116</v>
      </c>
    </row>
    <row r="734" spans="2:9" x14ac:dyDescent="0.3">
      <c r="B734" s="2" t="s">
        <v>740</v>
      </c>
      <c r="C734" s="3">
        <v>45232</v>
      </c>
      <c r="D734" s="2" t="s">
        <v>2009</v>
      </c>
      <c r="E734" s="2" t="s">
        <v>2021</v>
      </c>
      <c r="F734" s="4">
        <v>3668.56</v>
      </c>
      <c r="G734" s="5">
        <v>176.38</v>
      </c>
      <c r="H734" s="6">
        <v>2</v>
      </c>
      <c r="I734" s="2" t="s">
        <v>2118</v>
      </c>
    </row>
    <row r="735" spans="2:9" x14ac:dyDescent="0.3">
      <c r="B735" s="2" t="s">
        <v>741</v>
      </c>
      <c r="C735" s="3">
        <v>45347</v>
      </c>
      <c r="D735" s="2" t="s">
        <v>2010</v>
      </c>
      <c r="E735" s="2" t="s">
        <v>2028</v>
      </c>
      <c r="F735" s="4">
        <v>2502.42</v>
      </c>
      <c r="G735" s="5">
        <v>871.38</v>
      </c>
      <c r="H735" s="6">
        <v>16</v>
      </c>
      <c r="I735" s="2" t="s">
        <v>2116</v>
      </c>
    </row>
    <row r="736" spans="2:9" x14ac:dyDescent="0.3">
      <c r="B736" s="2" t="s">
        <v>742</v>
      </c>
      <c r="C736" s="3">
        <v>44533</v>
      </c>
      <c r="D736" s="2" t="s">
        <v>2009</v>
      </c>
      <c r="E736" s="2" t="s">
        <v>2032</v>
      </c>
      <c r="F736" s="4">
        <v>3640.92</v>
      </c>
      <c r="G736" s="5">
        <v>956.47</v>
      </c>
      <c r="H736" s="6">
        <v>20</v>
      </c>
      <c r="I736" s="2" t="s">
        <v>2118</v>
      </c>
    </row>
    <row r="737" spans="2:9" x14ac:dyDescent="0.3">
      <c r="B737" s="2" t="s">
        <v>743</v>
      </c>
      <c r="C737" s="3">
        <v>45167</v>
      </c>
      <c r="D737" s="2" t="s">
        <v>2009</v>
      </c>
      <c r="E737" s="2" t="s">
        <v>2095</v>
      </c>
      <c r="F737" s="4">
        <v>2394.58</v>
      </c>
      <c r="G737" s="5">
        <v>696.63</v>
      </c>
      <c r="H737" s="6">
        <v>5</v>
      </c>
      <c r="I737" s="2" t="s">
        <v>2118</v>
      </c>
    </row>
    <row r="738" spans="2:9" x14ac:dyDescent="0.3">
      <c r="B738" s="2" t="s">
        <v>744</v>
      </c>
      <c r="C738" s="3">
        <v>44861</v>
      </c>
      <c r="D738" s="2" t="s">
        <v>2009</v>
      </c>
      <c r="E738" s="2" t="s">
        <v>2071</v>
      </c>
      <c r="F738" s="4">
        <v>626.36</v>
      </c>
      <c r="G738" s="5">
        <v>229.15</v>
      </c>
      <c r="H738" s="6">
        <v>16</v>
      </c>
      <c r="I738" s="2" t="s">
        <v>2117</v>
      </c>
    </row>
    <row r="739" spans="2:9" x14ac:dyDescent="0.3">
      <c r="B739" s="2" t="s">
        <v>745</v>
      </c>
      <c r="C739" s="3">
        <v>44720</v>
      </c>
      <c r="D739" s="2" t="s">
        <v>2012</v>
      </c>
      <c r="E739" s="2" t="s">
        <v>2093</v>
      </c>
      <c r="F739" s="4">
        <v>2644.34</v>
      </c>
      <c r="G739" s="5">
        <v>46.81</v>
      </c>
      <c r="H739" s="6">
        <v>7</v>
      </c>
      <c r="I739" s="2" t="s">
        <v>2116</v>
      </c>
    </row>
    <row r="740" spans="2:9" x14ac:dyDescent="0.3">
      <c r="B740" s="2" t="s">
        <v>746</v>
      </c>
      <c r="C740" s="3">
        <v>45378</v>
      </c>
      <c r="D740" s="2" t="s">
        <v>2011</v>
      </c>
      <c r="E740" s="2" t="s">
        <v>2105</v>
      </c>
      <c r="F740" s="4">
        <v>2902.72</v>
      </c>
      <c r="G740" s="5">
        <v>79.16</v>
      </c>
      <c r="H740" s="6">
        <v>12</v>
      </c>
      <c r="I740" s="2" t="s">
        <v>2117</v>
      </c>
    </row>
    <row r="741" spans="2:9" x14ac:dyDescent="0.3">
      <c r="B741" s="2" t="s">
        <v>747</v>
      </c>
      <c r="C741" s="3">
        <v>44028</v>
      </c>
      <c r="D741" s="2" t="s">
        <v>2009</v>
      </c>
      <c r="E741" s="2" t="s">
        <v>2036</v>
      </c>
      <c r="F741" s="4">
        <v>3823.95</v>
      </c>
      <c r="G741" s="5">
        <v>680.63</v>
      </c>
      <c r="H741" s="6">
        <v>4</v>
      </c>
      <c r="I741" s="2" t="s">
        <v>2117</v>
      </c>
    </row>
    <row r="742" spans="2:9" x14ac:dyDescent="0.3">
      <c r="B742" s="2" t="s">
        <v>748</v>
      </c>
      <c r="C742" s="3">
        <v>45538</v>
      </c>
      <c r="D742" s="2" t="s">
        <v>2012</v>
      </c>
      <c r="E742" s="2" t="s">
        <v>2036</v>
      </c>
      <c r="F742" s="4">
        <v>1021.55</v>
      </c>
      <c r="G742" s="5">
        <v>29.98</v>
      </c>
      <c r="H742" s="6">
        <v>13</v>
      </c>
      <c r="I742" s="2" t="s">
        <v>2116</v>
      </c>
    </row>
    <row r="743" spans="2:9" x14ac:dyDescent="0.3">
      <c r="B743" s="2" t="s">
        <v>749</v>
      </c>
      <c r="C743" s="3">
        <v>43989</v>
      </c>
      <c r="D743" s="2" t="s">
        <v>2011</v>
      </c>
      <c r="E743" s="2" t="s">
        <v>2037</v>
      </c>
      <c r="F743" s="4">
        <v>4720.78</v>
      </c>
      <c r="G743" s="5">
        <v>213.92</v>
      </c>
      <c r="H743" s="6">
        <v>9</v>
      </c>
      <c r="I743" s="2" t="s">
        <v>2118</v>
      </c>
    </row>
    <row r="744" spans="2:9" x14ac:dyDescent="0.3">
      <c r="B744" s="2" t="s">
        <v>750</v>
      </c>
      <c r="C744" s="3">
        <v>45485</v>
      </c>
      <c r="D744" s="2" t="s">
        <v>2010</v>
      </c>
      <c r="E744" s="2" t="s">
        <v>2058</v>
      </c>
      <c r="F744" s="4">
        <v>2246.85</v>
      </c>
      <c r="G744" s="5">
        <v>22.86</v>
      </c>
      <c r="H744" s="6">
        <v>14</v>
      </c>
      <c r="I744" s="2" t="s">
        <v>2117</v>
      </c>
    </row>
    <row r="745" spans="2:9" x14ac:dyDescent="0.3">
      <c r="B745" s="2" t="s">
        <v>751</v>
      </c>
      <c r="C745" s="3">
        <v>44832</v>
      </c>
      <c r="D745" s="2" t="s">
        <v>2012</v>
      </c>
      <c r="E745" s="2" t="s">
        <v>2109</v>
      </c>
      <c r="F745" s="4">
        <v>2034.14</v>
      </c>
      <c r="G745" s="5">
        <v>850.08</v>
      </c>
      <c r="H745" s="6">
        <v>13</v>
      </c>
      <c r="I745" s="2" t="s">
        <v>2116</v>
      </c>
    </row>
    <row r="746" spans="2:9" x14ac:dyDescent="0.3">
      <c r="B746" s="2" t="s">
        <v>752</v>
      </c>
      <c r="C746" s="3">
        <v>43877</v>
      </c>
      <c r="D746" s="2" t="s">
        <v>2011</v>
      </c>
      <c r="E746" s="2" t="s">
        <v>2026</v>
      </c>
      <c r="F746" s="4">
        <v>202.76</v>
      </c>
      <c r="G746" s="5">
        <v>563.79999999999995</v>
      </c>
      <c r="H746" s="6">
        <v>1</v>
      </c>
      <c r="I746" s="2" t="s">
        <v>2118</v>
      </c>
    </row>
    <row r="747" spans="2:9" x14ac:dyDescent="0.3">
      <c r="B747" s="2" t="s">
        <v>753</v>
      </c>
      <c r="C747" s="3">
        <v>43876</v>
      </c>
      <c r="D747" s="2" t="s">
        <v>2011</v>
      </c>
      <c r="E747" s="2" t="s">
        <v>2041</v>
      </c>
      <c r="F747" s="4">
        <v>1644.71</v>
      </c>
      <c r="G747" s="5">
        <v>132.03</v>
      </c>
      <c r="H747" s="6">
        <v>1</v>
      </c>
      <c r="I747" s="2" t="s">
        <v>2116</v>
      </c>
    </row>
    <row r="748" spans="2:9" x14ac:dyDescent="0.3">
      <c r="B748" s="2" t="s">
        <v>754</v>
      </c>
      <c r="C748" s="3">
        <v>44203</v>
      </c>
      <c r="D748" s="2" t="s">
        <v>2010</v>
      </c>
      <c r="E748" s="2" t="s">
        <v>2016</v>
      </c>
      <c r="F748" s="4">
        <v>222.39</v>
      </c>
      <c r="G748" s="5">
        <v>182.75</v>
      </c>
      <c r="H748" s="6">
        <v>12</v>
      </c>
      <c r="I748" s="2" t="s">
        <v>2117</v>
      </c>
    </row>
    <row r="749" spans="2:9" x14ac:dyDescent="0.3">
      <c r="B749" s="2" t="s">
        <v>755</v>
      </c>
      <c r="C749" s="3">
        <v>44871</v>
      </c>
      <c r="D749" s="2" t="s">
        <v>2010</v>
      </c>
      <c r="E749" s="2" t="s">
        <v>2030</v>
      </c>
      <c r="F749" s="4">
        <v>392.01</v>
      </c>
      <c r="G749" s="5">
        <v>995.03</v>
      </c>
      <c r="H749" s="6">
        <v>12</v>
      </c>
      <c r="I749" s="2" t="s">
        <v>2118</v>
      </c>
    </row>
    <row r="750" spans="2:9" x14ac:dyDescent="0.3">
      <c r="B750" s="2" t="s">
        <v>756</v>
      </c>
      <c r="C750" s="3">
        <v>44451</v>
      </c>
      <c r="D750" s="2" t="s">
        <v>2011</v>
      </c>
      <c r="E750" s="2" t="s">
        <v>2079</v>
      </c>
      <c r="F750" s="4">
        <v>716.51</v>
      </c>
      <c r="G750" s="5">
        <v>254.81</v>
      </c>
      <c r="H750" s="6">
        <v>10</v>
      </c>
      <c r="I750" s="2" t="s">
        <v>2116</v>
      </c>
    </row>
    <row r="751" spans="2:9" x14ac:dyDescent="0.3">
      <c r="B751" s="2" t="s">
        <v>757</v>
      </c>
      <c r="C751" s="3">
        <v>44660</v>
      </c>
      <c r="D751" s="2" t="s">
        <v>2011</v>
      </c>
      <c r="E751" s="2" t="s">
        <v>2014</v>
      </c>
      <c r="F751" s="4">
        <v>3427.01</v>
      </c>
      <c r="G751" s="5">
        <v>734.07</v>
      </c>
      <c r="H751" s="6">
        <v>9</v>
      </c>
      <c r="I751" s="2" t="s">
        <v>2116</v>
      </c>
    </row>
    <row r="752" spans="2:9" x14ac:dyDescent="0.3">
      <c r="B752" s="2" t="s">
        <v>758</v>
      </c>
      <c r="C752" s="3">
        <v>44462</v>
      </c>
      <c r="D752" s="2" t="s">
        <v>2010</v>
      </c>
      <c r="E752" s="2" t="s">
        <v>2073</v>
      </c>
      <c r="F752" s="4">
        <v>1215.96</v>
      </c>
      <c r="G752" s="5">
        <v>947.97</v>
      </c>
      <c r="H752" s="6">
        <v>14</v>
      </c>
      <c r="I752" s="2" t="s">
        <v>2116</v>
      </c>
    </row>
    <row r="753" spans="2:9" x14ac:dyDescent="0.3">
      <c r="B753" s="2" t="s">
        <v>759</v>
      </c>
      <c r="C753" s="3">
        <v>44948</v>
      </c>
      <c r="D753" s="2" t="s">
        <v>2011</v>
      </c>
      <c r="E753" s="2" t="s">
        <v>2075</v>
      </c>
      <c r="F753" s="4">
        <v>1649.81</v>
      </c>
      <c r="G753" s="5">
        <v>727.9</v>
      </c>
      <c r="H753" s="6">
        <v>9</v>
      </c>
      <c r="I753" s="2" t="s">
        <v>2118</v>
      </c>
    </row>
    <row r="754" spans="2:9" x14ac:dyDescent="0.3">
      <c r="B754" s="2" t="s">
        <v>760</v>
      </c>
      <c r="C754" s="3">
        <v>44228</v>
      </c>
      <c r="D754" s="2" t="s">
        <v>2011</v>
      </c>
      <c r="E754" s="2" t="s">
        <v>2069</v>
      </c>
      <c r="F754" s="4">
        <v>2749.5</v>
      </c>
      <c r="G754" s="5">
        <v>419.99</v>
      </c>
      <c r="H754" s="6">
        <v>10</v>
      </c>
      <c r="I754" s="2" t="s">
        <v>2117</v>
      </c>
    </row>
    <row r="755" spans="2:9" x14ac:dyDescent="0.3">
      <c r="B755" s="2" t="s">
        <v>761</v>
      </c>
      <c r="C755" s="3">
        <v>45149</v>
      </c>
      <c r="D755" s="2" t="s">
        <v>2010</v>
      </c>
      <c r="E755" s="2" t="s">
        <v>2105</v>
      </c>
      <c r="F755" s="4">
        <v>2223.2199999999998</v>
      </c>
      <c r="G755" s="5">
        <v>57.22</v>
      </c>
      <c r="H755" s="6">
        <v>10</v>
      </c>
      <c r="I755" s="2" t="s">
        <v>2118</v>
      </c>
    </row>
    <row r="756" spans="2:9" x14ac:dyDescent="0.3">
      <c r="B756" s="2" t="s">
        <v>762</v>
      </c>
      <c r="C756" s="3">
        <v>43934</v>
      </c>
      <c r="D756" s="2" t="s">
        <v>2010</v>
      </c>
      <c r="E756" s="2" t="s">
        <v>2013</v>
      </c>
      <c r="F756" s="4">
        <v>117.79</v>
      </c>
      <c r="G756" s="5">
        <v>401.58</v>
      </c>
      <c r="H756" s="6">
        <v>13</v>
      </c>
      <c r="I756" s="2" t="s">
        <v>2116</v>
      </c>
    </row>
    <row r="757" spans="2:9" x14ac:dyDescent="0.3">
      <c r="B757" s="2" t="s">
        <v>763</v>
      </c>
      <c r="C757" s="3">
        <v>45375</v>
      </c>
      <c r="D757" s="2" t="s">
        <v>2010</v>
      </c>
      <c r="E757" s="2" t="s">
        <v>2055</v>
      </c>
      <c r="F757" s="4">
        <v>2762.51</v>
      </c>
      <c r="G757" s="5">
        <v>855.96</v>
      </c>
      <c r="H757" s="6">
        <v>2</v>
      </c>
      <c r="I757" s="2" t="s">
        <v>2118</v>
      </c>
    </row>
    <row r="758" spans="2:9" x14ac:dyDescent="0.3">
      <c r="B758" s="2" t="s">
        <v>764</v>
      </c>
      <c r="C758" s="3">
        <v>44673</v>
      </c>
      <c r="D758" s="2" t="s">
        <v>2012</v>
      </c>
      <c r="E758" s="2" t="s">
        <v>2051</v>
      </c>
      <c r="F758" s="4">
        <v>2590.48</v>
      </c>
      <c r="G758" s="5">
        <v>745.08</v>
      </c>
      <c r="H758" s="6">
        <v>4</v>
      </c>
      <c r="I758" s="2" t="s">
        <v>2118</v>
      </c>
    </row>
    <row r="759" spans="2:9" x14ac:dyDescent="0.3">
      <c r="B759" s="2" t="s">
        <v>765</v>
      </c>
      <c r="C759" s="3">
        <v>45349</v>
      </c>
      <c r="D759" s="2" t="s">
        <v>2012</v>
      </c>
      <c r="E759" s="2" t="s">
        <v>2105</v>
      </c>
      <c r="F759" s="4">
        <v>3607.64</v>
      </c>
      <c r="G759" s="5">
        <v>54.42</v>
      </c>
      <c r="H759" s="6">
        <v>4</v>
      </c>
      <c r="I759" s="2" t="s">
        <v>2116</v>
      </c>
    </row>
    <row r="760" spans="2:9" x14ac:dyDescent="0.3">
      <c r="B760" s="2" t="s">
        <v>766</v>
      </c>
      <c r="C760" s="3">
        <v>45381</v>
      </c>
      <c r="D760" s="2" t="s">
        <v>2011</v>
      </c>
      <c r="E760" s="2" t="s">
        <v>2102</v>
      </c>
      <c r="F760" s="4">
        <v>1507.68</v>
      </c>
      <c r="G760" s="5">
        <v>774.66</v>
      </c>
      <c r="H760" s="6">
        <v>4</v>
      </c>
      <c r="I760" s="2" t="s">
        <v>2118</v>
      </c>
    </row>
    <row r="761" spans="2:9" x14ac:dyDescent="0.3">
      <c r="B761" s="2" t="s">
        <v>767</v>
      </c>
      <c r="C761" s="3">
        <v>45265</v>
      </c>
      <c r="D761" s="2" t="s">
        <v>2011</v>
      </c>
      <c r="E761" s="2" t="s">
        <v>2035</v>
      </c>
      <c r="F761" s="4">
        <v>1426.51</v>
      </c>
      <c r="G761" s="5">
        <v>722.14</v>
      </c>
      <c r="H761" s="6">
        <v>4</v>
      </c>
      <c r="I761" s="2" t="s">
        <v>2116</v>
      </c>
    </row>
    <row r="762" spans="2:9" x14ac:dyDescent="0.3">
      <c r="B762" s="2" t="s">
        <v>768</v>
      </c>
      <c r="C762" s="3">
        <v>44855</v>
      </c>
      <c r="D762" s="2" t="s">
        <v>2011</v>
      </c>
      <c r="E762" s="2" t="s">
        <v>2038</v>
      </c>
      <c r="F762" s="4">
        <v>1585.32</v>
      </c>
      <c r="G762" s="5">
        <v>240.46</v>
      </c>
      <c r="H762" s="6">
        <v>17</v>
      </c>
      <c r="I762" s="2" t="s">
        <v>2117</v>
      </c>
    </row>
    <row r="763" spans="2:9" x14ac:dyDescent="0.3">
      <c r="B763" s="2" t="s">
        <v>769</v>
      </c>
      <c r="C763" s="3">
        <v>45376</v>
      </c>
      <c r="D763" s="2" t="s">
        <v>2009</v>
      </c>
      <c r="E763" s="2" t="s">
        <v>2067</v>
      </c>
      <c r="F763" s="4">
        <v>57.42</v>
      </c>
      <c r="G763" s="5">
        <v>626.1</v>
      </c>
      <c r="H763" s="6">
        <v>15</v>
      </c>
      <c r="I763" s="2" t="s">
        <v>2116</v>
      </c>
    </row>
    <row r="764" spans="2:9" x14ac:dyDescent="0.3">
      <c r="B764" s="2" t="s">
        <v>770</v>
      </c>
      <c r="C764" s="3">
        <v>45405</v>
      </c>
      <c r="D764" s="2" t="s">
        <v>2011</v>
      </c>
      <c r="E764" s="2" t="s">
        <v>2037</v>
      </c>
      <c r="F764" s="4">
        <v>2640.33</v>
      </c>
      <c r="G764" s="5">
        <v>94.72</v>
      </c>
      <c r="H764" s="6">
        <v>1</v>
      </c>
      <c r="I764" s="2" t="s">
        <v>2118</v>
      </c>
    </row>
    <row r="765" spans="2:9" x14ac:dyDescent="0.3">
      <c r="B765" s="2" t="s">
        <v>771</v>
      </c>
      <c r="C765" s="3">
        <v>45307</v>
      </c>
      <c r="D765" s="2" t="s">
        <v>2012</v>
      </c>
      <c r="E765" s="2" t="s">
        <v>2067</v>
      </c>
      <c r="F765" s="4">
        <v>420.94</v>
      </c>
      <c r="G765" s="5">
        <v>540.75</v>
      </c>
      <c r="H765" s="6">
        <v>14</v>
      </c>
      <c r="I765" s="2" t="s">
        <v>2118</v>
      </c>
    </row>
    <row r="766" spans="2:9" x14ac:dyDescent="0.3">
      <c r="B766" s="2" t="s">
        <v>772</v>
      </c>
      <c r="C766" s="3">
        <v>44113</v>
      </c>
      <c r="D766" s="2" t="s">
        <v>2011</v>
      </c>
      <c r="E766" s="2" t="s">
        <v>2046</v>
      </c>
      <c r="F766" s="4">
        <v>1866.17</v>
      </c>
      <c r="G766" s="5">
        <v>750.66</v>
      </c>
      <c r="H766" s="6">
        <v>16</v>
      </c>
      <c r="I766" s="2" t="s">
        <v>2116</v>
      </c>
    </row>
    <row r="767" spans="2:9" x14ac:dyDescent="0.3">
      <c r="B767" s="2" t="s">
        <v>773</v>
      </c>
      <c r="C767" s="3">
        <v>44584</v>
      </c>
      <c r="D767" s="2" t="s">
        <v>2010</v>
      </c>
      <c r="E767" s="2" t="s">
        <v>2047</v>
      </c>
      <c r="F767" s="4">
        <v>1401.5</v>
      </c>
      <c r="G767" s="5">
        <v>191.06</v>
      </c>
      <c r="H767" s="6">
        <v>1</v>
      </c>
      <c r="I767" s="2" t="s">
        <v>2118</v>
      </c>
    </row>
    <row r="768" spans="2:9" x14ac:dyDescent="0.3">
      <c r="B768" s="2" t="s">
        <v>774</v>
      </c>
      <c r="C768" s="3">
        <v>45405</v>
      </c>
      <c r="D768" s="2" t="s">
        <v>2009</v>
      </c>
      <c r="E768" s="2" t="s">
        <v>2095</v>
      </c>
      <c r="F768" s="4">
        <v>4354.63</v>
      </c>
      <c r="G768" s="5">
        <v>477.53</v>
      </c>
      <c r="H768" s="6">
        <v>18</v>
      </c>
      <c r="I768" s="2" t="s">
        <v>2117</v>
      </c>
    </row>
    <row r="769" spans="2:9" x14ac:dyDescent="0.3">
      <c r="B769" s="2" t="s">
        <v>775</v>
      </c>
      <c r="C769" s="3">
        <v>44305</v>
      </c>
      <c r="D769" s="2" t="s">
        <v>2011</v>
      </c>
      <c r="E769" s="2" t="s">
        <v>2109</v>
      </c>
      <c r="F769" s="4">
        <v>132.53</v>
      </c>
      <c r="G769" s="5">
        <v>801.55</v>
      </c>
      <c r="H769" s="6">
        <v>16</v>
      </c>
      <c r="I769" s="2" t="s">
        <v>2116</v>
      </c>
    </row>
    <row r="770" spans="2:9" x14ac:dyDescent="0.3">
      <c r="B770" s="2" t="s">
        <v>776</v>
      </c>
      <c r="C770" s="3">
        <v>44238</v>
      </c>
      <c r="D770" s="2" t="s">
        <v>2009</v>
      </c>
      <c r="E770" s="2" t="s">
        <v>2058</v>
      </c>
      <c r="F770" s="4">
        <v>337.82</v>
      </c>
      <c r="G770" s="5">
        <v>708.89</v>
      </c>
      <c r="H770" s="6">
        <v>4</v>
      </c>
      <c r="I770" s="2" t="s">
        <v>2117</v>
      </c>
    </row>
    <row r="771" spans="2:9" x14ac:dyDescent="0.3">
      <c r="B771" s="2" t="s">
        <v>777</v>
      </c>
      <c r="C771" s="3">
        <v>45075</v>
      </c>
      <c r="D771" s="2" t="s">
        <v>2010</v>
      </c>
      <c r="E771" s="2" t="s">
        <v>2041</v>
      </c>
      <c r="F771" s="4">
        <v>2271.19</v>
      </c>
      <c r="G771" s="5">
        <v>250.51</v>
      </c>
      <c r="H771" s="6">
        <v>1</v>
      </c>
      <c r="I771" s="2" t="s">
        <v>2117</v>
      </c>
    </row>
    <row r="772" spans="2:9" x14ac:dyDescent="0.3">
      <c r="B772" s="2" t="s">
        <v>778</v>
      </c>
      <c r="C772" s="3">
        <v>44738</v>
      </c>
      <c r="D772" s="2" t="s">
        <v>2011</v>
      </c>
      <c r="E772" s="2" t="s">
        <v>2024</v>
      </c>
      <c r="F772" s="4">
        <v>173.98</v>
      </c>
      <c r="G772" s="5">
        <v>37.909999999999997</v>
      </c>
      <c r="H772" s="6">
        <v>19</v>
      </c>
      <c r="I772" s="2" t="s">
        <v>2116</v>
      </c>
    </row>
    <row r="773" spans="2:9" x14ac:dyDescent="0.3">
      <c r="B773" s="2" t="s">
        <v>779</v>
      </c>
      <c r="C773" s="3">
        <v>44794</v>
      </c>
      <c r="D773" s="2" t="s">
        <v>2009</v>
      </c>
      <c r="E773" s="2" t="s">
        <v>2045</v>
      </c>
      <c r="F773" s="4">
        <v>1128.97</v>
      </c>
      <c r="G773" s="5">
        <v>345.26</v>
      </c>
      <c r="H773" s="6">
        <v>5</v>
      </c>
      <c r="I773" s="2" t="s">
        <v>2117</v>
      </c>
    </row>
    <row r="774" spans="2:9" x14ac:dyDescent="0.3">
      <c r="B774" s="2" t="s">
        <v>780</v>
      </c>
      <c r="C774" s="3">
        <v>44581</v>
      </c>
      <c r="D774" s="2" t="s">
        <v>2012</v>
      </c>
      <c r="E774" s="2" t="s">
        <v>2034</v>
      </c>
      <c r="F774" s="4">
        <v>67.27</v>
      </c>
      <c r="G774" s="5">
        <v>591.09</v>
      </c>
      <c r="H774" s="6">
        <v>4</v>
      </c>
      <c r="I774" s="2" t="s">
        <v>2117</v>
      </c>
    </row>
    <row r="775" spans="2:9" x14ac:dyDescent="0.3">
      <c r="B775" s="2" t="s">
        <v>781</v>
      </c>
      <c r="C775" s="3">
        <v>44373</v>
      </c>
      <c r="D775" s="2" t="s">
        <v>2010</v>
      </c>
      <c r="E775" s="2" t="s">
        <v>2051</v>
      </c>
      <c r="F775" s="4">
        <v>645.88</v>
      </c>
      <c r="G775" s="5">
        <v>397.57</v>
      </c>
      <c r="H775" s="6">
        <v>15</v>
      </c>
      <c r="I775" s="2" t="s">
        <v>2118</v>
      </c>
    </row>
    <row r="776" spans="2:9" x14ac:dyDescent="0.3">
      <c r="B776" s="2" t="s">
        <v>782</v>
      </c>
      <c r="C776" s="3">
        <v>44416</v>
      </c>
      <c r="D776" s="2" t="s">
        <v>2009</v>
      </c>
      <c r="E776" s="2" t="s">
        <v>2086</v>
      </c>
      <c r="F776" s="4">
        <v>808.05</v>
      </c>
      <c r="G776" s="5">
        <v>523.58000000000004</v>
      </c>
      <c r="H776" s="6">
        <v>14</v>
      </c>
      <c r="I776" s="2" t="s">
        <v>2117</v>
      </c>
    </row>
    <row r="777" spans="2:9" x14ac:dyDescent="0.3">
      <c r="B777" s="2" t="s">
        <v>783</v>
      </c>
      <c r="C777" s="3">
        <v>44750</v>
      </c>
      <c r="D777" s="2" t="s">
        <v>2012</v>
      </c>
      <c r="E777" s="2" t="s">
        <v>2027</v>
      </c>
      <c r="F777" s="4">
        <v>1709.68</v>
      </c>
      <c r="G777" s="5">
        <v>728.07</v>
      </c>
      <c r="H777" s="6">
        <v>11</v>
      </c>
      <c r="I777" s="2" t="s">
        <v>2116</v>
      </c>
    </row>
    <row r="778" spans="2:9" x14ac:dyDescent="0.3">
      <c r="B778" s="2" t="s">
        <v>784</v>
      </c>
      <c r="C778" s="3">
        <v>44440</v>
      </c>
      <c r="D778" s="2" t="s">
        <v>2012</v>
      </c>
      <c r="E778" s="2" t="s">
        <v>2034</v>
      </c>
      <c r="F778" s="4">
        <v>1595.32</v>
      </c>
      <c r="G778" s="5">
        <v>488.95</v>
      </c>
      <c r="H778" s="6">
        <v>4</v>
      </c>
      <c r="I778" s="2" t="s">
        <v>2116</v>
      </c>
    </row>
    <row r="779" spans="2:9" x14ac:dyDescent="0.3">
      <c r="B779" s="2" t="s">
        <v>785</v>
      </c>
      <c r="C779" s="3">
        <v>44262</v>
      </c>
      <c r="D779" s="2" t="s">
        <v>2012</v>
      </c>
      <c r="E779" s="2" t="s">
        <v>2110</v>
      </c>
      <c r="F779" s="4">
        <v>4646.8</v>
      </c>
      <c r="G779" s="5">
        <v>148.56</v>
      </c>
      <c r="H779" s="6">
        <v>2</v>
      </c>
      <c r="I779" s="2" t="s">
        <v>2118</v>
      </c>
    </row>
    <row r="780" spans="2:9" x14ac:dyDescent="0.3">
      <c r="B780" s="2" t="s">
        <v>786</v>
      </c>
      <c r="C780" s="3">
        <v>45015</v>
      </c>
      <c r="D780" s="2" t="s">
        <v>2011</v>
      </c>
      <c r="E780" s="2" t="s">
        <v>2096</v>
      </c>
      <c r="F780" s="4">
        <v>4697.49</v>
      </c>
      <c r="G780" s="5">
        <v>609.64</v>
      </c>
      <c r="H780" s="6">
        <v>8</v>
      </c>
      <c r="I780" s="2" t="s">
        <v>2117</v>
      </c>
    </row>
    <row r="781" spans="2:9" x14ac:dyDescent="0.3">
      <c r="B781" s="2" t="s">
        <v>787</v>
      </c>
      <c r="C781" s="3">
        <v>44622</v>
      </c>
      <c r="D781" s="2" t="s">
        <v>2012</v>
      </c>
      <c r="E781" s="2" t="s">
        <v>2025</v>
      </c>
      <c r="F781" s="4">
        <v>760.41</v>
      </c>
      <c r="G781" s="5">
        <v>909.63</v>
      </c>
      <c r="H781" s="6">
        <v>14</v>
      </c>
      <c r="I781" s="2" t="s">
        <v>2116</v>
      </c>
    </row>
    <row r="782" spans="2:9" x14ac:dyDescent="0.3">
      <c r="B782" s="2" t="s">
        <v>788</v>
      </c>
      <c r="C782" s="3">
        <v>44007</v>
      </c>
      <c r="D782" s="2" t="s">
        <v>2010</v>
      </c>
      <c r="E782" s="2" t="s">
        <v>2070</v>
      </c>
      <c r="F782" s="4">
        <v>3230.8</v>
      </c>
      <c r="G782" s="5">
        <v>132.88</v>
      </c>
      <c r="H782" s="6">
        <v>16</v>
      </c>
      <c r="I782" s="2" t="s">
        <v>2118</v>
      </c>
    </row>
    <row r="783" spans="2:9" x14ac:dyDescent="0.3">
      <c r="B783" s="2" t="s">
        <v>789</v>
      </c>
      <c r="C783" s="3">
        <v>44629</v>
      </c>
      <c r="D783" s="2" t="s">
        <v>2012</v>
      </c>
      <c r="E783" s="2" t="s">
        <v>2037</v>
      </c>
      <c r="F783" s="4">
        <v>563.73</v>
      </c>
      <c r="G783" s="5">
        <v>767.32</v>
      </c>
      <c r="H783" s="6">
        <v>2</v>
      </c>
      <c r="I783" s="2" t="s">
        <v>2116</v>
      </c>
    </row>
    <row r="784" spans="2:9" x14ac:dyDescent="0.3">
      <c r="B784" s="2" t="s">
        <v>790</v>
      </c>
      <c r="C784" s="3">
        <v>43923</v>
      </c>
      <c r="D784" s="2" t="s">
        <v>2011</v>
      </c>
      <c r="E784" s="2" t="s">
        <v>2074</v>
      </c>
      <c r="F784" s="4">
        <v>1040.97</v>
      </c>
      <c r="G784" s="5">
        <v>376.61</v>
      </c>
      <c r="H784" s="6">
        <v>13</v>
      </c>
      <c r="I784" s="2" t="s">
        <v>2118</v>
      </c>
    </row>
    <row r="785" spans="2:9" x14ac:dyDescent="0.3">
      <c r="B785" s="2" t="s">
        <v>791</v>
      </c>
      <c r="C785" s="3">
        <v>44502</v>
      </c>
      <c r="D785" s="2" t="s">
        <v>2009</v>
      </c>
      <c r="E785" s="2" t="s">
        <v>2028</v>
      </c>
      <c r="F785" s="4">
        <v>218.21</v>
      </c>
      <c r="G785" s="5">
        <v>735.77</v>
      </c>
      <c r="H785" s="6">
        <v>17</v>
      </c>
      <c r="I785" s="2" t="s">
        <v>2118</v>
      </c>
    </row>
    <row r="786" spans="2:9" x14ac:dyDescent="0.3">
      <c r="B786" s="2" t="s">
        <v>792</v>
      </c>
      <c r="C786" s="3">
        <v>45290</v>
      </c>
      <c r="D786" s="2" t="s">
        <v>2010</v>
      </c>
      <c r="E786" s="2" t="s">
        <v>2014</v>
      </c>
      <c r="F786" s="4">
        <v>4871.41</v>
      </c>
      <c r="G786" s="5">
        <v>884.63</v>
      </c>
      <c r="H786" s="6">
        <v>11</v>
      </c>
      <c r="I786" s="2" t="s">
        <v>2117</v>
      </c>
    </row>
    <row r="787" spans="2:9" x14ac:dyDescent="0.3">
      <c r="B787" s="2" t="s">
        <v>793</v>
      </c>
      <c r="C787" s="3">
        <v>43995</v>
      </c>
      <c r="D787" s="2" t="s">
        <v>2011</v>
      </c>
      <c r="E787" s="2" t="s">
        <v>2099</v>
      </c>
      <c r="F787" s="4">
        <v>4907.21</v>
      </c>
      <c r="G787" s="5">
        <v>386.45</v>
      </c>
      <c r="H787" s="6">
        <v>8</v>
      </c>
      <c r="I787" s="2" t="s">
        <v>2118</v>
      </c>
    </row>
    <row r="788" spans="2:9" x14ac:dyDescent="0.3">
      <c r="B788" s="2" t="s">
        <v>794</v>
      </c>
      <c r="C788" s="3">
        <v>43855</v>
      </c>
      <c r="D788" s="2" t="s">
        <v>2011</v>
      </c>
      <c r="E788" s="2" t="s">
        <v>2022</v>
      </c>
      <c r="F788" s="4">
        <v>4143.72</v>
      </c>
      <c r="G788" s="5">
        <v>103.17</v>
      </c>
      <c r="H788" s="6">
        <v>8</v>
      </c>
      <c r="I788" s="2" t="s">
        <v>2117</v>
      </c>
    </row>
    <row r="789" spans="2:9" x14ac:dyDescent="0.3">
      <c r="B789" s="2" t="s">
        <v>795</v>
      </c>
      <c r="C789" s="3">
        <v>44329</v>
      </c>
      <c r="D789" s="2" t="s">
        <v>2009</v>
      </c>
      <c r="E789" s="2" t="s">
        <v>2054</v>
      </c>
      <c r="F789" s="4">
        <v>2385.91</v>
      </c>
      <c r="G789" s="5">
        <v>970.71</v>
      </c>
      <c r="H789" s="6">
        <v>11</v>
      </c>
      <c r="I789" s="2" t="s">
        <v>2118</v>
      </c>
    </row>
    <row r="790" spans="2:9" x14ac:dyDescent="0.3">
      <c r="B790" s="2" t="s">
        <v>796</v>
      </c>
      <c r="C790" s="3">
        <v>45478</v>
      </c>
      <c r="D790" s="2" t="s">
        <v>2010</v>
      </c>
      <c r="E790" s="2" t="s">
        <v>2023</v>
      </c>
      <c r="F790" s="4">
        <v>2480.5300000000002</v>
      </c>
      <c r="G790" s="5">
        <v>264.87</v>
      </c>
      <c r="H790" s="6">
        <v>15</v>
      </c>
      <c r="I790" s="2" t="s">
        <v>2116</v>
      </c>
    </row>
    <row r="791" spans="2:9" x14ac:dyDescent="0.3">
      <c r="B791" s="2" t="s">
        <v>797</v>
      </c>
      <c r="C791" s="3">
        <v>44144</v>
      </c>
      <c r="D791" s="2" t="s">
        <v>2011</v>
      </c>
      <c r="E791" s="2" t="s">
        <v>2037</v>
      </c>
      <c r="F791" s="4">
        <v>3748.27</v>
      </c>
      <c r="G791" s="5">
        <v>939.98</v>
      </c>
      <c r="H791" s="6">
        <v>18</v>
      </c>
      <c r="I791" s="2" t="s">
        <v>2116</v>
      </c>
    </row>
    <row r="792" spans="2:9" x14ac:dyDescent="0.3">
      <c r="B792" s="2" t="s">
        <v>798</v>
      </c>
      <c r="C792" s="3">
        <v>45510</v>
      </c>
      <c r="D792" s="2" t="s">
        <v>2012</v>
      </c>
      <c r="E792" s="2" t="s">
        <v>2063</v>
      </c>
      <c r="F792" s="4">
        <v>3035.89</v>
      </c>
      <c r="G792" s="5">
        <v>985.28</v>
      </c>
      <c r="H792" s="6">
        <v>13</v>
      </c>
      <c r="I792" s="2" t="s">
        <v>2118</v>
      </c>
    </row>
    <row r="793" spans="2:9" x14ac:dyDescent="0.3">
      <c r="B793" s="2" t="s">
        <v>799</v>
      </c>
      <c r="C793" s="3">
        <v>45551</v>
      </c>
      <c r="D793" s="2" t="s">
        <v>2012</v>
      </c>
      <c r="E793" s="2" t="s">
        <v>2072</v>
      </c>
      <c r="F793" s="4">
        <v>3983.37</v>
      </c>
      <c r="G793" s="5">
        <v>965.15</v>
      </c>
      <c r="H793" s="6">
        <v>10</v>
      </c>
      <c r="I793" s="2" t="s">
        <v>2116</v>
      </c>
    </row>
    <row r="794" spans="2:9" x14ac:dyDescent="0.3">
      <c r="B794" s="2" t="s">
        <v>800</v>
      </c>
      <c r="C794" s="3">
        <v>44660</v>
      </c>
      <c r="D794" s="2" t="s">
        <v>2011</v>
      </c>
      <c r="E794" s="2" t="s">
        <v>2075</v>
      </c>
      <c r="F794" s="4">
        <v>3991.86</v>
      </c>
      <c r="G794" s="5">
        <v>44.66</v>
      </c>
      <c r="H794" s="6">
        <v>1</v>
      </c>
      <c r="I794" s="2" t="s">
        <v>2118</v>
      </c>
    </row>
    <row r="795" spans="2:9" x14ac:dyDescent="0.3">
      <c r="B795" s="2" t="s">
        <v>801</v>
      </c>
      <c r="C795" s="3">
        <v>44023</v>
      </c>
      <c r="D795" s="2" t="s">
        <v>2009</v>
      </c>
      <c r="E795" s="2" t="s">
        <v>2098</v>
      </c>
      <c r="F795" s="4">
        <v>506.65</v>
      </c>
      <c r="G795" s="5">
        <v>398.12</v>
      </c>
      <c r="H795" s="6">
        <v>13</v>
      </c>
      <c r="I795" s="2" t="s">
        <v>2116</v>
      </c>
    </row>
    <row r="796" spans="2:9" x14ac:dyDescent="0.3">
      <c r="B796" s="2" t="s">
        <v>802</v>
      </c>
      <c r="C796" s="3">
        <v>45469</v>
      </c>
      <c r="D796" s="2" t="s">
        <v>2011</v>
      </c>
      <c r="E796" s="2" t="s">
        <v>2098</v>
      </c>
      <c r="F796" s="4">
        <v>157.46</v>
      </c>
      <c r="G796" s="5">
        <v>424.18</v>
      </c>
      <c r="H796" s="6">
        <v>17</v>
      </c>
      <c r="I796" s="2" t="s">
        <v>2118</v>
      </c>
    </row>
    <row r="797" spans="2:9" x14ac:dyDescent="0.3">
      <c r="B797" s="2" t="s">
        <v>803</v>
      </c>
      <c r="C797" s="3">
        <v>45075</v>
      </c>
      <c r="D797" s="2" t="s">
        <v>2010</v>
      </c>
      <c r="E797" s="2" t="s">
        <v>2084</v>
      </c>
      <c r="F797" s="4">
        <v>2683.52</v>
      </c>
      <c r="G797" s="5">
        <v>74.2</v>
      </c>
      <c r="H797" s="6">
        <v>16</v>
      </c>
      <c r="I797" s="2" t="s">
        <v>2118</v>
      </c>
    </row>
    <row r="798" spans="2:9" x14ac:dyDescent="0.3">
      <c r="B798" s="2" t="s">
        <v>804</v>
      </c>
      <c r="C798" s="3">
        <v>45024</v>
      </c>
      <c r="D798" s="2" t="s">
        <v>2009</v>
      </c>
      <c r="E798" s="2" t="s">
        <v>2080</v>
      </c>
      <c r="F798" s="4">
        <v>113.49</v>
      </c>
      <c r="G798" s="5">
        <v>444.27</v>
      </c>
      <c r="H798" s="6">
        <v>9</v>
      </c>
      <c r="I798" s="2" t="s">
        <v>2118</v>
      </c>
    </row>
    <row r="799" spans="2:9" x14ac:dyDescent="0.3">
      <c r="B799" s="2" t="s">
        <v>805</v>
      </c>
      <c r="C799" s="3">
        <v>44056</v>
      </c>
      <c r="D799" s="2" t="s">
        <v>2012</v>
      </c>
      <c r="E799" s="2" t="s">
        <v>2019</v>
      </c>
      <c r="F799" s="4">
        <v>1648.46</v>
      </c>
      <c r="G799" s="5">
        <v>635.36</v>
      </c>
      <c r="H799" s="6">
        <v>17</v>
      </c>
      <c r="I799" s="2" t="s">
        <v>2116</v>
      </c>
    </row>
    <row r="800" spans="2:9" x14ac:dyDescent="0.3">
      <c r="B800" s="2" t="s">
        <v>806</v>
      </c>
      <c r="C800" s="3">
        <v>44206</v>
      </c>
      <c r="D800" s="2" t="s">
        <v>2010</v>
      </c>
      <c r="E800" s="2" t="s">
        <v>2091</v>
      </c>
      <c r="F800" s="4">
        <v>4126.26</v>
      </c>
      <c r="G800" s="5">
        <v>838.49</v>
      </c>
      <c r="H800" s="6">
        <v>6</v>
      </c>
      <c r="I800" s="2" t="s">
        <v>2118</v>
      </c>
    </row>
    <row r="801" spans="2:9" x14ac:dyDescent="0.3">
      <c r="B801" s="2" t="s">
        <v>807</v>
      </c>
      <c r="C801" s="3">
        <v>43856</v>
      </c>
      <c r="D801" s="2" t="s">
        <v>2012</v>
      </c>
      <c r="E801" s="2" t="s">
        <v>2043</v>
      </c>
      <c r="F801" s="4">
        <v>2264.6</v>
      </c>
      <c r="G801" s="5">
        <v>777.05</v>
      </c>
      <c r="H801" s="6">
        <v>16</v>
      </c>
      <c r="I801" s="2" t="s">
        <v>2116</v>
      </c>
    </row>
    <row r="802" spans="2:9" x14ac:dyDescent="0.3">
      <c r="B802" s="2" t="s">
        <v>808</v>
      </c>
      <c r="C802" s="3">
        <v>44154</v>
      </c>
      <c r="D802" s="2" t="s">
        <v>2011</v>
      </c>
      <c r="E802" s="2" t="s">
        <v>2072</v>
      </c>
      <c r="F802" s="4">
        <v>4982.8900000000003</v>
      </c>
      <c r="G802" s="5">
        <v>396.84</v>
      </c>
      <c r="H802" s="6">
        <v>6</v>
      </c>
      <c r="I802" s="2" t="s">
        <v>2116</v>
      </c>
    </row>
    <row r="803" spans="2:9" x14ac:dyDescent="0.3">
      <c r="B803" s="2" t="s">
        <v>809</v>
      </c>
      <c r="C803" s="3">
        <v>45453</v>
      </c>
      <c r="D803" s="2" t="s">
        <v>2011</v>
      </c>
      <c r="E803" s="2" t="s">
        <v>2016</v>
      </c>
      <c r="F803" s="4">
        <v>3430.68</v>
      </c>
      <c r="G803" s="5">
        <v>658.7</v>
      </c>
      <c r="H803" s="6">
        <v>4</v>
      </c>
      <c r="I803" s="2" t="s">
        <v>2117</v>
      </c>
    </row>
    <row r="804" spans="2:9" x14ac:dyDescent="0.3">
      <c r="B804" s="2" t="s">
        <v>810</v>
      </c>
      <c r="C804" s="3">
        <v>44934</v>
      </c>
      <c r="D804" s="2" t="s">
        <v>2012</v>
      </c>
      <c r="E804" s="2" t="s">
        <v>2051</v>
      </c>
      <c r="F804" s="4">
        <v>1784.53</v>
      </c>
      <c r="G804" s="5">
        <v>204.36</v>
      </c>
      <c r="H804" s="6">
        <v>8</v>
      </c>
      <c r="I804" s="2" t="s">
        <v>2117</v>
      </c>
    </row>
    <row r="805" spans="2:9" x14ac:dyDescent="0.3">
      <c r="B805" s="2" t="s">
        <v>811</v>
      </c>
      <c r="C805" s="3">
        <v>44534</v>
      </c>
      <c r="D805" s="2" t="s">
        <v>2009</v>
      </c>
      <c r="E805" s="2" t="s">
        <v>2027</v>
      </c>
      <c r="F805" s="4">
        <v>4015.19</v>
      </c>
      <c r="G805" s="5">
        <v>527.69000000000005</v>
      </c>
      <c r="H805" s="6">
        <v>10</v>
      </c>
      <c r="I805" s="2" t="s">
        <v>2116</v>
      </c>
    </row>
    <row r="806" spans="2:9" x14ac:dyDescent="0.3">
      <c r="B806" s="2" t="s">
        <v>812</v>
      </c>
      <c r="C806" s="3">
        <v>44332</v>
      </c>
      <c r="D806" s="2" t="s">
        <v>2010</v>
      </c>
      <c r="E806" s="2" t="s">
        <v>2096</v>
      </c>
      <c r="F806" s="4">
        <v>2050.62</v>
      </c>
      <c r="G806" s="5">
        <v>678.2</v>
      </c>
      <c r="H806" s="6">
        <v>11</v>
      </c>
      <c r="I806" s="2" t="s">
        <v>2118</v>
      </c>
    </row>
    <row r="807" spans="2:9" x14ac:dyDescent="0.3">
      <c r="B807" s="2" t="s">
        <v>813</v>
      </c>
      <c r="C807" s="3">
        <v>45247</v>
      </c>
      <c r="D807" s="2" t="s">
        <v>2009</v>
      </c>
      <c r="E807" s="2" t="s">
        <v>2037</v>
      </c>
      <c r="F807" s="4">
        <v>2772.41</v>
      </c>
      <c r="G807" s="5">
        <v>565.88</v>
      </c>
      <c r="H807" s="6">
        <v>19</v>
      </c>
      <c r="I807" s="2" t="s">
        <v>2116</v>
      </c>
    </row>
    <row r="808" spans="2:9" x14ac:dyDescent="0.3">
      <c r="B808" s="2" t="s">
        <v>814</v>
      </c>
      <c r="C808" s="3">
        <v>44692</v>
      </c>
      <c r="D808" s="2" t="s">
        <v>2012</v>
      </c>
      <c r="E808" s="2" t="s">
        <v>2059</v>
      </c>
      <c r="F808" s="4">
        <v>2297.04</v>
      </c>
      <c r="G808" s="5">
        <v>886.95</v>
      </c>
      <c r="H808" s="6">
        <v>16</v>
      </c>
      <c r="I808" s="2" t="s">
        <v>2118</v>
      </c>
    </row>
    <row r="809" spans="2:9" x14ac:dyDescent="0.3">
      <c r="B809" s="2" t="s">
        <v>815</v>
      </c>
      <c r="C809" s="3">
        <v>44902</v>
      </c>
      <c r="D809" s="2" t="s">
        <v>2011</v>
      </c>
      <c r="E809" s="2" t="s">
        <v>2036</v>
      </c>
      <c r="F809" s="4">
        <v>4105.87</v>
      </c>
      <c r="G809" s="5">
        <v>713.69</v>
      </c>
      <c r="H809" s="6">
        <v>6</v>
      </c>
      <c r="I809" s="2" t="s">
        <v>2118</v>
      </c>
    </row>
    <row r="810" spans="2:9" x14ac:dyDescent="0.3">
      <c r="B810" s="2" t="s">
        <v>816</v>
      </c>
      <c r="C810" s="3">
        <v>44878</v>
      </c>
      <c r="D810" s="2" t="s">
        <v>2011</v>
      </c>
      <c r="E810" s="2" t="s">
        <v>2019</v>
      </c>
      <c r="F810" s="4">
        <v>2014.33</v>
      </c>
      <c r="G810" s="5">
        <v>990</v>
      </c>
      <c r="H810" s="6">
        <v>11</v>
      </c>
      <c r="I810" s="2" t="s">
        <v>2117</v>
      </c>
    </row>
    <row r="811" spans="2:9" x14ac:dyDescent="0.3">
      <c r="B811" s="2" t="s">
        <v>817</v>
      </c>
      <c r="C811" s="3">
        <v>45240</v>
      </c>
      <c r="D811" s="2" t="s">
        <v>2012</v>
      </c>
      <c r="E811" s="2" t="s">
        <v>2110</v>
      </c>
      <c r="F811" s="4">
        <v>1825.82</v>
      </c>
      <c r="G811" s="5">
        <v>683.49</v>
      </c>
      <c r="H811" s="6">
        <v>15</v>
      </c>
      <c r="I811" s="2" t="s">
        <v>2118</v>
      </c>
    </row>
    <row r="812" spans="2:9" x14ac:dyDescent="0.3">
      <c r="B812" s="2" t="s">
        <v>818</v>
      </c>
      <c r="C812" s="3">
        <v>44051</v>
      </c>
      <c r="D812" s="2" t="s">
        <v>2009</v>
      </c>
      <c r="E812" s="2" t="s">
        <v>2083</v>
      </c>
      <c r="F812" s="4">
        <v>2962.74</v>
      </c>
      <c r="G812" s="5">
        <v>948.92</v>
      </c>
      <c r="H812" s="6">
        <v>1</v>
      </c>
      <c r="I812" s="2" t="s">
        <v>2118</v>
      </c>
    </row>
    <row r="813" spans="2:9" x14ac:dyDescent="0.3">
      <c r="B813" s="2" t="s">
        <v>819</v>
      </c>
      <c r="C813" s="3">
        <v>44847</v>
      </c>
      <c r="D813" s="2" t="s">
        <v>2009</v>
      </c>
      <c r="E813" s="2" t="s">
        <v>2028</v>
      </c>
      <c r="F813" s="4">
        <v>4226.3</v>
      </c>
      <c r="G813" s="5">
        <v>578.29999999999995</v>
      </c>
      <c r="H813" s="6">
        <v>14</v>
      </c>
      <c r="I813" s="2" t="s">
        <v>2118</v>
      </c>
    </row>
    <row r="814" spans="2:9" x14ac:dyDescent="0.3">
      <c r="B814" s="2" t="s">
        <v>820</v>
      </c>
      <c r="C814" s="3">
        <v>44444</v>
      </c>
      <c r="D814" s="2" t="s">
        <v>2012</v>
      </c>
      <c r="E814" s="2" t="s">
        <v>2037</v>
      </c>
      <c r="F814" s="4">
        <v>183.59</v>
      </c>
      <c r="G814" s="5">
        <v>169.17</v>
      </c>
      <c r="H814" s="6">
        <v>4</v>
      </c>
      <c r="I814" s="2" t="s">
        <v>2116</v>
      </c>
    </row>
    <row r="815" spans="2:9" x14ac:dyDescent="0.3">
      <c r="B815" s="2" t="s">
        <v>821</v>
      </c>
      <c r="C815" s="3">
        <v>45540</v>
      </c>
      <c r="D815" s="2" t="s">
        <v>2011</v>
      </c>
      <c r="E815" s="2" t="s">
        <v>2100</v>
      </c>
      <c r="F815" s="4">
        <v>182.18</v>
      </c>
      <c r="G815" s="5">
        <v>259.27999999999997</v>
      </c>
      <c r="H815" s="6">
        <v>2</v>
      </c>
      <c r="I815" s="2" t="s">
        <v>2118</v>
      </c>
    </row>
    <row r="816" spans="2:9" x14ac:dyDescent="0.3">
      <c r="B816" s="2" t="s">
        <v>822</v>
      </c>
      <c r="C816" s="3">
        <v>44601</v>
      </c>
      <c r="D816" s="2" t="s">
        <v>2009</v>
      </c>
      <c r="E816" s="2" t="s">
        <v>2041</v>
      </c>
      <c r="F816" s="4">
        <v>4100.79</v>
      </c>
      <c r="G816" s="5">
        <v>778.51</v>
      </c>
      <c r="H816" s="6">
        <v>9</v>
      </c>
      <c r="I816" s="2" t="s">
        <v>2117</v>
      </c>
    </row>
    <row r="817" spans="2:9" x14ac:dyDescent="0.3">
      <c r="B817" s="2" t="s">
        <v>823</v>
      </c>
      <c r="C817" s="3">
        <v>44174</v>
      </c>
      <c r="D817" s="2" t="s">
        <v>2011</v>
      </c>
      <c r="E817" s="2" t="s">
        <v>2025</v>
      </c>
      <c r="F817" s="4">
        <v>1065.23</v>
      </c>
      <c r="G817" s="5">
        <v>183.92</v>
      </c>
      <c r="H817" s="6">
        <v>14</v>
      </c>
      <c r="I817" s="2" t="s">
        <v>2116</v>
      </c>
    </row>
    <row r="818" spans="2:9" x14ac:dyDescent="0.3">
      <c r="B818" s="2" t="s">
        <v>824</v>
      </c>
      <c r="C818" s="3">
        <v>44187</v>
      </c>
      <c r="D818" s="2" t="s">
        <v>2010</v>
      </c>
      <c r="E818" s="2" t="s">
        <v>2108</v>
      </c>
      <c r="F818" s="4">
        <v>1245.19</v>
      </c>
      <c r="G818" s="5">
        <v>451.14</v>
      </c>
      <c r="H818" s="6">
        <v>10</v>
      </c>
      <c r="I818" s="2" t="s">
        <v>2118</v>
      </c>
    </row>
    <row r="819" spans="2:9" x14ac:dyDescent="0.3">
      <c r="B819" s="2" t="s">
        <v>825</v>
      </c>
      <c r="C819" s="3">
        <v>45063</v>
      </c>
      <c r="D819" s="2" t="s">
        <v>2012</v>
      </c>
      <c r="E819" s="2" t="s">
        <v>2051</v>
      </c>
      <c r="F819" s="4">
        <v>4016.5</v>
      </c>
      <c r="G819" s="5">
        <v>15.36</v>
      </c>
      <c r="H819" s="6">
        <v>12</v>
      </c>
      <c r="I819" s="2" t="s">
        <v>2118</v>
      </c>
    </row>
    <row r="820" spans="2:9" x14ac:dyDescent="0.3">
      <c r="B820" s="2" t="s">
        <v>826</v>
      </c>
      <c r="C820" s="3">
        <v>44737</v>
      </c>
      <c r="D820" s="2" t="s">
        <v>2012</v>
      </c>
      <c r="E820" s="2" t="s">
        <v>2017</v>
      </c>
      <c r="F820" s="4">
        <v>4015.14</v>
      </c>
      <c r="G820" s="5">
        <v>486.95</v>
      </c>
      <c r="H820" s="6">
        <v>15</v>
      </c>
      <c r="I820" s="2" t="s">
        <v>2116</v>
      </c>
    </row>
    <row r="821" spans="2:9" x14ac:dyDescent="0.3">
      <c r="B821" s="2" t="s">
        <v>827</v>
      </c>
      <c r="C821" s="3">
        <v>44639</v>
      </c>
      <c r="D821" s="2" t="s">
        <v>2009</v>
      </c>
      <c r="E821" s="2" t="s">
        <v>2028</v>
      </c>
      <c r="F821" s="4">
        <v>4166.99</v>
      </c>
      <c r="G821" s="5">
        <v>800.24</v>
      </c>
      <c r="H821" s="6">
        <v>11</v>
      </c>
      <c r="I821" s="2" t="s">
        <v>2117</v>
      </c>
    </row>
    <row r="822" spans="2:9" x14ac:dyDescent="0.3">
      <c r="B822" s="2" t="s">
        <v>828</v>
      </c>
      <c r="C822" s="3">
        <v>45280</v>
      </c>
      <c r="D822" s="2" t="s">
        <v>2012</v>
      </c>
      <c r="E822" s="2" t="s">
        <v>2045</v>
      </c>
      <c r="F822" s="4">
        <v>445.31</v>
      </c>
      <c r="G822" s="5">
        <v>15.17</v>
      </c>
      <c r="H822" s="6">
        <v>10</v>
      </c>
      <c r="I822" s="2" t="s">
        <v>2116</v>
      </c>
    </row>
    <row r="823" spans="2:9" x14ac:dyDescent="0.3">
      <c r="B823" s="2" t="s">
        <v>829</v>
      </c>
      <c r="C823" s="3">
        <v>44306</v>
      </c>
      <c r="D823" s="2" t="s">
        <v>2009</v>
      </c>
      <c r="E823" s="2" t="s">
        <v>2040</v>
      </c>
      <c r="F823" s="4">
        <v>3939.14</v>
      </c>
      <c r="G823" s="5">
        <v>86.49</v>
      </c>
      <c r="H823" s="6">
        <v>12</v>
      </c>
      <c r="I823" s="2" t="s">
        <v>2118</v>
      </c>
    </row>
    <row r="824" spans="2:9" x14ac:dyDescent="0.3">
      <c r="B824" s="2" t="s">
        <v>830</v>
      </c>
      <c r="C824" s="3">
        <v>44537</v>
      </c>
      <c r="D824" s="2" t="s">
        <v>2011</v>
      </c>
      <c r="E824" s="2" t="s">
        <v>2077</v>
      </c>
      <c r="F824" s="4">
        <v>901.69</v>
      </c>
      <c r="G824" s="5">
        <v>438.77</v>
      </c>
      <c r="H824" s="6">
        <v>9</v>
      </c>
      <c r="I824" s="2" t="s">
        <v>2118</v>
      </c>
    </row>
    <row r="825" spans="2:9" x14ac:dyDescent="0.3">
      <c r="B825" s="2" t="s">
        <v>831</v>
      </c>
      <c r="C825" s="3">
        <v>45149</v>
      </c>
      <c r="D825" s="2" t="s">
        <v>2011</v>
      </c>
      <c r="E825" s="2" t="s">
        <v>2020</v>
      </c>
      <c r="F825" s="4">
        <v>4416.37</v>
      </c>
      <c r="G825" s="5">
        <v>980.94</v>
      </c>
      <c r="H825" s="6">
        <v>10</v>
      </c>
      <c r="I825" s="2" t="s">
        <v>2116</v>
      </c>
    </row>
    <row r="826" spans="2:9" x14ac:dyDescent="0.3">
      <c r="B826" s="2" t="s">
        <v>832</v>
      </c>
      <c r="C826" s="3">
        <v>44413</v>
      </c>
      <c r="D826" s="2" t="s">
        <v>2009</v>
      </c>
      <c r="E826" s="2" t="s">
        <v>2063</v>
      </c>
      <c r="F826" s="4">
        <v>3257.42</v>
      </c>
      <c r="G826" s="5">
        <v>851.55</v>
      </c>
      <c r="H826" s="6">
        <v>18</v>
      </c>
      <c r="I826" s="2" t="s">
        <v>2117</v>
      </c>
    </row>
    <row r="827" spans="2:9" x14ac:dyDescent="0.3">
      <c r="B827" s="2" t="s">
        <v>833</v>
      </c>
      <c r="C827" s="3">
        <v>44058</v>
      </c>
      <c r="D827" s="2" t="s">
        <v>2009</v>
      </c>
      <c r="E827" s="2" t="s">
        <v>2065</v>
      </c>
      <c r="F827" s="4">
        <v>4760.43</v>
      </c>
      <c r="G827" s="5">
        <v>179.58</v>
      </c>
      <c r="H827" s="6">
        <v>15</v>
      </c>
      <c r="I827" s="2" t="s">
        <v>2117</v>
      </c>
    </row>
    <row r="828" spans="2:9" x14ac:dyDescent="0.3">
      <c r="B828" s="2" t="s">
        <v>834</v>
      </c>
      <c r="C828" s="3">
        <v>45012</v>
      </c>
      <c r="D828" s="2" t="s">
        <v>2009</v>
      </c>
      <c r="E828" s="2" t="s">
        <v>2095</v>
      </c>
      <c r="F828" s="4">
        <v>2575.96</v>
      </c>
      <c r="G828" s="5">
        <v>770.97</v>
      </c>
      <c r="H828" s="6">
        <v>3</v>
      </c>
      <c r="I828" s="2" t="s">
        <v>2117</v>
      </c>
    </row>
    <row r="829" spans="2:9" x14ac:dyDescent="0.3">
      <c r="B829" s="2" t="s">
        <v>835</v>
      </c>
      <c r="C829" s="3">
        <v>45230</v>
      </c>
      <c r="D829" s="2" t="s">
        <v>2010</v>
      </c>
      <c r="E829" s="2" t="s">
        <v>2107</v>
      </c>
      <c r="F829" s="4">
        <v>3755.49</v>
      </c>
      <c r="G829" s="5">
        <v>955.56</v>
      </c>
      <c r="H829" s="6">
        <v>17</v>
      </c>
      <c r="I829" s="2" t="s">
        <v>2116</v>
      </c>
    </row>
    <row r="830" spans="2:9" x14ac:dyDescent="0.3">
      <c r="B830" s="2" t="s">
        <v>836</v>
      </c>
      <c r="C830" s="3">
        <v>43980</v>
      </c>
      <c r="D830" s="2" t="s">
        <v>2010</v>
      </c>
      <c r="E830" s="2" t="s">
        <v>2044</v>
      </c>
      <c r="F830" s="4">
        <v>2821.2</v>
      </c>
      <c r="G830" s="5">
        <v>603.79</v>
      </c>
      <c r="H830" s="6">
        <v>18</v>
      </c>
      <c r="I830" s="2" t="s">
        <v>2117</v>
      </c>
    </row>
    <row r="831" spans="2:9" x14ac:dyDescent="0.3">
      <c r="B831" s="2" t="s">
        <v>837</v>
      </c>
      <c r="C831" s="3">
        <v>44821</v>
      </c>
      <c r="D831" s="2" t="s">
        <v>2009</v>
      </c>
      <c r="E831" s="2" t="s">
        <v>2089</v>
      </c>
      <c r="F831" s="4">
        <v>547.61</v>
      </c>
      <c r="G831" s="5">
        <v>286.72000000000003</v>
      </c>
      <c r="H831" s="6">
        <v>13</v>
      </c>
      <c r="I831" s="2" t="s">
        <v>2118</v>
      </c>
    </row>
    <row r="832" spans="2:9" x14ac:dyDescent="0.3">
      <c r="B832" s="2" t="s">
        <v>838</v>
      </c>
      <c r="C832" s="3">
        <v>44490</v>
      </c>
      <c r="D832" s="2" t="s">
        <v>2011</v>
      </c>
      <c r="E832" s="2" t="s">
        <v>2068</v>
      </c>
      <c r="F832" s="4">
        <v>1345.71</v>
      </c>
      <c r="G832" s="5">
        <v>673.41</v>
      </c>
      <c r="H832" s="6">
        <v>2</v>
      </c>
      <c r="I832" s="2" t="s">
        <v>2118</v>
      </c>
    </row>
    <row r="833" spans="2:9" x14ac:dyDescent="0.3">
      <c r="B833" s="2" t="s">
        <v>839</v>
      </c>
      <c r="C833" s="3">
        <v>44149</v>
      </c>
      <c r="D833" s="2" t="s">
        <v>2009</v>
      </c>
      <c r="E833" s="2" t="s">
        <v>2083</v>
      </c>
      <c r="F833" s="4">
        <v>4341.67</v>
      </c>
      <c r="G833" s="5">
        <v>75.819999999999993</v>
      </c>
      <c r="H833" s="6">
        <v>8</v>
      </c>
      <c r="I833" s="2" t="s">
        <v>2116</v>
      </c>
    </row>
    <row r="834" spans="2:9" x14ac:dyDescent="0.3">
      <c r="B834" s="2" t="s">
        <v>840</v>
      </c>
      <c r="C834" s="3">
        <v>45268</v>
      </c>
      <c r="D834" s="2" t="s">
        <v>2009</v>
      </c>
      <c r="E834" s="2" t="s">
        <v>2013</v>
      </c>
      <c r="F834" s="4">
        <v>2747.85</v>
      </c>
      <c r="G834" s="5">
        <v>276.94</v>
      </c>
      <c r="H834" s="6">
        <v>12</v>
      </c>
      <c r="I834" s="2" t="s">
        <v>2116</v>
      </c>
    </row>
    <row r="835" spans="2:9" x14ac:dyDescent="0.3">
      <c r="B835" s="2" t="s">
        <v>841</v>
      </c>
      <c r="C835" s="3">
        <v>44523</v>
      </c>
      <c r="D835" s="2" t="s">
        <v>2009</v>
      </c>
      <c r="E835" s="2" t="s">
        <v>2080</v>
      </c>
      <c r="F835" s="4">
        <v>2052.84</v>
      </c>
      <c r="G835" s="5">
        <v>200.44</v>
      </c>
      <c r="H835" s="6">
        <v>7</v>
      </c>
      <c r="I835" s="2" t="s">
        <v>2118</v>
      </c>
    </row>
    <row r="836" spans="2:9" x14ac:dyDescent="0.3">
      <c r="B836" s="2" t="s">
        <v>842</v>
      </c>
      <c r="C836" s="3">
        <v>44180</v>
      </c>
      <c r="D836" s="2" t="s">
        <v>2010</v>
      </c>
      <c r="E836" s="2" t="s">
        <v>2061</v>
      </c>
      <c r="F836" s="4">
        <v>2623.84</v>
      </c>
      <c r="G836" s="5">
        <v>692.04</v>
      </c>
      <c r="H836" s="6">
        <v>14</v>
      </c>
      <c r="I836" s="2" t="s">
        <v>2116</v>
      </c>
    </row>
    <row r="837" spans="2:9" x14ac:dyDescent="0.3">
      <c r="B837" s="2" t="s">
        <v>843</v>
      </c>
      <c r="C837" s="3">
        <v>44314</v>
      </c>
      <c r="D837" s="2" t="s">
        <v>2012</v>
      </c>
      <c r="E837" s="2" t="s">
        <v>2108</v>
      </c>
      <c r="F837" s="4">
        <v>4245.88</v>
      </c>
      <c r="G837" s="5">
        <v>212.88</v>
      </c>
      <c r="H837" s="6">
        <v>13</v>
      </c>
      <c r="I837" s="2" t="s">
        <v>2116</v>
      </c>
    </row>
    <row r="838" spans="2:9" x14ac:dyDescent="0.3">
      <c r="B838" s="2" t="s">
        <v>844</v>
      </c>
      <c r="C838" s="3">
        <v>44018</v>
      </c>
      <c r="D838" s="2" t="s">
        <v>2009</v>
      </c>
      <c r="E838" s="2" t="s">
        <v>2076</v>
      </c>
      <c r="F838" s="4">
        <v>360.58</v>
      </c>
      <c r="G838" s="5">
        <v>10.86</v>
      </c>
      <c r="H838" s="6">
        <v>11</v>
      </c>
      <c r="I838" s="2" t="s">
        <v>2117</v>
      </c>
    </row>
    <row r="839" spans="2:9" x14ac:dyDescent="0.3">
      <c r="B839" s="2" t="s">
        <v>845</v>
      </c>
      <c r="C839" s="3">
        <v>43912</v>
      </c>
      <c r="D839" s="2" t="s">
        <v>2011</v>
      </c>
      <c r="E839" s="2" t="s">
        <v>2020</v>
      </c>
      <c r="F839" s="4">
        <v>1786.23</v>
      </c>
      <c r="G839" s="5">
        <v>127.93</v>
      </c>
      <c r="H839" s="6">
        <v>11</v>
      </c>
      <c r="I839" s="2" t="s">
        <v>2117</v>
      </c>
    </row>
    <row r="840" spans="2:9" x14ac:dyDescent="0.3">
      <c r="B840" s="2" t="s">
        <v>846</v>
      </c>
      <c r="C840" s="3">
        <v>44836</v>
      </c>
      <c r="D840" s="2" t="s">
        <v>2010</v>
      </c>
      <c r="E840" s="2" t="s">
        <v>2034</v>
      </c>
      <c r="F840" s="4">
        <v>775</v>
      </c>
      <c r="G840" s="5">
        <v>457.09</v>
      </c>
      <c r="H840" s="6">
        <v>16</v>
      </c>
      <c r="I840" s="2" t="s">
        <v>2117</v>
      </c>
    </row>
    <row r="841" spans="2:9" x14ac:dyDescent="0.3">
      <c r="B841" s="2" t="s">
        <v>847</v>
      </c>
      <c r="C841" s="3">
        <v>43913</v>
      </c>
      <c r="D841" s="2" t="s">
        <v>2009</v>
      </c>
      <c r="E841" s="2" t="s">
        <v>2079</v>
      </c>
      <c r="F841" s="4">
        <v>1181.45</v>
      </c>
      <c r="G841" s="5">
        <v>278.07</v>
      </c>
      <c r="H841" s="6">
        <v>18</v>
      </c>
      <c r="I841" s="2" t="s">
        <v>2117</v>
      </c>
    </row>
    <row r="842" spans="2:9" x14ac:dyDescent="0.3">
      <c r="B842" s="2" t="s">
        <v>848</v>
      </c>
      <c r="C842" s="3">
        <v>45560</v>
      </c>
      <c r="D842" s="2" t="s">
        <v>2012</v>
      </c>
      <c r="E842" s="2" t="s">
        <v>2033</v>
      </c>
      <c r="F842" s="4">
        <v>4164.57</v>
      </c>
      <c r="G842" s="5">
        <v>54.44</v>
      </c>
      <c r="H842" s="6">
        <v>13</v>
      </c>
      <c r="I842" s="2" t="s">
        <v>2117</v>
      </c>
    </row>
    <row r="843" spans="2:9" x14ac:dyDescent="0.3">
      <c r="B843" s="2" t="s">
        <v>849</v>
      </c>
      <c r="C843" s="3">
        <v>44332</v>
      </c>
      <c r="D843" s="2" t="s">
        <v>2012</v>
      </c>
      <c r="E843" s="2" t="s">
        <v>2080</v>
      </c>
      <c r="F843" s="4">
        <v>648.25</v>
      </c>
      <c r="G843" s="5">
        <v>146.19999999999999</v>
      </c>
      <c r="H843" s="6">
        <v>6</v>
      </c>
      <c r="I843" s="2" t="s">
        <v>2116</v>
      </c>
    </row>
    <row r="844" spans="2:9" x14ac:dyDescent="0.3">
      <c r="B844" s="2" t="s">
        <v>850</v>
      </c>
      <c r="C844" s="3">
        <v>43931</v>
      </c>
      <c r="D844" s="2" t="s">
        <v>2012</v>
      </c>
      <c r="E844" s="2" t="s">
        <v>2087</v>
      </c>
      <c r="F844" s="4">
        <v>1121.46</v>
      </c>
      <c r="G844" s="5">
        <v>983.76</v>
      </c>
      <c r="H844" s="6">
        <v>6</v>
      </c>
      <c r="I844" s="2" t="s">
        <v>2117</v>
      </c>
    </row>
    <row r="845" spans="2:9" x14ac:dyDescent="0.3">
      <c r="B845" s="2" t="s">
        <v>851</v>
      </c>
      <c r="C845" s="3">
        <v>44697</v>
      </c>
      <c r="D845" s="2" t="s">
        <v>2009</v>
      </c>
      <c r="E845" s="2" t="s">
        <v>2066</v>
      </c>
      <c r="F845" s="4">
        <v>4938.45</v>
      </c>
      <c r="G845" s="5">
        <v>901.84</v>
      </c>
      <c r="H845" s="6">
        <v>7</v>
      </c>
      <c r="I845" s="2" t="s">
        <v>2118</v>
      </c>
    </row>
    <row r="846" spans="2:9" x14ac:dyDescent="0.3">
      <c r="B846" s="2" t="s">
        <v>852</v>
      </c>
      <c r="C846" s="3">
        <v>44607</v>
      </c>
      <c r="D846" s="2" t="s">
        <v>2011</v>
      </c>
      <c r="E846" s="2" t="s">
        <v>2110</v>
      </c>
      <c r="F846" s="4">
        <v>1605.35</v>
      </c>
      <c r="G846" s="5">
        <v>926.99</v>
      </c>
      <c r="H846" s="6">
        <v>4</v>
      </c>
      <c r="I846" s="2" t="s">
        <v>2117</v>
      </c>
    </row>
    <row r="847" spans="2:9" x14ac:dyDescent="0.3">
      <c r="B847" s="2" t="s">
        <v>853</v>
      </c>
      <c r="C847" s="3">
        <v>44945</v>
      </c>
      <c r="D847" s="2" t="s">
        <v>2010</v>
      </c>
      <c r="E847" s="2" t="s">
        <v>2068</v>
      </c>
      <c r="F847" s="4">
        <v>4399.1899999999996</v>
      </c>
      <c r="G847" s="5">
        <v>332.58</v>
      </c>
      <c r="H847" s="6">
        <v>19</v>
      </c>
      <c r="I847" s="2" t="s">
        <v>2116</v>
      </c>
    </row>
    <row r="848" spans="2:9" x14ac:dyDescent="0.3">
      <c r="B848" s="2" t="s">
        <v>854</v>
      </c>
      <c r="C848" s="3">
        <v>44974</v>
      </c>
      <c r="D848" s="2" t="s">
        <v>2010</v>
      </c>
      <c r="E848" s="2" t="s">
        <v>2030</v>
      </c>
      <c r="F848" s="4">
        <v>1269.52</v>
      </c>
      <c r="G848" s="5">
        <v>864.36</v>
      </c>
      <c r="H848" s="6">
        <v>17</v>
      </c>
      <c r="I848" s="2" t="s">
        <v>2117</v>
      </c>
    </row>
    <row r="849" spans="2:9" x14ac:dyDescent="0.3">
      <c r="B849" s="2" t="s">
        <v>855</v>
      </c>
      <c r="C849" s="3">
        <v>43882</v>
      </c>
      <c r="D849" s="2" t="s">
        <v>2010</v>
      </c>
      <c r="E849" s="2" t="s">
        <v>2015</v>
      </c>
      <c r="F849" s="4">
        <v>116.54</v>
      </c>
      <c r="G849" s="5">
        <v>485.08</v>
      </c>
      <c r="H849" s="6">
        <v>10</v>
      </c>
      <c r="I849" s="2" t="s">
        <v>2118</v>
      </c>
    </row>
    <row r="850" spans="2:9" x14ac:dyDescent="0.3">
      <c r="B850" s="2" t="s">
        <v>856</v>
      </c>
      <c r="C850" s="3">
        <v>43982</v>
      </c>
      <c r="D850" s="2" t="s">
        <v>2010</v>
      </c>
      <c r="E850" s="2" t="s">
        <v>2104</v>
      </c>
      <c r="F850" s="4">
        <v>1725.71</v>
      </c>
      <c r="G850" s="5">
        <v>838.28</v>
      </c>
      <c r="H850" s="6">
        <v>4</v>
      </c>
      <c r="I850" s="2" t="s">
        <v>2116</v>
      </c>
    </row>
    <row r="851" spans="2:9" x14ac:dyDescent="0.3">
      <c r="B851" s="2" t="s">
        <v>857</v>
      </c>
      <c r="C851" s="3">
        <v>45504</v>
      </c>
      <c r="D851" s="2" t="s">
        <v>2009</v>
      </c>
      <c r="E851" s="2" t="s">
        <v>2081</v>
      </c>
      <c r="F851" s="4">
        <v>4219.8900000000003</v>
      </c>
      <c r="G851" s="5">
        <v>998.33</v>
      </c>
      <c r="H851" s="6">
        <v>11</v>
      </c>
      <c r="I851" s="2" t="s">
        <v>2118</v>
      </c>
    </row>
    <row r="852" spans="2:9" x14ac:dyDescent="0.3">
      <c r="B852" s="2" t="s">
        <v>858</v>
      </c>
      <c r="C852" s="3">
        <v>44472</v>
      </c>
      <c r="D852" s="2" t="s">
        <v>2009</v>
      </c>
      <c r="E852" s="2" t="s">
        <v>2052</v>
      </c>
      <c r="F852" s="4">
        <v>1311.14</v>
      </c>
      <c r="G852" s="5">
        <v>118.05</v>
      </c>
      <c r="H852" s="6">
        <v>15</v>
      </c>
      <c r="I852" s="2" t="s">
        <v>2116</v>
      </c>
    </row>
    <row r="853" spans="2:9" x14ac:dyDescent="0.3">
      <c r="B853" s="2" t="s">
        <v>859</v>
      </c>
      <c r="C853" s="3">
        <v>44193</v>
      </c>
      <c r="D853" s="2" t="s">
        <v>2010</v>
      </c>
      <c r="E853" s="2" t="s">
        <v>2097</v>
      </c>
      <c r="F853" s="4">
        <v>2428.88</v>
      </c>
      <c r="G853" s="5">
        <v>254.88</v>
      </c>
      <c r="H853" s="6">
        <v>14</v>
      </c>
      <c r="I853" s="2" t="s">
        <v>2116</v>
      </c>
    </row>
    <row r="854" spans="2:9" x14ac:dyDescent="0.3">
      <c r="B854" s="2" t="s">
        <v>860</v>
      </c>
      <c r="C854" s="3">
        <v>45549</v>
      </c>
      <c r="D854" s="2" t="s">
        <v>2010</v>
      </c>
      <c r="E854" s="2" t="s">
        <v>2098</v>
      </c>
      <c r="F854" s="4">
        <v>771.83</v>
      </c>
      <c r="G854" s="5">
        <v>904.41</v>
      </c>
      <c r="H854" s="6">
        <v>6</v>
      </c>
      <c r="I854" s="2" t="s">
        <v>2118</v>
      </c>
    </row>
    <row r="855" spans="2:9" x14ac:dyDescent="0.3">
      <c r="B855" s="2" t="s">
        <v>861</v>
      </c>
      <c r="C855" s="3">
        <v>43972</v>
      </c>
      <c r="D855" s="2" t="s">
        <v>2012</v>
      </c>
      <c r="E855" s="2" t="s">
        <v>2029</v>
      </c>
      <c r="F855" s="4">
        <v>4513.01</v>
      </c>
      <c r="G855" s="5">
        <v>151.85</v>
      </c>
      <c r="H855" s="6">
        <v>17</v>
      </c>
      <c r="I855" s="2" t="s">
        <v>2116</v>
      </c>
    </row>
    <row r="856" spans="2:9" x14ac:dyDescent="0.3">
      <c r="B856" s="2" t="s">
        <v>862</v>
      </c>
      <c r="C856" s="3">
        <v>43894</v>
      </c>
      <c r="D856" s="2" t="s">
        <v>2011</v>
      </c>
      <c r="E856" s="2" t="s">
        <v>2050</v>
      </c>
      <c r="F856" s="4">
        <v>3682.54</v>
      </c>
      <c r="G856" s="5">
        <v>430.24</v>
      </c>
      <c r="H856" s="6">
        <v>14</v>
      </c>
      <c r="I856" s="2" t="s">
        <v>2116</v>
      </c>
    </row>
    <row r="857" spans="2:9" x14ac:dyDescent="0.3">
      <c r="B857" s="2" t="s">
        <v>863</v>
      </c>
      <c r="C857" s="3">
        <v>44944</v>
      </c>
      <c r="D857" s="2" t="s">
        <v>2012</v>
      </c>
      <c r="E857" s="2" t="s">
        <v>2029</v>
      </c>
      <c r="F857" s="4">
        <v>2587.35</v>
      </c>
      <c r="G857" s="5">
        <v>85.51</v>
      </c>
      <c r="H857" s="6">
        <v>6</v>
      </c>
      <c r="I857" s="2" t="s">
        <v>2116</v>
      </c>
    </row>
    <row r="858" spans="2:9" x14ac:dyDescent="0.3">
      <c r="B858" s="2" t="s">
        <v>864</v>
      </c>
      <c r="C858" s="3">
        <v>43951</v>
      </c>
      <c r="D858" s="2" t="s">
        <v>2010</v>
      </c>
      <c r="E858" s="2" t="s">
        <v>2038</v>
      </c>
      <c r="F858" s="4">
        <v>861.2</v>
      </c>
      <c r="G858" s="5">
        <v>996.88</v>
      </c>
      <c r="H858" s="6">
        <v>11</v>
      </c>
      <c r="I858" s="2" t="s">
        <v>2117</v>
      </c>
    </row>
    <row r="859" spans="2:9" x14ac:dyDescent="0.3">
      <c r="B859" s="2" t="s">
        <v>865</v>
      </c>
      <c r="C859" s="3">
        <v>44900</v>
      </c>
      <c r="D859" s="2" t="s">
        <v>2009</v>
      </c>
      <c r="E859" s="2" t="s">
        <v>2020</v>
      </c>
      <c r="F859" s="4">
        <v>3736.87</v>
      </c>
      <c r="G859" s="5">
        <v>725.05</v>
      </c>
      <c r="H859" s="6">
        <v>14</v>
      </c>
      <c r="I859" s="2" t="s">
        <v>2117</v>
      </c>
    </row>
    <row r="860" spans="2:9" x14ac:dyDescent="0.3">
      <c r="B860" s="2" t="s">
        <v>866</v>
      </c>
      <c r="C860" s="3">
        <v>45333</v>
      </c>
      <c r="D860" s="2" t="s">
        <v>2009</v>
      </c>
      <c r="E860" s="2" t="s">
        <v>2050</v>
      </c>
      <c r="F860" s="4">
        <v>3040.15</v>
      </c>
      <c r="G860" s="5">
        <v>636.61</v>
      </c>
      <c r="H860" s="6">
        <v>10</v>
      </c>
      <c r="I860" s="2" t="s">
        <v>2118</v>
      </c>
    </row>
    <row r="861" spans="2:9" x14ac:dyDescent="0.3">
      <c r="B861" s="2" t="s">
        <v>867</v>
      </c>
      <c r="C861" s="3">
        <v>45163</v>
      </c>
      <c r="D861" s="2" t="s">
        <v>2009</v>
      </c>
      <c r="E861" s="2" t="s">
        <v>2046</v>
      </c>
      <c r="F861" s="4">
        <v>4105.59</v>
      </c>
      <c r="G861" s="5">
        <v>744.51</v>
      </c>
      <c r="H861" s="6">
        <v>8</v>
      </c>
      <c r="I861" s="2" t="s">
        <v>2117</v>
      </c>
    </row>
    <row r="862" spans="2:9" x14ac:dyDescent="0.3">
      <c r="B862" s="2" t="s">
        <v>868</v>
      </c>
      <c r="C862" s="3">
        <v>43897</v>
      </c>
      <c r="D862" s="2" t="s">
        <v>2012</v>
      </c>
      <c r="E862" s="2" t="s">
        <v>2049</v>
      </c>
      <c r="F862" s="4">
        <v>2291.9499999999998</v>
      </c>
      <c r="G862" s="5">
        <v>63.32</v>
      </c>
      <c r="H862" s="6">
        <v>1</v>
      </c>
      <c r="I862" s="2" t="s">
        <v>2118</v>
      </c>
    </row>
    <row r="863" spans="2:9" x14ac:dyDescent="0.3">
      <c r="B863" s="2" t="s">
        <v>869</v>
      </c>
      <c r="C863" s="3">
        <v>45512</v>
      </c>
      <c r="D863" s="2" t="s">
        <v>2009</v>
      </c>
      <c r="E863" s="2" t="s">
        <v>2028</v>
      </c>
      <c r="F863" s="4">
        <v>1991.21</v>
      </c>
      <c r="G863" s="5">
        <v>849.4</v>
      </c>
      <c r="H863" s="6">
        <v>7</v>
      </c>
      <c r="I863" s="2" t="s">
        <v>2118</v>
      </c>
    </row>
    <row r="864" spans="2:9" x14ac:dyDescent="0.3">
      <c r="B864" s="2" t="s">
        <v>870</v>
      </c>
      <c r="C864" s="3">
        <v>45599</v>
      </c>
      <c r="D864" s="2" t="s">
        <v>2010</v>
      </c>
      <c r="E864" s="2" t="s">
        <v>2087</v>
      </c>
      <c r="F864" s="4">
        <v>150.9</v>
      </c>
      <c r="G864" s="5">
        <v>709.11</v>
      </c>
      <c r="H864" s="6">
        <v>18</v>
      </c>
      <c r="I864" s="2" t="s">
        <v>2118</v>
      </c>
    </row>
    <row r="865" spans="2:9" x14ac:dyDescent="0.3">
      <c r="B865" s="2" t="s">
        <v>871</v>
      </c>
      <c r="C865" s="3">
        <v>44945</v>
      </c>
      <c r="D865" s="2" t="s">
        <v>2010</v>
      </c>
      <c r="E865" s="2" t="s">
        <v>2092</v>
      </c>
      <c r="F865" s="4">
        <v>4970.47</v>
      </c>
      <c r="G865" s="5">
        <v>256.35000000000002</v>
      </c>
      <c r="H865" s="6">
        <v>12</v>
      </c>
      <c r="I865" s="2" t="s">
        <v>2116</v>
      </c>
    </row>
    <row r="866" spans="2:9" x14ac:dyDescent="0.3">
      <c r="B866" s="2" t="s">
        <v>872</v>
      </c>
      <c r="C866" s="3">
        <v>45449</v>
      </c>
      <c r="D866" s="2" t="s">
        <v>2011</v>
      </c>
      <c r="E866" s="2" t="s">
        <v>2105</v>
      </c>
      <c r="F866" s="4">
        <v>3409.97</v>
      </c>
      <c r="G866" s="5">
        <v>891.71</v>
      </c>
      <c r="H866" s="6">
        <v>2</v>
      </c>
      <c r="I866" s="2" t="s">
        <v>2116</v>
      </c>
    </row>
    <row r="867" spans="2:9" x14ac:dyDescent="0.3">
      <c r="B867" s="2" t="s">
        <v>873</v>
      </c>
      <c r="C867" s="3">
        <v>44632</v>
      </c>
      <c r="D867" s="2" t="s">
        <v>2011</v>
      </c>
      <c r="E867" s="2" t="s">
        <v>2053</v>
      </c>
      <c r="F867" s="4">
        <v>3360.71</v>
      </c>
      <c r="G867" s="5">
        <v>915.78</v>
      </c>
      <c r="H867" s="6">
        <v>13</v>
      </c>
      <c r="I867" s="2" t="s">
        <v>2116</v>
      </c>
    </row>
    <row r="868" spans="2:9" x14ac:dyDescent="0.3">
      <c r="B868" s="2" t="s">
        <v>874</v>
      </c>
      <c r="C868" s="3">
        <v>44201</v>
      </c>
      <c r="D868" s="2" t="s">
        <v>2012</v>
      </c>
      <c r="E868" s="2" t="s">
        <v>2057</v>
      </c>
      <c r="F868" s="4">
        <v>221.61</v>
      </c>
      <c r="G868" s="5">
        <v>372.44</v>
      </c>
      <c r="H868" s="6">
        <v>12</v>
      </c>
      <c r="I868" s="2" t="s">
        <v>2117</v>
      </c>
    </row>
    <row r="869" spans="2:9" x14ac:dyDescent="0.3">
      <c r="B869" s="2" t="s">
        <v>875</v>
      </c>
      <c r="C869" s="3">
        <v>45365</v>
      </c>
      <c r="D869" s="2" t="s">
        <v>2009</v>
      </c>
      <c r="E869" s="2" t="s">
        <v>2063</v>
      </c>
      <c r="F869" s="4">
        <v>4546.68</v>
      </c>
      <c r="G869" s="5">
        <v>981.94</v>
      </c>
      <c r="H869" s="6">
        <v>11</v>
      </c>
      <c r="I869" s="2" t="s">
        <v>2118</v>
      </c>
    </row>
    <row r="870" spans="2:9" x14ac:dyDescent="0.3">
      <c r="B870" s="2" t="s">
        <v>876</v>
      </c>
      <c r="C870" s="3">
        <v>45108</v>
      </c>
      <c r="D870" s="2" t="s">
        <v>2012</v>
      </c>
      <c r="E870" s="2" t="s">
        <v>2101</v>
      </c>
      <c r="F870" s="4">
        <v>166.97</v>
      </c>
      <c r="G870" s="5">
        <v>150.52000000000001</v>
      </c>
      <c r="H870" s="6">
        <v>7</v>
      </c>
      <c r="I870" s="2" t="s">
        <v>2117</v>
      </c>
    </row>
    <row r="871" spans="2:9" x14ac:dyDescent="0.3">
      <c r="B871" s="2" t="s">
        <v>877</v>
      </c>
      <c r="C871" s="3">
        <v>44262</v>
      </c>
      <c r="D871" s="2" t="s">
        <v>2010</v>
      </c>
      <c r="E871" s="2" t="s">
        <v>2080</v>
      </c>
      <c r="F871" s="4">
        <v>3807.49</v>
      </c>
      <c r="G871" s="5">
        <v>720.12</v>
      </c>
      <c r="H871" s="6">
        <v>14</v>
      </c>
      <c r="I871" s="2" t="s">
        <v>2118</v>
      </c>
    </row>
    <row r="872" spans="2:9" x14ac:dyDescent="0.3">
      <c r="B872" s="2" t="s">
        <v>878</v>
      </c>
      <c r="C872" s="3">
        <v>45576</v>
      </c>
      <c r="D872" s="2" t="s">
        <v>2009</v>
      </c>
      <c r="E872" s="2" t="s">
        <v>2057</v>
      </c>
      <c r="F872" s="4">
        <v>2467.92</v>
      </c>
      <c r="G872" s="5">
        <v>413.18</v>
      </c>
      <c r="H872" s="6">
        <v>7</v>
      </c>
      <c r="I872" s="2" t="s">
        <v>2116</v>
      </c>
    </row>
    <row r="873" spans="2:9" x14ac:dyDescent="0.3">
      <c r="B873" s="2" t="s">
        <v>879</v>
      </c>
      <c r="C873" s="3">
        <v>45106</v>
      </c>
      <c r="D873" s="2" t="s">
        <v>2009</v>
      </c>
      <c r="E873" s="2" t="s">
        <v>2056</v>
      </c>
      <c r="F873" s="4">
        <v>386.55</v>
      </c>
      <c r="G873" s="5">
        <v>265.19</v>
      </c>
      <c r="H873" s="6">
        <v>1</v>
      </c>
      <c r="I873" s="2" t="s">
        <v>2117</v>
      </c>
    </row>
    <row r="874" spans="2:9" x14ac:dyDescent="0.3">
      <c r="B874" s="2" t="s">
        <v>880</v>
      </c>
      <c r="C874" s="3">
        <v>45201</v>
      </c>
      <c r="D874" s="2" t="s">
        <v>2011</v>
      </c>
      <c r="E874" s="2" t="s">
        <v>2077</v>
      </c>
      <c r="F874" s="4">
        <v>2509.39</v>
      </c>
      <c r="G874" s="5">
        <v>878.66</v>
      </c>
      <c r="H874" s="6">
        <v>7</v>
      </c>
      <c r="I874" s="2" t="s">
        <v>2116</v>
      </c>
    </row>
    <row r="875" spans="2:9" x14ac:dyDescent="0.3">
      <c r="B875" s="2" t="s">
        <v>881</v>
      </c>
      <c r="C875" s="3">
        <v>45553</v>
      </c>
      <c r="D875" s="2" t="s">
        <v>2010</v>
      </c>
      <c r="E875" s="2" t="s">
        <v>2031</v>
      </c>
      <c r="F875" s="4">
        <v>1999.69</v>
      </c>
      <c r="G875" s="5">
        <v>556.13</v>
      </c>
      <c r="H875" s="6">
        <v>7</v>
      </c>
      <c r="I875" s="2" t="s">
        <v>2117</v>
      </c>
    </row>
    <row r="876" spans="2:9" x14ac:dyDescent="0.3">
      <c r="B876" s="2" t="s">
        <v>882</v>
      </c>
      <c r="C876" s="3">
        <v>45198</v>
      </c>
      <c r="D876" s="2" t="s">
        <v>2011</v>
      </c>
      <c r="E876" s="2" t="s">
        <v>2033</v>
      </c>
      <c r="F876" s="4">
        <v>722.25</v>
      </c>
      <c r="G876" s="5">
        <v>144.36000000000001</v>
      </c>
      <c r="H876" s="6">
        <v>7</v>
      </c>
      <c r="I876" s="2" t="s">
        <v>2116</v>
      </c>
    </row>
    <row r="877" spans="2:9" x14ac:dyDescent="0.3">
      <c r="B877" s="2" t="s">
        <v>883</v>
      </c>
      <c r="C877" s="3">
        <v>44717</v>
      </c>
      <c r="D877" s="2" t="s">
        <v>2010</v>
      </c>
      <c r="E877" s="2" t="s">
        <v>2042</v>
      </c>
      <c r="F877" s="4">
        <v>3958.62</v>
      </c>
      <c r="G877" s="5">
        <v>635.79999999999995</v>
      </c>
      <c r="H877" s="6">
        <v>4</v>
      </c>
      <c r="I877" s="2" t="s">
        <v>2116</v>
      </c>
    </row>
    <row r="878" spans="2:9" x14ac:dyDescent="0.3">
      <c r="B878" s="2" t="s">
        <v>884</v>
      </c>
      <c r="C878" s="3">
        <v>44509</v>
      </c>
      <c r="D878" s="2" t="s">
        <v>2011</v>
      </c>
      <c r="E878" s="2" t="s">
        <v>2050</v>
      </c>
      <c r="F878" s="4">
        <v>498.75</v>
      </c>
      <c r="G878" s="5">
        <v>104.68</v>
      </c>
      <c r="H878" s="6">
        <v>5</v>
      </c>
      <c r="I878" s="2" t="s">
        <v>2117</v>
      </c>
    </row>
    <row r="879" spans="2:9" x14ac:dyDescent="0.3">
      <c r="B879" s="2" t="s">
        <v>885</v>
      </c>
      <c r="C879" s="3">
        <v>44811</v>
      </c>
      <c r="D879" s="2" t="s">
        <v>2012</v>
      </c>
      <c r="E879" s="2" t="s">
        <v>2016</v>
      </c>
      <c r="F879" s="4">
        <v>4383.45</v>
      </c>
      <c r="G879" s="5">
        <v>920.5</v>
      </c>
      <c r="H879" s="6">
        <v>4</v>
      </c>
      <c r="I879" s="2" t="s">
        <v>2116</v>
      </c>
    </row>
    <row r="880" spans="2:9" x14ac:dyDescent="0.3">
      <c r="B880" s="2" t="s">
        <v>886</v>
      </c>
      <c r="C880" s="3">
        <v>44183</v>
      </c>
      <c r="D880" s="2" t="s">
        <v>2010</v>
      </c>
      <c r="E880" s="2" t="s">
        <v>2049</v>
      </c>
      <c r="F880" s="4">
        <v>1605.04</v>
      </c>
      <c r="G880" s="5">
        <v>440.96</v>
      </c>
      <c r="H880" s="6">
        <v>4</v>
      </c>
      <c r="I880" s="2" t="s">
        <v>2118</v>
      </c>
    </row>
    <row r="881" spans="2:9" x14ac:dyDescent="0.3">
      <c r="B881" s="2" t="s">
        <v>887</v>
      </c>
      <c r="C881" s="3">
        <v>44843</v>
      </c>
      <c r="D881" s="2" t="s">
        <v>2010</v>
      </c>
      <c r="E881" s="2" t="s">
        <v>2082</v>
      </c>
      <c r="F881" s="4">
        <v>4166.4399999999996</v>
      </c>
      <c r="G881" s="5">
        <v>804.67</v>
      </c>
      <c r="H881" s="6">
        <v>16</v>
      </c>
      <c r="I881" s="2" t="s">
        <v>2117</v>
      </c>
    </row>
    <row r="882" spans="2:9" x14ac:dyDescent="0.3">
      <c r="B882" s="2" t="s">
        <v>888</v>
      </c>
      <c r="C882" s="3">
        <v>45075</v>
      </c>
      <c r="D882" s="2" t="s">
        <v>2009</v>
      </c>
      <c r="E882" s="2" t="s">
        <v>2066</v>
      </c>
      <c r="F882" s="4">
        <v>2538.4499999999998</v>
      </c>
      <c r="G882" s="5">
        <v>320.38</v>
      </c>
      <c r="H882" s="6">
        <v>8</v>
      </c>
      <c r="I882" s="2" t="s">
        <v>2116</v>
      </c>
    </row>
    <row r="883" spans="2:9" x14ac:dyDescent="0.3">
      <c r="B883" s="2" t="s">
        <v>889</v>
      </c>
      <c r="C883" s="3">
        <v>44289</v>
      </c>
      <c r="D883" s="2" t="s">
        <v>2011</v>
      </c>
      <c r="E883" s="2" t="s">
        <v>2017</v>
      </c>
      <c r="F883" s="4">
        <v>3585.12</v>
      </c>
      <c r="G883" s="5">
        <v>673.42</v>
      </c>
      <c r="H883" s="6">
        <v>20</v>
      </c>
      <c r="I883" s="2" t="s">
        <v>2117</v>
      </c>
    </row>
    <row r="884" spans="2:9" x14ac:dyDescent="0.3">
      <c r="B884" s="2" t="s">
        <v>890</v>
      </c>
      <c r="C884" s="3">
        <v>44615</v>
      </c>
      <c r="D884" s="2" t="s">
        <v>2009</v>
      </c>
      <c r="E884" s="2" t="s">
        <v>2035</v>
      </c>
      <c r="F884" s="4">
        <v>174.63</v>
      </c>
      <c r="G884" s="5">
        <v>641.16</v>
      </c>
      <c r="H884" s="6">
        <v>9</v>
      </c>
      <c r="I884" s="2" t="s">
        <v>2117</v>
      </c>
    </row>
    <row r="885" spans="2:9" x14ac:dyDescent="0.3">
      <c r="B885" s="2" t="s">
        <v>891</v>
      </c>
      <c r="C885" s="3">
        <v>45458</v>
      </c>
      <c r="D885" s="2" t="s">
        <v>2010</v>
      </c>
      <c r="E885" s="2" t="s">
        <v>2105</v>
      </c>
      <c r="F885" s="4">
        <v>2883.09</v>
      </c>
      <c r="G885" s="5">
        <v>599.30999999999995</v>
      </c>
      <c r="H885" s="6">
        <v>3</v>
      </c>
      <c r="I885" s="2" t="s">
        <v>2117</v>
      </c>
    </row>
    <row r="886" spans="2:9" x14ac:dyDescent="0.3">
      <c r="B886" s="2" t="s">
        <v>892</v>
      </c>
      <c r="C886" s="3">
        <v>45441</v>
      </c>
      <c r="D886" s="2" t="s">
        <v>2009</v>
      </c>
      <c r="E886" s="2" t="s">
        <v>2020</v>
      </c>
      <c r="F886" s="4">
        <v>2077.44</v>
      </c>
      <c r="G886" s="5">
        <v>914.14</v>
      </c>
      <c r="H886" s="6">
        <v>14</v>
      </c>
      <c r="I886" s="2" t="s">
        <v>2118</v>
      </c>
    </row>
    <row r="887" spans="2:9" x14ac:dyDescent="0.3">
      <c r="B887" s="2" t="s">
        <v>893</v>
      </c>
      <c r="C887" s="3">
        <v>44301</v>
      </c>
      <c r="D887" s="2" t="s">
        <v>2011</v>
      </c>
      <c r="E887" s="2" t="s">
        <v>2072</v>
      </c>
      <c r="F887" s="4">
        <v>1646.01</v>
      </c>
      <c r="G887" s="5">
        <v>156.32</v>
      </c>
      <c r="H887" s="6">
        <v>2</v>
      </c>
      <c r="I887" s="2" t="s">
        <v>2116</v>
      </c>
    </row>
    <row r="888" spans="2:9" x14ac:dyDescent="0.3">
      <c r="B888" s="2" t="s">
        <v>894</v>
      </c>
      <c r="C888" s="3">
        <v>44333</v>
      </c>
      <c r="D888" s="2" t="s">
        <v>2012</v>
      </c>
      <c r="E888" s="2" t="s">
        <v>2080</v>
      </c>
      <c r="F888" s="4">
        <v>2028.74</v>
      </c>
      <c r="G888" s="5">
        <v>263.07</v>
      </c>
      <c r="H888" s="6">
        <v>18</v>
      </c>
      <c r="I888" s="2" t="s">
        <v>2118</v>
      </c>
    </row>
    <row r="889" spans="2:9" x14ac:dyDescent="0.3">
      <c r="B889" s="2" t="s">
        <v>895</v>
      </c>
      <c r="C889" s="3">
        <v>44346</v>
      </c>
      <c r="D889" s="2" t="s">
        <v>2012</v>
      </c>
      <c r="E889" s="2" t="s">
        <v>2022</v>
      </c>
      <c r="F889" s="4">
        <v>3108.61</v>
      </c>
      <c r="G889" s="5">
        <v>373.87</v>
      </c>
      <c r="H889" s="6">
        <v>18</v>
      </c>
      <c r="I889" s="2" t="s">
        <v>2117</v>
      </c>
    </row>
    <row r="890" spans="2:9" x14ac:dyDescent="0.3">
      <c r="B890" s="2" t="s">
        <v>896</v>
      </c>
      <c r="C890" s="3">
        <v>43993</v>
      </c>
      <c r="D890" s="2" t="s">
        <v>2010</v>
      </c>
      <c r="E890" s="2" t="s">
        <v>2093</v>
      </c>
      <c r="F890" s="4">
        <v>3464.8</v>
      </c>
      <c r="G890" s="5">
        <v>620.79999999999995</v>
      </c>
      <c r="H890" s="6">
        <v>6</v>
      </c>
      <c r="I890" s="2" t="s">
        <v>2118</v>
      </c>
    </row>
    <row r="891" spans="2:9" x14ac:dyDescent="0.3">
      <c r="B891" s="2" t="s">
        <v>897</v>
      </c>
      <c r="C891" s="3">
        <v>45532</v>
      </c>
      <c r="D891" s="2" t="s">
        <v>2011</v>
      </c>
      <c r="E891" s="2" t="s">
        <v>2060</v>
      </c>
      <c r="F891" s="4">
        <v>2077.54</v>
      </c>
      <c r="G891" s="5">
        <v>796.95</v>
      </c>
      <c r="H891" s="6">
        <v>11</v>
      </c>
      <c r="I891" s="2" t="s">
        <v>2118</v>
      </c>
    </row>
    <row r="892" spans="2:9" x14ac:dyDescent="0.3">
      <c r="B892" s="2" t="s">
        <v>898</v>
      </c>
      <c r="C892" s="3">
        <v>44090</v>
      </c>
      <c r="D892" s="2" t="s">
        <v>2012</v>
      </c>
      <c r="E892" s="2" t="s">
        <v>2035</v>
      </c>
      <c r="F892" s="4">
        <v>3930.19</v>
      </c>
      <c r="G892" s="5">
        <v>956.49</v>
      </c>
      <c r="H892" s="6">
        <v>12</v>
      </c>
      <c r="I892" s="2" t="s">
        <v>2118</v>
      </c>
    </row>
    <row r="893" spans="2:9" x14ac:dyDescent="0.3">
      <c r="B893" s="2" t="s">
        <v>899</v>
      </c>
      <c r="C893" s="3">
        <v>45098</v>
      </c>
      <c r="D893" s="2" t="s">
        <v>2012</v>
      </c>
      <c r="E893" s="2" t="s">
        <v>2049</v>
      </c>
      <c r="F893" s="4">
        <v>3976.57</v>
      </c>
      <c r="G893" s="5">
        <v>728.11</v>
      </c>
      <c r="H893" s="6">
        <v>2</v>
      </c>
      <c r="I893" s="2" t="s">
        <v>2118</v>
      </c>
    </row>
    <row r="894" spans="2:9" x14ac:dyDescent="0.3">
      <c r="B894" s="2" t="s">
        <v>900</v>
      </c>
      <c r="C894" s="3">
        <v>45438</v>
      </c>
      <c r="D894" s="2" t="s">
        <v>2012</v>
      </c>
      <c r="E894" s="2" t="s">
        <v>2084</v>
      </c>
      <c r="F894" s="4">
        <v>3133.66</v>
      </c>
      <c r="G894" s="5">
        <v>186.62</v>
      </c>
      <c r="H894" s="6">
        <v>17</v>
      </c>
      <c r="I894" s="2" t="s">
        <v>2116</v>
      </c>
    </row>
    <row r="895" spans="2:9" x14ac:dyDescent="0.3">
      <c r="B895" s="2" t="s">
        <v>901</v>
      </c>
      <c r="C895" s="3">
        <v>44186</v>
      </c>
      <c r="D895" s="2" t="s">
        <v>2009</v>
      </c>
      <c r="E895" s="2" t="s">
        <v>2069</v>
      </c>
      <c r="F895" s="4">
        <v>3753.11</v>
      </c>
      <c r="G895" s="5">
        <v>886.32</v>
      </c>
      <c r="H895" s="6">
        <v>19</v>
      </c>
      <c r="I895" s="2" t="s">
        <v>2116</v>
      </c>
    </row>
    <row r="896" spans="2:9" x14ac:dyDescent="0.3">
      <c r="B896" s="2" t="s">
        <v>902</v>
      </c>
      <c r="C896" s="3">
        <v>44035</v>
      </c>
      <c r="D896" s="2" t="s">
        <v>2012</v>
      </c>
      <c r="E896" s="2" t="s">
        <v>2064</v>
      </c>
      <c r="F896" s="4">
        <v>4254.41</v>
      </c>
      <c r="G896" s="5">
        <v>456.8</v>
      </c>
      <c r="H896" s="6">
        <v>11</v>
      </c>
      <c r="I896" s="2" t="s">
        <v>2116</v>
      </c>
    </row>
    <row r="897" spans="2:9" x14ac:dyDescent="0.3">
      <c r="B897" s="2" t="s">
        <v>903</v>
      </c>
      <c r="C897" s="3">
        <v>45192</v>
      </c>
      <c r="D897" s="2" t="s">
        <v>2012</v>
      </c>
      <c r="E897" s="2" t="s">
        <v>2093</v>
      </c>
      <c r="F897" s="4">
        <v>3266.4</v>
      </c>
      <c r="G897" s="5">
        <v>794.14</v>
      </c>
      <c r="H897" s="6">
        <v>20</v>
      </c>
      <c r="I897" s="2" t="s">
        <v>2117</v>
      </c>
    </row>
    <row r="898" spans="2:9" x14ac:dyDescent="0.3">
      <c r="B898" s="2" t="s">
        <v>904</v>
      </c>
      <c r="C898" s="3">
        <v>44263</v>
      </c>
      <c r="D898" s="2" t="s">
        <v>2009</v>
      </c>
      <c r="E898" s="2" t="s">
        <v>2052</v>
      </c>
      <c r="F898" s="4">
        <v>3050.61</v>
      </c>
      <c r="G898" s="5">
        <v>134.55000000000001</v>
      </c>
      <c r="H898" s="6">
        <v>11</v>
      </c>
      <c r="I898" s="2" t="s">
        <v>2117</v>
      </c>
    </row>
    <row r="899" spans="2:9" x14ac:dyDescent="0.3">
      <c r="B899" s="2" t="s">
        <v>905</v>
      </c>
      <c r="C899" s="3">
        <v>44099</v>
      </c>
      <c r="D899" s="2" t="s">
        <v>2009</v>
      </c>
      <c r="E899" s="2" t="s">
        <v>2086</v>
      </c>
      <c r="F899" s="4">
        <v>2607.15</v>
      </c>
      <c r="G899" s="5">
        <v>621.34</v>
      </c>
      <c r="H899" s="6">
        <v>9</v>
      </c>
      <c r="I899" s="2" t="s">
        <v>2117</v>
      </c>
    </row>
    <row r="900" spans="2:9" x14ac:dyDescent="0.3">
      <c r="B900" s="2" t="s">
        <v>906</v>
      </c>
      <c r="C900" s="3">
        <v>44034</v>
      </c>
      <c r="D900" s="2" t="s">
        <v>2009</v>
      </c>
      <c r="E900" s="2" t="s">
        <v>2061</v>
      </c>
      <c r="F900" s="4">
        <v>3410.89</v>
      </c>
      <c r="G900" s="5">
        <v>357.67</v>
      </c>
      <c r="H900" s="6">
        <v>3</v>
      </c>
      <c r="I900" s="2" t="s">
        <v>2118</v>
      </c>
    </row>
    <row r="901" spans="2:9" x14ac:dyDescent="0.3">
      <c r="B901" s="2" t="s">
        <v>907</v>
      </c>
      <c r="C901" s="3">
        <v>44091</v>
      </c>
      <c r="D901" s="2" t="s">
        <v>2009</v>
      </c>
      <c r="E901" s="2" t="s">
        <v>2064</v>
      </c>
      <c r="F901" s="4">
        <v>1630.85</v>
      </c>
      <c r="G901" s="5">
        <v>290.43</v>
      </c>
      <c r="H901" s="6">
        <v>9</v>
      </c>
      <c r="I901" s="2" t="s">
        <v>2116</v>
      </c>
    </row>
    <row r="902" spans="2:9" x14ac:dyDescent="0.3">
      <c r="B902" s="2" t="s">
        <v>908</v>
      </c>
      <c r="C902" s="3">
        <v>45001</v>
      </c>
      <c r="D902" s="2" t="s">
        <v>2009</v>
      </c>
      <c r="E902" s="2" t="s">
        <v>2046</v>
      </c>
      <c r="F902" s="4">
        <v>1010.02</v>
      </c>
      <c r="G902" s="5">
        <v>912.52</v>
      </c>
      <c r="H902" s="6">
        <v>15</v>
      </c>
      <c r="I902" s="2" t="s">
        <v>2116</v>
      </c>
    </row>
    <row r="903" spans="2:9" x14ac:dyDescent="0.3">
      <c r="B903" s="2" t="s">
        <v>909</v>
      </c>
      <c r="C903" s="3">
        <v>44793</v>
      </c>
      <c r="D903" s="2" t="s">
        <v>2010</v>
      </c>
      <c r="E903" s="2" t="s">
        <v>2037</v>
      </c>
      <c r="F903" s="4">
        <v>3816.45</v>
      </c>
      <c r="G903" s="5">
        <v>811.34</v>
      </c>
      <c r="H903" s="6">
        <v>19</v>
      </c>
      <c r="I903" s="2" t="s">
        <v>2117</v>
      </c>
    </row>
    <row r="904" spans="2:9" x14ac:dyDescent="0.3">
      <c r="B904" s="2" t="s">
        <v>910</v>
      </c>
      <c r="C904" s="3">
        <v>44431</v>
      </c>
      <c r="D904" s="2" t="s">
        <v>2010</v>
      </c>
      <c r="E904" s="2" t="s">
        <v>2028</v>
      </c>
      <c r="F904" s="4">
        <v>3289.19</v>
      </c>
      <c r="G904" s="5">
        <v>925.97</v>
      </c>
      <c r="H904" s="6">
        <v>5</v>
      </c>
      <c r="I904" s="2" t="s">
        <v>2116</v>
      </c>
    </row>
    <row r="905" spans="2:9" x14ac:dyDescent="0.3">
      <c r="B905" s="2" t="s">
        <v>911</v>
      </c>
      <c r="C905" s="3">
        <v>45361</v>
      </c>
      <c r="D905" s="2" t="s">
        <v>2010</v>
      </c>
      <c r="E905" s="2" t="s">
        <v>2024</v>
      </c>
      <c r="F905" s="4">
        <v>1547.83</v>
      </c>
      <c r="G905" s="5">
        <v>906.47</v>
      </c>
      <c r="H905" s="6">
        <v>13</v>
      </c>
      <c r="I905" s="2" t="s">
        <v>2118</v>
      </c>
    </row>
    <row r="906" spans="2:9" x14ac:dyDescent="0.3">
      <c r="B906" s="2" t="s">
        <v>912</v>
      </c>
      <c r="C906" s="3">
        <v>44924</v>
      </c>
      <c r="D906" s="2" t="s">
        <v>2012</v>
      </c>
      <c r="E906" s="2" t="s">
        <v>2105</v>
      </c>
      <c r="F906" s="4">
        <v>2092.61</v>
      </c>
      <c r="G906" s="5">
        <v>973.59</v>
      </c>
      <c r="H906" s="6">
        <v>8</v>
      </c>
      <c r="I906" s="2" t="s">
        <v>2118</v>
      </c>
    </row>
    <row r="907" spans="2:9" x14ac:dyDescent="0.3">
      <c r="B907" s="2" t="s">
        <v>913</v>
      </c>
      <c r="C907" s="3">
        <v>44048</v>
      </c>
      <c r="D907" s="2" t="s">
        <v>2011</v>
      </c>
      <c r="E907" s="2" t="s">
        <v>2097</v>
      </c>
      <c r="F907" s="4">
        <v>4156.7700000000004</v>
      </c>
      <c r="G907" s="5">
        <v>502.89</v>
      </c>
      <c r="H907" s="6">
        <v>10</v>
      </c>
      <c r="I907" s="2" t="s">
        <v>2118</v>
      </c>
    </row>
    <row r="908" spans="2:9" x14ac:dyDescent="0.3">
      <c r="B908" s="2" t="s">
        <v>914</v>
      </c>
      <c r="C908" s="3">
        <v>45454</v>
      </c>
      <c r="D908" s="2" t="s">
        <v>2012</v>
      </c>
      <c r="E908" s="2" t="s">
        <v>2088</v>
      </c>
      <c r="F908" s="4">
        <v>961.38</v>
      </c>
      <c r="G908" s="5">
        <v>731.16</v>
      </c>
      <c r="H908" s="6">
        <v>18</v>
      </c>
      <c r="I908" s="2" t="s">
        <v>2117</v>
      </c>
    </row>
    <row r="909" spans="2:9" x14ac:dyDescent="0.3">
      <c r="B909" s="2" t="s">
        <v>915</v>
      </c>
      <c r="C909" s="3">
        <v>45037</v>
      </c>
      <c r="D909" s="2" t="s">
        <v>2010</v>
      </c>
      <c r="E909" s="2" t="s">
        <v>2057</v>
      </c>
      <c r="F909" s="4">
        <v>1265.55</v>
      </c>
      <c r="G909" s="5">
        <v>981.43</v>
      </c>
      <c r="H909" s="6">
        <v>1</v>
      </c>
      <c r="I909" s="2" t="s">
        <v>2117</v>
      </c>
    </row>
    <row r="910" spans="2:9" x14ac:dyDescent="0.3">
      <c r="B910" s="2" t="s">
        <v>916</v>
      </c>
      <c r="C910" s="3">
        <v>45190</v>
      </c>
      <c r="D910" s="2" t="s">
        <v>2010</v>
      </c>
      <c r="E910" s="2" t="s">
        <v>2065</v>
      </c>
      <c r="F910" s="4">
        <v>2295.4</v>
      </c>
      <c r="G910" s="5">
        <v>560.91999999999996</v>
      </c>
      <c r="H910" s="6">
        <v>9</v>
      </c>
      <c r="I910" s="2" t="s">
        <v>2117</v>
      </c>
    </row>
    <row r="911" spans="2:9" x14ac:dyDescent="0.3">
      <c r="B911" s="2" t="s">
        <v>917</v>
      </c>
      <c r="C911" s="3">
        <v>43863</v>
      </c>
      <c r="D911" s="2" t="s">
        <v>2009</v>
      </c>
      <c r="E911" s="2" t="s">
        <v>2034</v>
      </c>
      <c r="F911" s="4">
        <v>1896.6</v>
      </c>
      <c r="G911" s="5">
        <v>231.21</v>
      </c>
      <c r="H911" s="6">
        <v>5</v>
      </c>
      <c r="I911" s="2" t="s">
        <v>2118</v>
      </c>
    </row>
    <row r="912" spans="2:9" x14ac:dyDescent="0.3">
      <c r="B912" s="2" t="s">
        <v>918</v>
      </c>
      <c r="C912" s="3">
        <v>44366</v>
      </c>
      <c r="D912" s="2" t="s">
        <v>2010</v>
      </c>
      <c r="E912" s="2" t="s">
        <v>2094</v>
      </c>
      <c r="F912" s="4">
        <v>1925.44</v>
      </c>
      <c r="G912" s="5">
        <v>870.16</v>
      </c>
      <c r="H912" s="6">
        <v>1</v>
      </c>
      <c r="I912" s="2" t="s">
        <v>2116</v>
      </c>
    </row>
    <row r="913" spans="2:9" x14ac:dyDescent="0.3">
      <c r="B913" s="2" t="s">
        <v>919</v>
      </c>
      <c r="C913" s="3">
        <v>44770</v>
      </c>
      <c r="D913" s="2" t="s">
        <v>2009</v>
      </c>
      <c r="E913" s="2" t="s">
        <v>2050</v>
      </c>
      <c r="F913" s="4">
        <v>2745.37</v>
      </c>
      <c r="G913" s="5">
        <v>360.54</v>
      </c>
      <c r="H913" s="6">
        <v>19</v>
      </c>
      <c r="I913" s="2" t="s">
        <v>2116</v>
      </c>
    </row>
    <row r="914" spans="2:9" x14ac:dyDescent="0.3">
      <c r="B914" s="2" t="s">
        <v>920</v>
      </c>
      <c r="C914" s="3">
        <v>43935</v>
      </c>
      <c r="D914" s="2" t="s">
        <v>2011</v>
      </c>
      <c r="E914" s="2" t="s">
        <v>2018</v>
      </c>
      <c r="F914" s="4">
        <v>4864.33</v>
      </c>
      <c r="G914" s="5">
        <v>175.01</v>
      </c>
      <c r="H914" s="6">
        <v>12</v>
      </c>
      <c r="I914" s="2" t="s">
        <v>2116</v>
      </c>
    </row>
    <row r="915" spans="2:9" x14ac:dyDescent="0.3">
      <c r="B915" s="2" t="s">
        <v>921</v>
      </c>
      <c r="C915" s="3">
        <v>44367</v>
      </c>
      <c r="D915" s="2" t="s">
        <v>2012</v>
      </c>
      <c r="E915" s="2" t="s">
        <v>2046</v>
      </c>
      <c r="F915" s="4">
        <v>2892.74</v>
      </c>
      <c r="G915" s="5">
        <v>986.21</v>
      </c>
      <c r="H915" s="6">
        <v>10</v>
      </c>
      <c r="I915" s="2" t="s">
        <v>2118</v>
      </c>
    </row>
    <row r="916" spans="2:9" x14ac:dyDescent="0.3">
      <c r="B916" s="2" t="s">
        <v>922</v>
      </c>
      <c r="C916" s="3">
        <v>44254</v>
      </c>
      <c r="D916" s="2" t="s">
        <v>2010</v>
      </c>
      <c r="E916" s="2" t="s">
        <v>2062</v>
      </c>
      <c r="F916" s="4">
        <v>4935.7700000000004</v>
      </c>
      <c r="G916" s="5">
        <v>110.04</v>
      </c>
      <c r="H916" s="6">
        <v>17</v>
      </c>
      <c r="I916" s="2" t="s">
        <v>2117</v>
      </c>
    </row>
    <row r="917" spans="2:9" x14ac:dyDescent="0.3">
      <c r="B917" s="2" t="s">
        <v>923</v>
      </c>
      <c r="C917" s="3">
        <v>44655</v>
      </c>
      <c r="D917" s="2" t="s">
        <v>2011</v>
      </c>
      <c r="E917" s="2" t="s">
        <v>2053</v>
      </c>
      <c r="F917" s="4">
        <v>2656.9</v>
      </c>
      <c r="G917" s="5">
        <v>579.1</v>
      </c>
      <c r="H917" s="6">
        <v>19</v>
      </c>
      <c r="I917" s="2" t="s">
        <v>2116</v>
      </c>
    </row>
    <row r="918" spans="2:9" x14ac:dyDescent="0.3">
      <c r="B918" s="2" t="s">
        <v>924</v>
      </c>
      <c r="C918" s="3">
        <v>45257</v>
      </c>
      <c r="D918" s="2" t="s">
        <v>2009</v>
      </c>
      <c r="E918" s="2" t="s">
        <v>2018</v>
      </c>
      <c r="F918" s="4">
        <v>3245.76</v>
      </c>
      <c r="G918" s="5">
        <v>537.34</v>
      </c>
      <c r="H918" s="6">
        <v>3</v>
      </c>
      <c r="I918" s="2" t="s">
        <v>2118</v>
      </c>
    </row>
    <row r="919" spans="2:9" x14ac:dyDescent="0.3">
      <c r="B919" s="2" t="s">
        <v>925</v>
      </c>
      <c r="C919" s="3">
        <v>44823</v>
      </c>
      <c r="D919" s="2" t="s">
        <v>2011</v>
      </c>
      <c r="E919" s="2" t="s">
        <v>2035</v>
      </c>
      <c r="F919" s="4">
        <v>3456.85</v>
      </c>
      <c r="G919" s="5">
        <v>340</v>
      </c>
      <c r="H919" s="6">
        <v>18</v>
      </c>
      <c r="I919" s="2" t="s">
        <v>2117</v>
      </c>
    </row>
    <row r="920" spans="2:9" x14ac:dyDescent="0.3">
      <c r="B920" s="2" t="s">
        <v>926</v>
      </c>
      <c r="C920" s="3">
        <v>44588</v>
      </c>
      <c r="D920" s="2" t="s">
        <v>2009</v>
      </c>
      <c r="E920" s="2" t="s">
        <v>2092</v>
      </c>
      <c r="F920" s="4">
        <v>2812.06</v>
      </c>
      <c r="G920" s="5">
        <v>628.69000000000005</v>
      </c>
      <c r="H920" s="6">
        <v>11</v>
      </c>
      <c r="I920" s="2" t="s">
        <v>2118</v>
      </c>
    </row>
    <row r="921" spans="2:9" x14ac:dyDescent="0.3">
      <c r="B921" s="2" t="s">
        <v>927</v>
      </c>
      <c r="C921" s="3">
        <v>44089</v>
      </c>
      <c r="D921" s="2" t="s">
        <v>2010</v>
      </c>
      <c r="E921" s="2" t="s">
        <v>2063</v>
      </c>
      <c r="F921" s="4">
        <v>3859.4</v>
      </c>
      <c r="G921" s="5">
        <v>634.25</v>
      </c>
      <c r="H921" s="6">
        <v>17</v>
      </c>
      <c r="I921" s="2" t="s">
        <v>2118</v>
      </c>
    </row>
    <row r="922" spans="2:9" x14ac:dyDescent="0.3">
      <c r="B922" s="2" t="s">
        <v>928</v>
      </c>
      <c r="C922" s="3">
        <v>43934</v>
      </c>
      <c r="D922" s="2" t="s">
        <v>2011</v>
      </c>
      <c r="E922" s="2" t="s">
        <v>2013</v>
      </c>
      <c r="F922" s="4">
        <v>797.82</v>
      </c>
      <c r="G922" s="5">
        <v>238.06</v>
      </c>
      <c r="H922" s="6">
        <v>9</v>
      </c>
      <c r="I922" s="2" t="s">
        <v>2116</v>
      </c>
    </row>
    <row r="923" spans="2:9" x14ac:dyDescent="0.3">
      <c r="B923" s="2" t="s">
        <v>929</v>
      </c>
      <c r="C923" s="3">
        <v>45277</v>
      </c>
      <c r="D923" s="2" t="s">
        <v>2010</v>
      </c>
      <c r="E923" s="2" t="s">
        <v>2044</v>
      </c>
      <c r="F923" s="4">
        <v>4030.23</v>
      </c>
      <c r="G923" s="5">
        <v>163.66</v>
      </c>
      <c r="H923" s="6">
        <v>18</v>
      </c>
      <c r="I923" s="2" t="s">
        <v>2117</v>
      </c>
    </row>
    <row r="924" spans="2:9" x14ac:dyDescent="0.3">
      <c r="B924" s="2" t="s">
        <v>930</v>
      </c>
      <c r="C924" s="3">
        <v>44040</v>
      </c>
      <c r="D924" s="2" t="s">
        <v>2010</v>
      </c>
      <c r="E924" s="2" t="s">
        <v>2075</v>
      </c>
      <c r="F924" s="4">
        <v>4405.8100000000004</v>
      </c>
      <c r="G924" s="5">
        <v>125.66</v>
      </c>
      <c r="H924" s="6">
        <v>18</v>
      </c>
      <c r="I924" s="2" t="s">
        <v>2118</v>
      </c>
    </row>
    <row r="925" spans="2:9" x14ac:dyDescent="0.3">
      <c r="B925" s="2" t="s">
        <v>931</v>
      </c>
      <c r="C925" s="3">
        <v>44469</v>
      </c>
      <c r="D925" s="2" t="s">
        <v>2011</v>
      </c>
      <c r="E925" s="2" t="s">
        <v>2079</v>
      </c>
      <c r="F925" s="4">
        <v>4490.3599999999997</v>
      </c>
      <c r="G925" s="5">
        <v>179.89</v>
      </c>
      <c r="H925" s="6">
        <v>6</v>
      </c>
      <c r="I925" s="2" t="s">
        <v>2116</v>
      </c>
    </row>
    <row r="926" spans="2:9" x14ac:dyDescent="0.3">
      <c r="B926" s="2" t="s">
        <v>932</v>
      </c>
      <c r="C926" s="3">
        <v>43891</v>
      </c>
      <c r="D926" s="2" t="s">
        <v>2010</v>
      </c>
      <c r="E926" s="2" t="s">
        <v>2032</v>
      </c>
      <c r="F926" s="4">
        <v>4026.79</v>
      </c>
      <c r="G926" s="5">
        <v>606.91</v>
      </c>
      <c r="H926" s="6">
        <v>9</v>
      </c>
      <c r="I926" s="2" t="s">
        <v>2116</v>
      </c>
    </row>
    <row r="927" spans="2:9" x14ac:dyDescent="0.3">
      <c r="B927" s="2" t="s">
        <v>933</v>
      </c>
      <c r="C927" s="3">
        <v>43898</v>
      </c>
      <c r="D927" s="2" t="s">
        <v>2009</v>
      </c>
      <c r="E927" s="2" t="s">
        <v>2042</v>
      </c>
      <c r="F927" s="4">
        <v>862.65</v>
      </c>
      <c r="G927" s="5">
        <v>276.13</v>
      </c>
      <c r="H927" s="6">
        <v>15</v>
      </c>
      <c r="I927" s="2" t="s">
        <v>2116</v>
      </c>
    </row>
    <row r="928" spans="2:9" x14ac:dyDescent="0.3">
      <c r="B928" s="2" t="s">
        <v>934</v>
      </c>
      <c r="C928" s="3">
        <v>44562</v>
      </c>
      <c r="D928" s="2" t="s">
        <v>2011</v>
      </c>
      <c r="E928" s="2" t="s">
        <v>2083</v>
      </c>
      <c r="F928" s="4">
        <v>1830.36</v>
      </c>
      <c r="G928" s="5">
        <v>532.41</v>
      </c>
      <c r="H928" s="6">
        <v>3</v>
      </c>
      <c r="I928" s="2" t="s">
        <v>2117</v>
      </c>
    </row>
    <row r="929" spans="2:9" x14ac:dyDescent="0.3">
      <c r="B929" s="2" t="s">
        <v>935</v>
      </c>
      <c r="C929" s="3">
        <v>44366</v>
      </c>
      <c r="D929" s="2" t="s">
        <v>2012</v>
      </c>
      <c r="E929" s="2" t="s">
        <v>2070</v>
      </c>
      <c r="F929" s="4">
        <v>3671.1</v>
      </c>
      <c r="G929" s="5">
        <v>263.33999999999997</v>
      </c>
      <c r="H929" s="6">
        <v>6</v>
      </c>
      <c r="I929" s="2" t="s">
        <v>2118</v>
      </c>
    </row>
    <row r="930" spans="2:9" x14ac:dyDescent="0.3">
      <c r="B930" s="2" t="s">
        <v>936</v>
      </c>
      <c r="C930" s="3">
        <v>45459</v>
      </c>
      <c r="D930" s="2" t="s">
        <v>2010</v>
      </c>
      <c r="E930" s="2" t="s">
        <v>2073</v>
      </c>
      <c r="F930" s="4">
        <v>4822.9399999999996</v>
      </c>
      <c r="G930" s="5">
        <v>511.92</v>
      </c>
      <c r="H930" s="6">
        <v>5</v>
      </c>
      <c r="I930" s="2" t="s">
        <v>2117</v>
      </c>
    </row>
    <row r="931" spans="2:9" x14ac:dyDescent="0.3">
      <c r="B931" s="2" t="s">
        <v>937</v>
      </c>
      <c r="C931" s="3">
        <v>44546</v>
      </c>
      <c r="D931" s="2" t="s">
        <v>2011</v>
      </c>
      <c r="E931" s="2" t="s">
        <v>2038</v>
      </c>
      <c r="F931" s="4">
        <v>50.76</v>
      </c>
      <c r="G931" s="5">
        <v>306.44</v>
      </c>
      <c r="H931" s="6">
        <v>13</v>
      </c>
      <c r="I931" s="2" t="s">
        <v>2118</v>
      </c>
    </row>
    <row r="932" spans="2:9" x14ac:dyDescent="0.3">
      <c r="B932" s="2" t="s">
        <v>938</v>
      </c>
      <c r="C932" s="3">
        <v>44526</v>
      </c>
      <c r="D932" s="2" t="s">
        <v>2010</v>
      </c>
      <c r="E932" s="2" t="s">
        <v>2025</v>
      </c>
      <c r="F932" s="4">
        <v>1323.41</v>
      </c>
      <c r="G932" s="5">
        <v>961.55</v>
      </c>
      <c r="H932" s="6">
        <v>1</v>
      </c>
      <c r="I932" s="2" t="s">
        <v>2116</v>
      </c>
    </row>
    <row r="933" spans="2:9" x14ac:dyDescent="0.3">
      <c r="B933" s="2" t="s">
        <v>939</v>
      </c>
      <c r="C933" s="3">
        <v>43888</v>
      </c>
      <c r="D933" s="2" t="s">
        <v>2012</v>
      </c>
      <c r="E933" s="2" t="s">
        <v>2016</v>
      </c>
      <c r="F933" s="4">
        <v>1993</v>
      </c>
      <c r="G933" s="5">
        <v>140.44</v>
      </c>
      <c r="H933" s="6">
        <v>4</v>
      </c>
      <c r="I933" s="2" t="s">
        <v>2117</v>
      </c>
    </row>
    <row r="934" spans="2:9" x14ac:dyDescent="0.3">
      <c r="B934" s="2" t="s">
        <v>940</v>
      </c>
      <c r="C934" s="3">
        <v>43876</v>
      </c>
      <c r="D934" s="2" t="s">
        <v>2011</v>
      </c>
      <c r="E934" s="2" t="s">
        <v>2015</v>
      </c>
      <c r="F934" s="4">
        <v>4982.66</v>
      </c>
      <c r="G934" s="5">
        <v>145.22999999999999</v>
      </c>
      <c r="H934" s="6">
        <v>16</v>
      </c>
      <c r="I934" s="2" t="s">
        <v>2118</v>
      </c>
    </row>
    <row r="935" spans="2:9" x14ac:dyDescent="0.3">
      <c r="B935" s="2" t="s">
        <v>941</v>
      </c>
      <c r="C935" s="3">
        <v>44456</v>
      </c>
      <c r="D935" s="2" t="s">
        <v>2009</v>
      </c>
      <c r="E935" s="2" t="s">
        <v>2062</v>
      </c>
      <c r="F935" s="4">
        <v>3253.73</v>
      </c>
      <c r="G935" s="5">
        <v>921.66</v>
      </c>
      <c r="H935" s="6">
        <v>8</v>
      </c>
      <c r="I935" s="2" t="s">
        <v>2118</v>
      </c>
    </row>
    <row r="936" spans="2:9" x14ac:dyDescent="0.3">
      <c r="B936" s="2" t="s">
        <v>942</v>
      </c>
      <c r="C936" s="3">
        <v>45401</v>
      </c>
      <c r="D936" s="2" t="s">
        <v>2009</v>
      </c>
      <c r="E936" s="2" t="s">
        <v>2020</v>
      </c>
      <c r="F936" s="4">
        <v>1435.62</v>
      </c>
      <c r="G936" s="5">
        <v>957.79</v>
      </c>
      <c r="H936" s="6">
        <v>17</v>
      </c>
      <c r="I936" s="2" t="s">
        <v>2117</v>
      </c>
    </row>
    <row r="937" spans="2:9" x14ac:dyDescent="0.3">
      <c r="B937" s="2" t="s">
        <v>943</v>
      </c>
      <c r="C937" s="3">
        <v>45416</v>
      </c>
      <c r="D937" s="2" t="s">
        <v>2012</v>
      </c>
      <c r="E937" s="2" t="s">
        <v>2080</v>
      </c>
      <c r="F937" s="4">
        <v>2718.57</v>
      </c>
      <c r="G937" s="5">
        <v>273.52</v>
      </c>
      <c r="H937" s="6">
        <v>1</v>
      </c>
      <c r="I937" s="2" t="s">
        <v>2118</v>
      </c>
    </row>
    <row r="938" spans="2:9" x14ac:dyDescent="0.3">
      <c r="B938" s="2" t="s">
        <v>944</v>
      </c>
      <c r="C938" s="3">
        <v>44896</v>
      </c>
      <c r="D938" s="2" t="s">
        <v>2010</v>
      </c>
      <c r="E938" s="2" t="s">
        <v>2051</v>
      </c>
      <c r="F938" s="4">
        <v>2178.77</v>
      </c>
      <c r="G938" s="5">
        <v>420.58</v>
      </c>
      <c r="H938" s="6">
        <v>18</v>
      </c>
      <c r="I938" s="2" t="s">
        <v>2117</v>
      </c>
    </row>
    <row r="939" spans="2:9" x14ac:dyDescent="0.3">
      <c r="B939" s="2" t="s">
        <v>945</v>
      </c>
      <c r="C939" s="3">
        <v>43917</v>
      </c>
      <c r="D939" s="2" t="s">
        <v>2011</v>
      </c>
      <c r="E939" s="2" t="s">
        <v>2014</v>
      </c>
      <c r="F939" s="4">
        <v>841.42</v>
      </c>
      <c r="G939" s="5">
        <v>837.31</v>
      </c>
      <c r="H939" s="6">
        <v>1</v>
      </c>
      <c r="I939" s="2" t="s">
        <v>2117</v>
      </c>
    </row>
    <row r="940" spans="2:9" x14ac:dyDescent="0.3">
      <c r="B940" s="2" t="s">
        <v>946</v>
      </c>
      <c r="C940" s="3">
        <v>44686</v>
      </c>
      <c r="D940" s="2" t="s">
        <v>2012</v>
      </c>
      <c r="E940" s="2" t="s">
        <v>2030</v>
      </c>
      <c r="F940" s="4">
        <v>1446.59</v>
      </c>
      <c r="G940" s="5">
        <v>297.89</v>
      </c>
      <c r="H940" s="6">
        <v>17</v>
      </c>
      <c r="I940" s="2" t="s">
        <v>2116</v>
      </c>
    </row>
    <row r="941" spans="2:9" x14ac:dyDescent="0.3">
      <c r="B941" s="2" t="s">
        <v>947</v>
      </c>
      <c r="C941" s="3">
        <v>45353</v>
      </c>
      <c r="D941" s="2" t="s">
        <v>2010</v>
      </c>
      <c r="E941" s="2" t="s">
        <v>2108</v>
      </c>
      <c r="F941" s="4">
        <v>298.33999999999997</v>
      </c>
      <c r="G941" s="5">
        <v>519.16</v>
      </c>
      <c r="H941" s="6">
        <v>15</v>
      </c>
      <c r="I941" s="2" t="s">
        <v>2117</v>
      </c>
    </row>
    <row r="942" spans="2:9" x14ac:dyDescent="0.3">
      <c r="B942" s="2" t="s">
        <v>948</v>
      </c>
      <c r="C942" s="3">
        <v>44729</v>
      </c>
      <c r="D942" s="2" t="s">
        <v>2012</v>
      </c>
      <c r="E942" s="2" t="s">
        <v>2021</v>
      </c>
      <c r="F942" s="4">
        <v>2330.0300000000002</v>
      </c>
      <c r="G942" s="5">
        <v>228.38</v>
      </c>
      <c r="H942" s="6">
        <v>20</v>
      </c>
      <c r="I942" s="2" t="s">
        <v>2116</v>
      </c>
    </row>
    <row r="943" spans="2:9" x14ac:dyDescent="0.3">
      <c r="B943" s="2" t="s">
        <v>949</v>
      </c>
      <c r="C943" s="3">
        <v>44821</v>
      </c>
      <c r="D943" s="2" t="s">
        <v>2011</v>
      </c>
      <c r="E943" s="2" t="s">
        <v>2090</v>
      </c>
      <c r="F943" s="4">
        <v>2741.47</v>
      </c>
      <c r="G943" s="5">
        <v>923.52</v>
      </c>
      <c r="H943" s="6">
        <v>19</v>
      </c>
      <c r="I943" s="2" t="s">
        <v>2116</v>
      </c>
    </row>
    <row r="944" spans="2:9" x14ac:dyDescent="0.3">
      <c r="B944" s="2" t="s">
        <v>950</v>
      </c>
      <c r="C944" s="3">
        <v>44287</v>
      </c>
      <c r="D944" s="2" t="s">
        <v>2011</v>
      </c>
      <c r="E944" s="2" t="s">
        <v>2089</v>
      </c>
      <c r="F944" s="4">
        <v>4104.59</v>
      </c>
      <c r="G944" s="5">
        <v>282.42</v>
      </c>
      <c r="H944" s="6">
        <v>17</v>
      </c>
      <c r="I944" s="2" t="s">
        <v>2118</v>
      </c>
    </row>
    <row r="945" spans="2:9" x14ac:dyDescent="0.3">
      <c r="B945" s="2" t="s">
        <v>951</v>
      </c>
      <c r="C945" s="3">
        <v>44492</v>
      </c>
      <c r="D945" s="2" t="s">
        <v>2009</v>
      </c>
      <c r="E945" s="2" t="s">
        <v>2073</v>
      </c>
      <c r="F945" s="4">
        <v>3288.58</v>
      </c>
      <c r="G945" s="5">
        <v>285.17</v>
      </c>
      <c r="H945" s="6">
        <v>19</v>
      </c>
      <c r="I945" s="2" t="s">
        <v>2118</v>
      </c>
    </row>
    <row r="946" spans="2:9" x14ac:dyDescent="0.3">
      <c r="B946" s="2" t="s">
        <v>952</v>
      </c>
      <c r="C946" s="3">
        <v>45143</v>
      </c>
      <c r="D946" s="2" t="s">
        <v>2012</v>
      </c>
      <c r="E946" s="2" t="s">
        <v>2025</v>
      </c>
      <c r="F946" s="4">
        <v>3502.73</v>
      </c>
      <c r="G946" s="5">
        <v>761.58</v>
      </c>
      <c r="H946" s="6">
        <v>14</v>
      </c>
      <c r="I946" s="2" t="s">
        <v>2117</v>
      </c>
    </row>
    <row r="947" spans="2:9" x14ac:dyDescent="0.3">
      <c r="B947" s="2" t="s">
        <v>953</v>
      </c>
      <c r="C947" s="3">
        <v>44556</v>
      </c>
      <c r="D947" s="2" t="s">
        <v>2012</v>
      </c>
      <c r="E947" s="2" t="s">
        <v>2022</v>
      </c>
      <c r="F947" s="4">
        <v>613.15</v>
      </c>
      <c r="G947" s="5">
        <v>768.16</v>
      </c>
      <c r="H947" s="6">
        <v>1</v>
      </c>
      <c r="I947" s="2" t="s">
        <v>2118</v>
      </c>
    </row>
    <row r="948" spans="2:9" x14ac:dyDescent="0.3">
      <c r="B948" s="2" t="s">
        <v>954</v>
      </c>
      <c r="C948" s="3">
        <v>44056</v>
      </c>
      <c r="D948" s="2" t="s">
        <v>2012</v>
      </c>
      <c r="E948" s="2" t="s">
        <v>2109</v>
      </c>
      <c r="F948" s="4">
        <v>840.2</v>
      </c>
      <c r="G948" s="5">
        <v>251.16</v>
      </c>
      <c r="H948" s="6">
        <v>12</v>
      </c>
      <c r="I948" s="2" t="s">
        <v>2118</v>
      </c>
    </row>
    <row r="949" spans="2:9" x14ac:dyDescent="0.3">
      <c r="B949" s="2" t="s">
        <v>955</v>
      </c>
      <c r="C949" s="3">
        <v>44055</v>
      </c>
      <c r="D949" s="2" t="s">
        <v>2009</v>
      </c>
      <c r="E949" s="2" t="s">
        <v>2051</v>
      </c>
      <c r="F949" s="4">
        <v>1448.73</v>
      </c>
      <c r="G949" s="5">
        <v>558.6</v>
      </c>
      <c r="H949" s="6">
        <v>4</v>
      </c>
      <c r="I949" s="2" t="s">
        <v>2118</v>
      </c>
    </row>
    <row r="950" spans="2:9" x14ac:dyDescent="0.3">
      <c r="B950" s="2" t="s">
        <v>956</v>
      </c>
      <c r="C950" s="3">
        <v>44924</v>
      </c>
      <c r="D950" s="2" t="s">
        <v>2010</v>
      </c>
      <c r="E950" s="2" t="s">
        <v>2098</v>
      </c>
      <c r="F950" s="4">
        <v>1271.48</v>
      </c>
      <c r="G950" s="5">
        <v>108.01</v>
      </c>
      <c r="H950" s="6">
        <v>8</v>
      </c>
      <c r="I950" s="2" t="s">
        <v>2118</v>
      </c>
    </row>
    <row r="951" spans="2:9" x14ac:dyDescent="0.3">
      <c r="B951" s="2" t="s">
        <v>957</v>
      </c>
      <c r="C951" s="3">
        <v>44090</v>
      </c>
      <c r="D951" s="2" t="s">
        <v>2012</v>
      </c>
      <c r="E951" s="2" t="s">
        <v>2034</v>
      </c>
      <c r="F951" s="4">
        <v>1004.42</v>
      </c>
      <c r="G951" s="5">
        <v>833.97</v>
      </c>
      <c r="H951" s="6">
        <v>18</v>
      </c>
      <c r="I951" s="2" t="s">
        <v>2118</v>
      </c>
    </row>
    <row r="952" spans="2:9" x14ac:dyDescent="0.3">
      <c r="B952" s="2" t="s">
        <v>958</v>
      </c>
      <c r="C952" s="3">
        <v>45104</v>
      </c>
      <c r="D952" s="2" t="s">
        <v>2012</v>
      </c>
      <c r="E952" s="2" t="s">
        <v>2098</v>
      </c>
      <c r="F952" s="4">
        <v>3577.83</v>
      </c>
      <c r="G952" s="5">
        <v>649.44000000000005</v>
      </c>
      <c r="H952" s="6">
        <v>14</v>
      </c>
      <c r="I952" s="2" t="s">
        <v>2118</v>
      </c>
    </row>
    <row r="953" spans="2:9" x14ac:dyDescent="0.3">
      <c r="B953" s="2" t="s">
        <v>959</v>
      </c>
      <c r="C953" s="3">
        <v>45518</v>
      </c>
      <c r="D953" s="2" t="s">
        <v>2010</v>
      </c>
      <c r="E953" s="2" t="s">
        <v>2041</v>
      </c>
      <c r="F953" s="4">
        <v>3018.25</v>
      </c>
      <c r="G953" s="5">
        <v>828.61</v>
      </c>
      <c r="H953" s="6">
        <v>5</v>
      </c>
      <c r="I953" s="2" t="s">
        <v>2116</v>
      </c>
    </row>
    <row r="954" spans="2:9" x14ac:dyDescent="0.3">
      <c r="B954" s="2" t="s">
        <v>960</v>
      </c>
      <c r="C954" s="3">
        <v>44362</v>
      </c>
      <c r="D954" s="2" t="s">
        <v>2011</v>
      </c>
      <c r="E954" s="2" t="s">
        <v>2097</v>
      </c>
      <c r="F954" s="4">
        <v>894.54</v>
      </c>
      <c r="G954" s="5">
        <v>511.13</v>
      </c>
      <c r="H954" s="6">
        <v>5</v>
      </c>
      <c r="I954" s="2" t="s">
        <v>2116</v>
      </c>
    </row>
    <row r="955" spans="2:9" x14ac:dyDescent="0.3">
      <c r="B955" s="2" t="s">
        <v>961</v>
      </c>
      <c r="C955" s="3">
        <v>44136</v>
      </c>
      <c r="D955" s="2" t="s">
        <v>2012</v>
      </c>
      <c r="E955" s="2" t="s">
        <v>2048</v>
      </c>
      <c r="F955" s="4">
        <v>800.53</v>
      </c>
      <c r="G955" s="5">
        <v>840.1</v>
      </c>
      <c r="H955" s="6">
        <v>18</v>
      </c>
      <c r="I955" s="2" t="s">
        <v>2118</v>
      </c>
    </row>
    <row r="956" spans="2:9" x14ac:dyDescent="0.3">
      <c r="B956" s="2" t="s">
        <v>962</v>
      </c>
      <c r="C956" s="3">
        <v>44226</v>
      </c>
      <c r="D956" s="2" t="s">
        <v>2009</v>
      </c>
      <c r="E956" s="2" t="s">
        <v>2085</v>
      </c>
      <c r="F956" s="4">
        <v>1476.83</v>
      </c>
      <c r="G956" s="5">
        <v>48.63</v>
      </c>
      <c r="H956" s="6">
        <v>14</v>
      </c>
      <c r="I956" s="2" t="s">
        <v>2118</v>
      </c>
    </row>
    <row r="957" spans="2:9" x14ac:dyDescent="0.3">
      <c r="B957" s="2" t="s">
        <v>963</v>
      </c>
      <c r="C957" s="3">
        <v>45581</v>
      </c>
      <c r="D957" s="2" t="s">
        <v>2009</v>
      </c>
      <c r="E957" s="2" t="s">
        <v>2077</v>
      </c>
      <c r="F957" s="4">
        <v>1073</v>
      </c>
      <c r="G957" s="5">
        <v>40.71</v>
      </c>
      <c r="H957" s="6">
        <v>17</v>
      </c>
      <c r="I957" s="2" t="s">
        <v>2116</v>
      </c>
    </row>
    <row r="958" spans="2:9" x14ac:dyDescent="0.3">
      <c r="B958" s="2" t="s">
        <v>964</v>
      </c>
      <c r="C958" s="3">
        <v>45170</v>
      </c>
      <c r="D958" s="2" t="s">
        <v>2012</v>
      </c>
      <c r="E958" s="2" t="s">
        <v>2015</v>
      </c>
      <c r="F958" s="4">
        <v>268.33</v>
      </c>
      <c r="G958" s="5">
        <v>392.27</v>
      </c>
      <c r="H958" s="6">
        <v>19</v>
      </c>
      <c r="I958" s="2" t="s">
        <v>2117</v>
      </c>
    </row>
    <row r="959" spans="2:9" x14ac:dyDescent="0.3">
      <c r="B959" s="2" t="s">
        <v>965</v>
      </c>
      <c r="C959" s="3">
        <v>44866</v>
      </c>
      <c r="D959" s="2" t="s">
        <v>2010</v>
      </c>
      <c r="E959" s="2" t="s">
        <v>2021</v>
      </c>
      <c r="F959" s="4">
        <v>1984.08</v>
      </c>
      <c r="G959" s="5">
        <v>221.48</v>
      </c>
      <c r="H959" s="6">
        <v>19</v>
      </c>
      <c r="I959" s="2" t="s">
        <v>2116</v>
      </c>
    </row>
    <row r="960" spans="2:9" x14ac:dyDescent="0.3">
      <c r="B960" s="2" t="s">
        <v>966</v>
      </c>
      <c r="C960" s="3">
        <v>44869</v>
      </c>
      <c r="D960" s="2" t="s">
        <v>2009</v>
      </c>
      <c r="E960" s="2" t="s">
        <v>2029</v>
      </c>
      <c r="F960" s="4">
        <v>2269.63</v>
      </c>
      <c r="G960" s="5">
        <v>312.88</v>
      </c>
      <c r="H960" s="6">
        <v>17</v>
      </c>
      <c r="I960" s="2" t="s">
        <v>2118</v>
      </c>
    </row>
    <row r="961" spans="2:9" x14ac:dyDescent="0.3">
      <c r="B961" s="2" t="s">
        <v>967</v>
      </c>
      <c r="C961" s="3">
        <v>44673</v>
      </c>
      <c r="D961" s="2" t="s">
        <v>2009</v>
      </c>
      <c r="E961" s="2" t="s">
        <v>2101</v>
      </c>
      <c r="F961" s="4">
        <v>754.18</v>
      </c>
      <c r="G961" s="5">
        <v>916.25</v>
      </c>
      <c r="H961" s="6">
        <v>14</v>
      </c>
      <c r="I961" s="2" t="s">
        <v>2116</v>
      </c>
    </row>
    <row r="962" spans="2:9" x14ac:dyDescent="0.3">
      <c r="B962" s="2" t="s">
        <v>968</v>
      </c>
      <c r="C962" s="3">
        <v>44062</v>
      </c>
      <c r="D962" s="2" t="s">
        <v>2009</v>
      </c>
      <c r="E962" s="2" t="s">
        <v>2074</v>
      </c>
      <c r="F962" s="4">
        <v>4462.37</v>
      </c>
      <c r="G962" s="5">
        <v>619.49</v>
      </c>
      <c r="H962" s="6">
        <v>8</v>
      </c>
      <c r="I962" s="2" t="s">
        <v>2118</v>
      </c>
    </row>
    <row r="963" spans="2:9" x14ac:dyDescent="0.3">
      <c r="B963" s="2" t="s">
        <v>969</v>
      </c>
      <c r="C963" s="3">
        <v>44262</v>
      </c>
      <c r="D963" s="2" t="s">
        <v>2011</v>
      </c>
      <c r="E963" s="2" t="s">
        <v>2021</v>
      </c>
      <c r="F963" s="4">
        <v>775</v>
      </c>
      <c r="G963" s="5">
        <v>716.83</v>
      </c>
      <c r="H963" s="6">
        <v>15</v>
      </c>
      <c r="I963" s="2" t="s">
        <v>2117</v>
      </c>
    </row>
    <row r="964" spans="2:9" x14ac:dyDescent="0.3">
      <c r="B964" s="2" t="s">
        <v>970</v>
      </c>
      <c r="C964" s="3">
        <v>44513</v>
      </c>
      <c r="D964" s="2" t="s">
        <v>2009</v>
      </c>
      <c r="E964" s="2" t="s">
        <v>2096</v>
      </c>
      <c r="F964" s="4">
        <v>4743.5600000000004</v>
      </c>
      <c r="G964" s="5">
        <v>754.94</v>
      </c>
      <c r="H964" s="6">
        <v>2</v>
      </c>
      <c r="I964" s="2" t="s">
        <v>2116</v>
      </c>
    </row>
    <row r="965" spans="2:9" x14ac:dyDescent="0.3">
      <c r="B965" s="2" t="s">
        <v>971</v>
      </c>
      <c r="C965" s="3">
        <v>44767</v>
      </c>
      <c r="D965" s="2" t="s">
        <v>2011</v>
      </c>
      <c r="E965" s="2" t="s">
        <v>2034</v>
      </c>
      <c r="F965" s="4">
        <v>1309.54</v>
      </c>
      <c r="G965" s="5">
        <v>222.8</v>
      </c>
      <c r="H965" s="6">
        <v>14</v>
      </c>
      <c r="I965" s="2" t="s">
        <v>2118</v>
      </c>
    </row>
    <row r="966" spans="2:9" x14ac:dyDescent="0.3">
      <c r="B966" s="2" t="s">
        <v>972</v>
      </c>
      <c r="C966" s="3">
        <v>44598</v>
      </c>
      <c r="D966" s="2" t="s">
        <v>2011</v>
      </c>
      <c r="E966" s="2" t="s">
        <v>2022</v>
      </c>
      <c r="F966" s="4">
        <v>2670.84</v>
      </c>
      <c r="G966" s="5">
        <v>259.07</v>
      </c>
      <c r="H966" s="6">
        <v>5</v>
      </c>
      <c r="I966" s="2" t="s">
        <v>2116</v>
      </c>
    </row>
    <row r="967" spans="2:9" x14ac:dyDescent="0.3">
      <c r="B967" s="2" t="s">
        <v>973</v>
      </c>
      <c r="C967" s="3">
        <v>44631</v>
      </c>
      <c r="D967" s="2" t="s">
        <v>2012</v>
      </c>
      <c r="E967" s="2" t="s">
        <v>2099</v>
      </c>
      <c r="F967" s="4">
        <v>3344.33</v>
      </c>
      <c r="G967" s="5">
        <v>930.54</v>
      </c>
      <c r="H967" s="6">
        <v>10</v>
      </c>
      <c r="I967" s="2" t="s">
        <v>2116</v>
      </c>
    </row>
    <row r="968" spans="2:9" x14ac:dyDescent="0.3">
      <c r="B968" s="2" t="s">
        <v>974</v>
      </c>
      <c r="C968" s="3">
        <v>45340</v>
      </c>
      <c r="D968" s="2" t="s">
        <v>2010</v>
      </c>
      <c r="E968" s="2" t="s">
        <v>2099</v>
      </c>
      <c r="F968" s="4">
        <v>3141.47</v>
      </c>
      <c r="G968" s="5">
        <v>53.41</v>
      </c>
      <c r="H968" s="6">
        <v>16</v>
      </c>
      <c r="I968" s="2" t="s">
        <v>2117</v>
      </c>
    </row>
    <row r="969" spans="2:9" x14ac:dyDescent="0.3">
      <c r="B969" s="2" t="s">
        <v>975</v>
      </c>
      <c r="C969" s="3">
        <v>45550</v>
      </c>
      <c r="D969" s="2" t="s">
        <v>2011</v>
      </c>
      <c r="E969" s="2" t="s">
        <v>2017</v>
      </c>
      <c r="F969" s="4">
        <v>2821.79</v>
      </c>
      <c r="G969" s="5">
        <v>272.37</v>
      </c>
      <c r="H969" s="6">
        <v>11</v>
      </c>
      <c r="I969" s="2" t="s">
        <v>2117</v>
      </c>
    </row>
    <row r="970" spans="2:9" x14ac:dyDescent="0.3">
      <c r="B970" s="2" t="s">
        <v>976</v>
      </c>
      <c r="C970" s="3">
        <v>44234</v>
      </c>
      <c r="D970" s="2" t="s">
        <v>2010</v>
      </c>
      <c r="E970" s="2" t="s">
        <v>2014</v>
      </c>
      <c r="F970" s="4">
        <v>3106.47</v>
      </c>
      <c r="G970" s="5">
        <v>244.31</v>
      </c>
      <c r="H970" s="6">
        <v>5</v>
      </c>
      <c r="I970" s="2" t="s">
        <v>2117</v>
      </c>
    </row>
    <row r="971" spans="2:9" x14ac:dyDescent="0.3">
      <c r="B971" s="2" t="s">
        <v>977</v>
      </c>
      <c r="C971" s="3">
        <v>44369</v>
      </c>
      <c r="D971" s="2" t="s">
        <v>2011</v>
      </c>
      <c r="E971" s="2" t="s">
        <v>2101</v>
      </c>
      <c r="F971" s="4">
        <v>4920.63</v>
      </c>
      <c r="G971" s="5">
        <v>310.27999999999997</v>
      </c>
      <c r="H971" s="6">
        <v>3</v>
      </c>
      <c r="I971" s="2" t="s">
        <v>2117</v>
      </c>
    </row>
    <row r="972" spans="2:9" x14ac:dyDescent="0.3">
      <c r="B972" s="2" t="s">
        <v>978</v>
      </c>
      <c r="C972" s="3">
        <v>45541</v>
      </c>
      <c r="D972" s="2" t="s">
        <v>2012</v>
      </c>
      <c r="E972" s="2" t="s">
        <v>2028</v>
      </c>
      <c r="F972" s="4">
        <v>3598.89</v>
      </c>
      <c r="G972" s="5">
        <v>26.38</v>
      </c>
      <c r="H972" s="6">
        <v>6</v>
      </c>
      <c r="I972" s="2" t="s">
        <v>2117</v>
      </c>
    </row>
    <row r="973" spans="2:9" x14ac:dyDescent="0.3">
      <c r="B973" s="2" t="s">
        <v>979</v>
      </c>
      <c r="C973" s="3">
        <v>43926</v>
      </c>
      <c r="D973" s="2" t="s">
        <v>2012</v>
      </c>
      <c r="E973" s="2" t="s">
        <v>2024</v>
      </c>
      <c r="F973" s="4">
        <v>4912.47</v>
      </c>
      <c r="G973" s="5">
        <v>292.92</v>
      </c>
      <c r="H973" s="6">
        <v>13</v>
      </c>
      <c r="I973" s="2" t="s">
        <v>2116</v>
      </c>
    </row>
    <row r="974" spans="2:9" x14ac:dyDescent="0.3">
      <c r="B974" s="2" t="s">
        <v>980</v>
      </c>
      <c r="C974" s="3">
        <v>44166</v>
      </c>
      <c r="D974" s="2" t="s">
        <v>2012</v>
      </c>
      <c r="E974" s="2" t="s">
        <v>2093</v>
      </c>
      <c r="F974" s="4">
        <v>323.39999999999998</v>
      </c>
      <c r="G974" s="5">
        <v>900.09</v>
      </c>
      <c r="H974" s="6">
        <v>1</v>
      </c>
      <c r="I974" s="2" t="s">
        <v>2116</v>
      </c>
    </row>
    <row r="975" spans="2:9" x14ac:dyDescent="0.3">
      <c r="B975" s="2" t="s">
        <v>981</v>
      </c>
      <c r="C975" s="3">
        <v>45380</v>
      </c>
      <c r="D975" s="2" t="s">
        <v>2012</v>
      </c>
      <c r="E975" s="2" t="s">
        <v>2028</v>
      </c>
      <c r="F975" s="4">
        <v>1542.23</v>
      </c>
      <c r="G975" s="5">
        <v>196.75</v>
      </c>
      <c r="H975" s="6">
        <v>3</v>
      </c>
      <c r="I975" s="2" t="s">
        <v>2117</v>
      </c>
    </row>
    <row r="976" spans="2:9" x14ac:dyDescent="0.3">
      <c r="B976" s="2" t="s">
        <v>982</v>
      </c>
      <c r="C976" s="3">
        <v>44326</v>
      </c>
      <c r="D976" s="2" t="s">
        <v>2010</v>
      </c>
      <c r="E976" s="2" t="s">
        <v>2046</v>
      </c>
      <c r="F976" s="4">
        <v>4853.8900000000003</v>
      </c>
      <c r="G976" s="5">
        <v>211.16</v>
      </c>
      <c r="H976" s="6">
        <v>13</v>
      </c>
      <c r="I976" s="2" t="s">
        <v>2118</v>
      </c>
    </row>
    <row r="977" spans="2:9" x14ac:dyDescent="0.3">
      <c r="B977" s="2" t="s">
        <v>983</v>
      </c>
      <c r="C977" s="3">
        <v>45538</v>
      </c>
      <c r="D977" s="2" t="s">
        <v>2010</v>
      </c>
      <c r="E977" s="2" t="s">
        <v>2036</v>
      </c>
      <c r="F977" s="4">
        <v>4604.28</v>
      </c>
      <c r="G977" s="5">
        <v>542.63</v>
      </c>
      <c r="H977" s="6">
        <v>9</v>
      </c>
      <c r="I977" s="2" t="s">
        <v>2116</v>
      </c>
    </row>
    <row r="978" spans="2:9" x14ac:dyDescent="0.3">
      <c r="B978" s="2" t="s">
        <v>984</v>
      </c>
      <c r="C978" s="3">
        <v>45237</v>
      </c>
      <c r="D978" s="2" t="s">
        <v>2009</v>
      </c>
      <c r="E978" s="2" t="s">
        <v>2021</v>
      </c>
      <c r="F978" s="4">
        <v>3244.25</v>
      </c>
      <c r="G978" s="5">
        <v>901.96</v>
      </c>
      <c r="H978" s="6">
        <v>3</v>
      </c>
      <c r="I978" s="2" t="s">
        <v>2117</v>
      </c>
    </row>
    <row r="979" spans="2:9" x14ac:dyDescent="0.3">
      <c r="B979" s="2" t="s">
        <v>985</v>
      </c>
      <c r="C979" s="3">
        <v>44630</v>
      </c>
      <c r="D979" s="2" t="s">
        <v>2011</v>
      </c>
      <c r="E979" s="2" t="s">
        <v>2084</v>
      </c>
      <c r="F979" s="4">
        <v>1747.38</v>
      </c>
      <c r="G979" s="5">
        <v>423.17</v>
      </c>
      <c r="H979" s="6">
        <v>10</v>
      </c>
      <c r="I979" s="2" t="s">
        <v>2116</v>
      </c>
    </row>
    <row r="980" spans="2:9" x14ac:dyDescent="0.3">
      <c r="B980" s="2" t="s">
        <v>986</v>
      </c>
      <c r="C980" s="3">
        <v>45187</v>
      </c>
      <c r="D980" s="2" t="s">
        <v>2011</v>
      </c>
      <c r="E980" s="2" t="s">
        <v>2110</v>
      </c>
      <c r="F980" s="4">
        <v>4260.82</v>
      </c>
      <c r="G980" s="5">
        <v>443.27</v>
      </c>
      <c r="H980" s="6">
        <v>17</v>
      </c>
      <c r="I980" s="2" t="s">
        <v>2117</v>
      </c>
    </row>
    <row r="981" spans="2:9" x14ac:dyDescent="0.3">
      <c r="B981" s="2" t="s">
        <v>987</v>
      </c>
      <c r="C981" s="3">
        <v>43847</v>
      </c>
      <c r="D981" s="2" t="s">
        <v>2009</v>
      </c>
      <c r="E981" s="2" t="s">
        <v>2081</v>
      </c>
      <c r="F981" s="4">
        <v>3916.09</v>
      </c>
      <c r="G981" s="5">
        <v>481.54</v>
      </c>
      <c r="H981" s="6">
        <v>4</v>
      </c>
      <c r="I981" s="2" t="s">
        <v>2118</v>
      </c>
    </row>
    <row r="982" spans="2:9" x14ac:dyDescent="0.3">
      <c r="B982" s="2" t="s">
        <v>988</v>
      </c>
      <c r="C982" s="3">
        <v>45572</v>
      </c>
      <c r="D982" s="2" t="s">
        <v>2011</v>
      </c>
      <c r="E982" s="2" t="s">
        <v>2035</v>
      </c>
      <c r="F982" s="4">
        <v>262.92</v>
      </c>
      <c r="G982" s="5">
        <v>205.66</v>
      </c>
      <c r="H982" s="6">
        <v>17</v>
      </c>
      <c r="I982" s="2" t="s">
        <v>2116</v>
      </c>
    </row>
    <row r="983" spans="2:9" x14ac:dyDescent="0.3">
      <c r="B983" s="2" t="s">
        <v>989</v>
      </c>
      <c r="C983" s="3">
        <v>44002</v>
      </c>
      <c r="D983" s="2" t="s">
        <v>2009</v>
      </c>
      <c r="E983" s="2" t="s">
        <v>2094</v>
      </c>
      <c r="F983" s="4">
        <v>1188.7</v>
      </c>
      <c r="G983" s="5">
        <v>258.86</v>
      </c>
      <c r="H983" s="6">
        <v>16</v>
      </c>
      <c r="I983" s="2" t="s">
        <v>2117</v>
      </c>
    </row>
    <row r="984" spans="2:9" x14ac:dyDescent="0.3">
      <c r="B984" s="2" t="s">
        <v>990</v>
      </c>
      <c r="C984" s="3">
        <v>44405</v>
      </c>
      <c r="D984" s="2" t="s">
        <v>2009</v>
      </c>
      <c r="E984" s="2" t="s">
        <v>2048</v>
      </c>
      <c r="F984" s="4">
        <v>4272.4399999999996</v>
      </c>
      <c r="G984" s="5">
        <v>134.59</v>
      </c>
      <c r="H984" s="6">
        <v>11</v>
      </c>
      <c r="I984" s="2" t="s">
        <v>2117</v>
      </c>
    </row>
    <row r="985" spans="2:9" x14ac:dyDescent="0.3">
      <c r="B985" s="2" t="s">
        <v>991</v>
      </c>
      <c r="C985" s="3">
        <v>45352</v>
      </c>
      <c r="D985" s="2" t="s">
        <v>2012</v>
      </c>
      <c r="E985" s="2" t="s">
        <v>2066</v>
      </c>
      <c r="F985" s="4">
        <v>2285.06</v>
      </c>
      <c r="G985" s="5">
        <v>743.15</v>
      </c>
      <c r="H985" s="6">
        <v>7</v>
      </c>
      <c r="I985" s="2" t="s">
        <v>2118</v>
      </c>
    </row>
    <row r="986" spans="2:9" x14ac:dyDescent="0.3">
      <c r="B986" s="2" t="s">
        <v>992</v>
      </c>
      <c r="C986" s="3">
        <v>45407</v>
      </c>
      <c r="D986" s="2" t="s">
        <v>2011</v>
      </c>
      <c r="E986" s="2" t="s">
        <v>2079</v>
      </c>
      <c r="F986" s="4">
        <v>4848.45</v>
      </c>
      <c r="G986" s="5">
        <v>285.51</v>
      </c>
      <c r="H986" s="6">
        <v>16</v>
      </c>
      <c r="I986" s="2" t="s">
        <v>2117</v>
      </c>
    </row>
    <row r="987" spans="2:9" x14ac:dyDescent="0.3">
      <c r="B987" s="2" t="s">
        <v>993</v>
      </c>
      <c r="C987" s="3">
        <v>43869</v>
      </c>
      <c r="D987" s="2" t="s">
        <v>2012</v>
      </c>
      <c r="E987" s="2" t="s">
        <v>2063</v>
      </c>
      <c r="F987" s="4">
        <v>2098.0100000000002</v>
      </c>
      <c r="G987" s="5">
        <v>469.47</v>
      </c>
      <c r="H987" s="6">
        <v>1</v>
      </c>
      <c r="I987" s="2" t="s">
        <v>2117</v>
      </c>
    </row>
    <row r="988" spans="2:9" x14ac:dyDescent="0.3">
      <c r="B988" s="2" t="s">
        <v>994</v>
      </c>
      <c r="C988" s="3">
        <v>44200</v>
      </c>
      <c r="D988" s="2" t="s">
        <v>2010</v>
      </c>
      <c r="E988" s="2" t="s">
        <v>2094</v>
      </c>
      <c r="F988" s="4">
        <v>464.24</v>
      </c>
      <c r="G988" s="5">
        <v>816.94</v>
      </c>
      <c r="H988" s="6">
        <v>1</v>
      </c>
      <c r="I988" s="2" t="s">
        <v>2117</v>
      </c>
    </row>
    <row r="989" spans="2:9" x14ac:dyDescent="0.3">
      <c r="B989" s="2" t="s">
        <v>995</v>
      </c>
      <c r="C989" s="3">
        <v>45449</v>
      </c>
      <c r="D989" s="2" t="s">
        <v>2010</v>
      </c>
      <c r="E989" s="2" t="s">
        <v>2081</v>
      </c>
      <c r="F989" s="4">
        <v>1077.5</v>
      </c>
      <c r="G989" s="5">
        <v>731.26</v>
      </c>
      <c r="H989" s="6">
        <v>17</v>
      </c>
      <c r="I989" s="2" t="s">
        <v>2116</v>
      </c>
    </row>
    <row r="990" spans="2:9" x14ac:dyDescent="0.3">
      <c r="B990" s="2" t="s">
        <v>996</v>
      </c>
      <c r="C990" s="3">
        <v>44348</v>
      </c>
      <c r="D990" s="2" t="s">
        <v>2010</v>
      </c>
      <c r="E990" s="2" t="s">
        <v>2019</v>
      </c>
      <c r="F990" s="4">
        <v>4763.84</v>
      </c>
      <c r="G990" s="5">
        <v>299.14999999999998</v>
      </c>
      <c r="H990" s="6">
        <v>4</v>
      </c>
      <c r="I990" s="2" t="s">
        <v>2118</v>
      </c>
    </row>
    <row r="991" spans="2:9" x14ac:dyDescent="0.3">
      <c r="B991" s="2" t="s">
        <v>997</v>
      </c>
      <c r="C991" s="3">
        <v>44394</v>
      </c>
      <c r="D991" s="2" t="s">
        <v>2009</v>
      </c>
      <c r="E991" s="2" t="s">
        <v>2036</v>
      </c>
      <c r="F991" s="4">
        <v>4816.6000000000004</v>
      </c>
      <c r="G991" s="5">
        <v>209.1</v>
      </c>
      <c r="H991" s="6">
        <v>11</v>
      </c>
      <c r="I991" s="2" t="s">
        <v>2116</v>
      </c>
    </row>
    <row r="992" spans="2:9" x14ac:dyDescent="0.3">
      <c r="B992" s="2" t="s">
        <v>998</v>
      </c>
      <c r="C992" s="3">
        <v>44625</v>
      </c>
      <c r="D992" s="2" t="s">
        <v>2012</v>
      </c>
      <c r="E992" s="2" t="s">
        <v>2086</v>
      </c>
      <c r="F992" s="4">
        <v>2801.61</v>
      </c>
      <c r="G992" s="5">
        <v>590.53</v>
      </c>
      <c r="H992" s="6">
        <v>1</v>
      </c>
      <c r="I992" s="2" t="s">
        <v>2118</v>
      </c>
    </row>
    <row r="993" spans="2:9" x14ac:dyDescent="0.3">
      <c r="B993" s="2" t="s">
        <v>999</v>
      </c>
      <c r="C993" s="3">
        <v>45496</v>
      </c>
      <c r="D993" s="2" t="s">
        <v>2010</v>
      </c>
      <c r="E993" s="2" t="s">
        <v>2099</v>
      </c>
      <c r="F993" s="4">
        <v>1859.18</v>
      </c>
      <c r="G993" s="5">
        <v>643.78</v>
      </c>
      <c r="H993" s="6">
        <v>5</v>
      </c>
      <c r="I993" s="2" t="s">
        <v>2116</v>
      </c>
    </row>
    <row r="994" spans="2:9" x14ac:dyDescent="0.3">
      <c r="B994" s="2" t="s">
        <v>1000</v>
      </c>
      <c r="C994" s="3">
        <v>43894</v>
      </c>
      <c r="D994" s="2" t="s">
        <v>2012</v>
      </c>
      <c r="E994" s="2" t="s">
        <v>2061</v>
      </c>
      <c r="F994" s="4">
        <v>80.36</v>
      </c>
      <c r="G994" s="5">
        <v>755.11</v>
      </c>
      <c r="H994" s="6">
        <v>17</v>
      </c>
      <c r="I994" s="2" t="s">
        <v>2118</v>
      </c>
    </row>
    <row r="995" spans="2:9" x14ac:dyDescent="0.3">
      <c r="B995" s="2" t="s">
        <v>1001</v>
      </c>
      <c r="C995" s="3">
        <v>45330</v>
      </c>
      <c r="D995" s="2" t="s">
        <v>2010</v>
      </c>
      <c r="E995" s="2" t="s">
        <v>2018</v>
      </c>
      <c r="F995" s="4">
        <v>1898.9</v>
      </c>
      <c r="G995" s="5">
        <v>225.73</v>
      </c>
      <c r="H995" s="6">
        <v>15</v>
      </c>
      <c r="I995" s="2" t="s">
        <v>2117</v>
      </c>
    </row>
    <row r="996" spans="2:9" x14ac:dyDescent="0.3">
      <c r="B996" s="2" t="s">
        <v>1002</v>
      </c>
      <c r="C996" s="3">
        <v>44387</v>
      </c>
      <c r="D996" s="2" t="s">
        <v>2009</v>
      </c>
      <c r="E996" s="2" t="s">
        <v>2026</v>
      </c>
      <c r="F996" s="4">
        <v>4001.97</v>
      </c>
      <c r="G996" s="5">
        <v>677.16</v>
      </c>
      <c r="H996" s="6">
        <v>15</v>
      </c>
      <c r="I996" s="2" t="s">
        <v>2116</v>
      </c>
    </row>
    <row r="997" spans="2:9" x14ac:dyDescent="0.3">
      <c r="B997" s="2" t="s">
        <v>1003</v>
      </c>
      <c r="C997" s="3">
        <v>44211</v>
      </c>
      <c r="D997" s="2" t="s">
        <v>2012</v>
      </c>
      <c r="E997" s="2" t="s">
        <v>2088</v>
      </c>
      <c r="F997" s="4">
        <v>2685.68</v>
      </c>
      <c r="G997" s="5">
        <v>76.989999999999995</v>
      </c>
      <c r="H997" s="6">
        <v>8</v>
      </c>
      <c r="I997" s="2" t="s">
        <v>2116</v>
      </c>
    </row>
    <row r="998" spans="2:9" x14ac:dyDescent="0.3">
      <c r="B998" s="2" t="s">
        <v>1004</v>
      </c>
      <c r="C998" s="3">
        <v>44162</v>
      </c>
      <c r="D998" s="2" t="s">
        <v>2012</v>
      </c>
      <c r="E998" s="2" t="s">
        <v>2016</v>
      </c>
      <c r="F998" s="4">
        <v>1818.34</v>
      </c>
      <c r="G998" s="5">
        <v>997.33</v>
      </c>
      <c r="H998" s="6">
        <v>7</v>
      </c>
      <c r="I998" s="2" t="s">
        <v>2117</v>
      </c>
    </row>
    <row r="999" spans="2:9" x14ac:dyDescent="0.3">
      <c r="B999" s="2" t="s">
        <v>1005</v>
      </c>
      <c r="C999" s="3">
        <v>45311</v>
      </c>
      <c r="D999" s="2" t="s">
        <v>2010</v>
      </c>
      <c r="E999" s="2" t="s">
        <v>2040</v>
      </c>
      <c r="F999" s="4">
        <v>461.86</v>
      </c>
      <c r="G999" s="5">
        <v>87.92</v>
      </c>
      <c r="H999" s="6">
        <v>13</v>
      </c>
      <c r="I999" s="2" t="s">
        <v>2118</v>
      </c>
    </row>
    <row r="1000" spans="2:9" x14ac:dyDescent="0.3">
      <c r="B1000" s="2" t="s">
        <v>1006</v>
      </c>
      <c r="C1000" s="3">
        <v>44335</v>
      </c>
      <c r="D1000" s="2" t="s">
        <v>2011</v>
      </c>
      <c r="E1000" s="2" t="s">
        <v>2013</v>
      </c>
      <c r="F1000" s="4">
        <v>3397.67</v>
      </c>
      <c r="G1000" s="5">
        <v>712.63</v>
      </c>
      <c r="H1000" s="6">
        <v>17</v>
      </c>
      <c r="I1000" s="2" t="s">
        <v>2117</v>
      </c>
    </row>
    <row r="1001" spans="2:9" x14ac:dyDescent="0.3">
      <c r="B1001" s="2" t="s">
        <v>1007</v>
      </c>
      <c r="C1001" s="3">
        <v>43956</v>
      </c>
      <c r="D1001" s="2" t="s">
        <v>2012</v>
      </c>
      <c r="E1001" s="2" t="s">
        <v>2061</v>
      </c>
      <c r="F1001" s="4">
        <v>4210.71</v>
      </c>
      <c r="G1001" s="5">
        <v>203.21</v>
      </c>
      <c r="H1001" s="6">
        <v>14</v>
      </c>
      <c r="I1001" s="2" t="s">
        <v>2116</v>
      </c>
    </row>
    <row r="1002" spans="2:9" x14ac:dyDescent="0.3">
      <c r="B1002" s="2" t="s">
        <v>1008</v>
      </c>
      <c r="C1002" s="3">
        <v>45299</v>
      </c>
      <c r="D1002" s="2" t="s">
        <v>2011</v>
      </c>
      <c r="E1002" s="2" t="s">
        <v>2042</v>
      </c>
      <c r="F1002" s="4">
        <v>4461.79</v>
      </c>
      <c r="G1002" s="5">
        <v>94.19</v>
      </c>
      <c r="H1002" s="6">
        <v>5</v>
      </c>
      <c r="I1002" s="2" t="s">
        <v>2118</v>
      </c>
    </row>
    <row r="1003" spans="2:9" x14ac:dyDescent="0.3">
      <c r="B1003" s="2" t="s">
        <v>1009</v>
      </c>
      <c r="C1003" s="3">
        <v>45048</v>
      </c>
      <c r="D1003" s="2" t="s">
        <v>2010</v>
      </c>
      <c r="E1003" s="2" t="s">
        <v>2013</v>
      </c>
      <c r="F1003" s="4">
        <v>915.4</v>
      </c>
      <c r="G1003" s="5">
        <v>265.13</v>
      </c>
      <c r="H1003" s="6">
        <v>20</v>
      </c>
      <c r="I1003" s="2" t="s">
        <v>2116</v>
      </c>
    </row>
    <row r="1004" spans="2:9" x14ac:dyDescent="0.3">
      <c r="B1004" s="2" t="s">
        <v>1010</v>
      </c>
      <c r="C1004" s="3">
        <v>44699</v>
      </c>
      <c r="D1004" s="2" t="s">
        <v>2009</v>
      </c>
      <c r="E1004" s="2" t="s">
        <v>2057</v>
      </c>
      <c r="F1004" s="4">
        <v>1005.26</v>
      </c>
      <c r="G1004" s="5">
        <v>886.87</v>
      </c>
      <c r="H1004" s="6">
        <v>13</v>
      </c>
      <c r="I1004" s="2" t="s">
        <v>2116</v>
      </c>
    </row>
    <row r="1005" spans="2:9" x14ac:dyDescent="0.3">
      <c r="B1005" s="2" t="s">
        <v>1011</v>
      </c>
      <c r="C1005" s="3">
        <v>44974</v>
      </c>
      <c r="D1005" s="2" t="s">
        <v>2010</v>
      </c>
      <c r="E1005" s="2" t="s">
        <v>2088</v>
      </c>
      <c r="F1005" s="4">
        <v>3879.86</v>
      </c>
      <c r="G1005" s="5">
        <v>135.75</v>
      </c>
      <c r="H1005" s="6">
        <v>17</v>
      </c>
      <c r="I1005" s="2" t="s">
        <v>2118</v>
      </c>
    </row>
    <row r="1006" spans="2:9" x14ac:dyDescent="0.3">
      <c r="B1006" s="2" t="s">
        <v>1012</v>
      </c>
      <c r="C1006" s="3">
        <v>44834</v>
      </c>
      <c r="D1006" s="2" t="s">
        <v>2010</v>
      </c>
      <c r="E1006" s="2" t="s">
        <v>2034</v>
      </c>
      <c r="F1006" s="4">
        <v>413.73</v>
      </c>
      <c r="G1006" s="5">
        <v>819.15</v>
      </c>
      <c r="H1006" s="6">
        <v>6</v>
      </c>
      <c r="I1006" s="2" t="s">
        <v>2118</v>
      </c>
    </row>
    <row r="1007" spans="2:9" x14ac:dyDescent="0.3">
      <c r="B1007" s="2" t="s">
        <v>1013</v>
      </c>
      <c r="C1007" s="3">
        <v>45482</v>
      </c>
      <c r="D1007" s="2" t="s">
        <v>2009</v>
      </c>
      <c r="E1007" s="2" t="s">
        <v>2042</v>
      </c>
      <c r="F1007" s="4">
        <v>3304.82</v>
      </c>
      <c r="G1007" s="5">
        <v>19.28</v>
      </c>
      <c r="H1007" s="6">
        <v>13</v>
      </c>
      <c r="I1007" s="2" t="s">
        <v>2117</v>
      </c>
    </row>
    <row r="1008" spans="2:9" x14ac:dyDescent="0.3">
      <c r="B1008" s="2" t="s">
        <v>1014</v>
      </c>
      <c r="C1008" s="3">
        <v>45486</v>
      </c>
      <c r="D1008" s="2" t="s">
        <v>2009</v>
      </c>
      <c r="E1008" s="2" t="s">
        <v>2013</v>
      </c>
      <c r="F1008" s="4">
        <v>288.11</v>
      </c>
      <c r="G1008" s="5">
        <v>915.71</v>
      </c>
      <c r="H1008" s="6">
        <v>12</v>
      </c>
      <c r="I1008" s="2" t="s">
        <v>2118</v>
      </c>
    </row>
    <row r="1009" spans="2:9" x14ac:dyDescent="0.3">
      <c r="B1009" s="2" t="s">
        <v>1015</v>
      </c>
      <c r="C1009" s="3">
        <v>45130</v>
      </c>
      <c r="D1009" s="2" t="s">
        <v>2009</v>
      </c>
      <c r="E1009" s="2" t="s">
        <v>2024</v>
      </c>
      <c r="F1009" s="4">
        <v>4781.9399999999996</v>
      </c>
      <c r="G1009" s="5">
        <v>622.63</v>
      </c>
      <c r="H1009" s="6">
        <v>8</v>
      </c>
      <c r="I1009" s="2" t="s">
        <v>2116</v>
      </c>
    </row>
    <row r="1010" spans="2:9" x14ac:dyDescent="0.3">
      <c r="B1010" s="2" t="s">
        <v>1016</v>
      </c>
      <c r="C1010" s="3">
        <v>44469</v>
      </c>
      <c r="D1010" s="2" t="s">
        <v>2011</v>
      </c>
      <c r="E1010" s="2" t="s">
        <v>2071</v>
      </c>
      <c r="F1010" s="4">
        <v>3101.86</v>
      </c>
      <c r="G1010" s="5">
        <v>958.81</v>
      </c>
      <c r="H1010" s="6">
        <v>8</v>
      </c>
      <c r="I1010" s="2" t="s">
        <v>2116</v>
      </c>
    </row>
    <row r="1011" spans="2:9" x14ac:dyDescent="0.3">
      <c r="B1011" s="2" t="s">
        <v>1017</v>
      </c>
      <c r="C1011" s="3">
        <v>45467</v>
      </c>
      <c r="D1011" s="2" t="s">
        <v>2009</v>
      </c>
      <c r="E1011" s="2" t="s">
        <v>2033</v>
      </c>
      <c r="F1011" s="4">
        <v>3099.97</v>
      </c>
      <c r="G1011" s="5">
        <v>791.55</v>
      </c>
      <c r="H1011" s="6">
        <v>11</v>
      </c>
      <c r="I1011" s="2" t="s">
        <v>2117</v>
      </c>
    </row>
    <row r="1012" spans="2:9" x14ac:dyDescent="0.3">
      <c r="B1012" s="2" t="s">
        <v>1018</v>
      </c>
      <c r="C1012" s="3">
        <v>45517</v>
      </c>
      <c r="D1012" s="2" t="s">
        <v>2009</v>
      </c>
      <c r="E1012" s="2" t="s">
        <v>2058</v>
      </c>
      <c r="F1012" s="4">
        <v>169.95</v>
      </c>
      <c r="G1012" s="5">
        <v>718.1</v>
      </c>
      <c r="H1012" s="6">
        <v>4</v>
      </c>
      <c r="I1012" s="2" t="s">
        <v>2117</v>
      </c>
    </row>
    <row r="1013" spans="2:9" x14ac:dyDescent="0.3">
      <c r="B1013" s="2" t="s">
        <v>1019</v>
      </c>
      <c r="C1013" s="3">
        <v>44094</v>
      </c>
      <c r="D1013" s="2" t="s">
        <v>2011</v>
      </c>
      <c r="E1013" s="2" t="s">
        <v>2065</v>
      </c>
      <c r="F1013" s="4">
        <v>2569.11</v>
      </c>
      <c r="G1013" s="5">
        <v>89.15</v>
      </c>
      <c r="H1013" s="6">
        <v>4</v>
      </c>
      <c r="I1013" s="2" t="s">
        <v>2116</v>
      </c>
    </row>
    <row r="1014" spans="2:9" x14ac:dyDescent="0.3">
      <c r="B1014" s="2" t="s">
        <v>1020</v>
      </c>
      <c r="C1014" s="3">
        <v>44916</v>
      </c>
      <c r="D1014" s="2" t="s">
        <v>2012</v>
      </c>
      <c r="E1014" s="2" t="s">
        <v>2018</v>
      </c>
      <c r="F1014" s="4">
        <v>1165.6600000000001</v>
      </c>
      <c r="G1014" s="5">
        <v>735.14</v>
      </c>
      <c r="H1014" s="6">
        <v>2</v>
      </c>
      <c r="I1014" s="2" t="s">
        <v>2117</v>
      </c>
    </row>
    <row r="1015" spans="2:9" x14ac:dyDescent="0.3">
      <c r="B1015" s="2" t="s">
        <v>1021</v>
      </c>
      <c r="C1015" s="3">
        <v>44817</v>
      </c>
      <c r="D1015" s="2" t="s">
        <v>2009</v>
      </c>
      <c r="E1015" s="2" t="s">
        <v>2111</v>
      </c>
      <c r="F1015" s="4">
        <v>424.59</v>
      </c>
      <c r="G1015" s="5">
        <v>114.97</v>
      </c>
      <c r="H1015" s="6">
        <v>7</v>
      </c>
      <c r="I1015" s="2" t="s">
        <v>2117</v>
      </c>
    </row>
    <row r="1016" spans="2:9" x14ac:dyDescent="0.3">
      <c r="B1016" s="2" t="s">
        <v>1022</v>
      </c>
      <c r="C1016" s="3">
        <v>45401</v>
      </c>
      <c r="D1016" s="2" t="s">
        <v>2009</v>
      </c>
      <c r="E1016" s="2" t="s">
        <v>2074</v>
      </c>
      <c r="F1016" s="4">
        <v>3626.6</v>
      </c>
      <c r="G1016" s="5">
        <v>359.7</v>
      </c>
      <c r="H1016" s="6">
        <v>16</v>
      </c>
      <c r="I1016" s="2" t="s">
        <v>2116</v>
      </c>
    </row>
    <row r="1017" spans="2:9" x14ac:dyDescent="0.3">
      <c r="B1017" s="2" t="s">
        <v>1023</v>
      </c>
      <c r="C1017" s="3">
        <v>44539</v>
      </c>
      <c r="D1017" s="2" t="s">
        <v>2012</v>
      </c>
      <c r="E1017" s="2" t="s">
        <v>2032</v>
      </c>
      <c r="F1017" s="4">
        <v>3704</v>
      </c>
      <c r="G1017" s="5">
        <v>916.19</v>
      </c>
      <c r="H1017" s="6">
        <v>12</v>
      </c>
      <c r="I1017" s="2" t="s">
        <v>2116</v>
      </c>
    </row>
    <row r="1018" spans="2:9" x14ac:dyDescent="0.3">
      <c r="B1018" s="2" t="s">
        <v>1024</v>
      </c>
      <c r="C1018" s="3">
        <v>43904</v>
      </c>
      <c r="D1018" s="2" t="s">
        <v>2011</v>
      </c>
      <c r="E1018" s="2" t="s">
        <v>2055</v>
      </c>
      <c r="F1018" s="4">
        <v>4125.41</v>
      </c>
      <c r="G1018" s="5">
        <v>677.21</v>
      </c>
      <c r="H1018" s="6">
        <v>14</v>
      </c>
      <c r="I1018" s="2" t="s">
        <v>2116</v>
      </c>
    </row>
    <row r="1019" spans="2:9" x14ac:dyDescent="0.3">
      <c r="B1019" s="2" t="s">
        <v>1025</v>
      </c>
      <c r="C1019" s="3">
        <v>44704</v>
      </c>
      <c r="D1019" s="2" t="s">
        <v>2011</v>
      </c>
      <c r="E1019" s="2" t="s">
        <v>2042</v>
      </c>
      <c r="F1019" s="4">
        <v>3949.47</v>
      </c>
      <c r="G1019" s="5">
        <v>184.96</v>
      </c>
      <c r="H1019" s="6">
        <v>15</v>
      </c>
      <c r="I1019" s="2" t="s">
        <v>2116</v>
      </c>
    </row>
    <row r="1020" spans="2:9" x14ac:dyDescent="0.3">
      <c r="B1020" s="2" t="s">
        <v>1026</v>
      </c>
      <c r="C1020" s="3">
        <v>44889</v>
      </c>
      <c r="D1020" s="2" t="s">
        <v>2011</v>
      </c>
      <c r="E1020" s="2" t="s">
        <v>2112</v>
      </c>
      <c r="F1020" s="4">
        <v>1199.1600000000001</v>
      </c>
      <c r="G1020" s="5">
        <v>604.57000000000005</v>
      </c>
      <c r="H1020" s="6">
        <v>12</v>
      </c>
      <c r="I1020" s="2" t="s">
        <v>2116</v>
      </c>
    </row>
    <row r="1021" spans="2:9" x14ac:dyDescent="0.3">
      <c r="B1021" s="2" t="s">
        <v>1027</v>
      </c>
      <c r="C1021" s="3">
        <v>45517</v>
      </c>
      <c r="D1021" s="2" t="s">
        <v>2010</v>
      </c>
      <c r="E1021" s="2" t="s">
        <v>2033</v>
      </c>
      <c r="F1021" s="4">
        <v>1765.99</v>
      </c>
      <c r="G1021" s="5">
        <v>493.75</v>
      </c>
      <c r="H1021" s="6">
        <v>5</v>
      </c>
      <c r="I1021" s="2" t="s">
        <v>2116</v>
      </c>
    </row>
    <row r="1022" spans="2:9" x14ac:dyDescent="0.3">
      <c r="B1022" s="2" t="s">
        <v>1028</v>
      </c>
      <c r="C1022" s="3">
        <v>44661</v>
      </c>
      <c r="D1022" s="2" t="s">
        <v>2011</v>
      </c>
      <c r="E1022" s="2" t="s">
        <v>2081</v>
      </c>
      <c r="F1022" s="4">
        <v>3905.95</v>
      </c>
      <c r="G1022" s="5">
        <v>771.15</v>
      </c>
      <c r="H1022" s="6">
        <v>6</v>
      </c>
      <c r="I1022" s="2" t="s">
        <v>2118</v>
      </c>
    </row>
    <row r="1023" spans="2:9" x14ac:dyDescent="0.3">
      <c r="B1023" s="2" t="s">
        <v>1029</v>
      </c>
      <c r="C1023" s="3">
        <v>45560</v>
      </c>
      <c r="D1023" s="2" t="s">
        <v>2012</v>
      </c>
      <c r="E1023" s="2" t="s">
        <v>2034</v>
      </c>
      <c r="F1023" s="4">
        <v>3413.6</v>
      </c>
      <c r="G1023" s="5">
        <v>964.91</v>
      </c>
      <c r="H1023" s="6">
        <v>13</v>
      </c>
      <c r="I1023" s="2" t="s">
        <v>2118</v>
      </c>
    </row>
    <row r="1024" spans="2:9" x14ac:dyDescent="0.3">
      <c r="B1024" s="2" t="s">
        <v>1030</v>
      </c>
      <c r="C1024" s="3">
        <v>45605</v>
      </c>
      <c r="D1024" s="2" t="s">
        <v>2011</v>
      </c>
      <c r="E1024" s="2" t="s">
        <v>2044</v>
      </c>
      <c r="F1024" s="4">
        <v>4930.71</v>
      </c>
      <c r="G1024" s="5">
        <v>408.55</v>
      </c>
      <c r="H1024" s="6">
        <v>4</v>
      </c>
      <c r="I1024" s="2" t="s">
        <v>2116</v>
      </c>
    </row>
    <row r="1025" spans="2:9" x14ac:dyDescent="0.3">
      <c r="B1025" s="2" t="s">
        <v>1031</v>
      </c>
      <c r="C1025" s="3">
        <v>44137</v>
      </c>
      <c r="D1025" s="2" t="s">
        <v>2009</v>
      </c>
      <c r="E1025" s="2" t="s">
        <v>2017</v>
      </c>
      <c r="F1025" s="4">
        <v>3120.29</v>
      </c>
      <c r="G1025" s="5">
        <v>74.849999999999994</v>
      </c>
      <c r="H1025" s="6">
        <v>16</v>
      </c>
      <c r="I1025" s="2" t="s">
        <v>2116</v>
      </c>
    </row>
    <row r="1026" spans="2:9" x14ac:dyDescent="0.3">
      <c r="B1026" s="2" t="s">
        <v>1032</v>
      </c>
      <c r="C1026" s="3">
        <v>44418</v>
      </c>
      <c r="D1026" s="2" t="s">
        <v>2012</v>
      </c>
      <c r="E1026" s="2" t="s">
        <v>2056</v>
      </c>
      <c r="F1026" s="4">
        <v>847.74</v>
      </c>
      <c r="G1026" s="5">
        <v>385.76</v>
      </c>
      <c r="H1026" s="6">
        <v>20</v>
      </c>
      <c r="I1026" s="2" t="s">
        <v>2118</v>
      </c>
    </row>
    <row r="1027" spans="2:9" x14ac:dyDescent="0.3">
      <c r="B1027" s="2" t="s">
        <v>1033</v>
      </c>
      <c r="C1027" s="3">
        <v>44583</v>
      </c>
      <c r="D1027" s="2" t="s">
        <v>2009</v>
      </c>
      <c r="E1027" s="2" t="s">
        <v>2082</v>
      </c>
      <c r="F1027" s="4">
        <v>2324.75</v>
      </c>
      <c r="G1027" s="5">
        <v>518.75</v>
      </c>
      <c r="H1027" s="6">
        <v>6</v>
      </c>
      <c r="I1027" s="2" t="s">
        <v>2117</v>
      </c>
    </row>
    <row r="1028" spans="2:9" x14ac:dyDescent="0.3">
      <c r="B1028" s="2" t="s">
        <v>1034</v>
      </c>
      <c r="C1028" s="3">
        <v>45139</v>
      </c>
      <c r="D1028" s="2" t="s">
        <v>2010</v>
      </c>
      <c r="E1028" s="2" t="s">
        <v>2108</v>
      </c>
      <c r="F1028" s="4">
        <v>4935.58</v>
      </c>
      <c r="G1028" s="5">
        <v>679.43</v>
      </c>
      <c r="H1028" s="6">
        <v>14</v>
      </c>
      <c r="I1028" s="2" t="s">
        <v>2117</v>
      </c>
    </row>
    <row r="1029" spans="2:9" x14ac:dyDescent="0.3">
      <c r="B1029" s="2" t="s">
        <v>1035</v>
      </c>
      <c r="C1029" s="3">
        <v>44911</v>
      </c>
      <c r="D1029" s="2" t="s">
        <v>2010</v>
      </c>
      <c r="E1029" s="2" t="s">
        <v>2089</v>
      </c>
      <c r="F1029" s="4">
        <v>2091.9699999999998</v>
      </c>
      <c r="G1029" s="5">
        <v>412.09</v>
      </c>
      <c r="H1029" s="6">
        <v>4</v>
      </c>
      <c r="I1029" s="2" t="s">
        <v>2117</v>
      </c>
    </row>
    <row r="1030" spans="2:9" x14ac:dyDescent="0.3">
      <c r="B1030" s="2" t="s">
        <v>1036</v>
      </c>
      <c r="C1030" s="3">
        <v>44397</v>
      </c>
      <c r="D1030" s="2" t="s">
        <v>2009</v>
      </c>
      <c r="E1030" s="2" t="s">
        <v>2024</v>
      </c>
      <c r="F1030" s="4">
        <v>2698.88</v>
      </c>
      <c r="G1030" s="5">
        <v>502.7</v>
      </c>
      <c r="H1030" s="6">
        <v>19</v>
      </c>
      <c r="I1030" s="2" t="s">
        <v>2118</v>
      </c>
    </row>
    <row r="1031" spans="2:9" x14ac:dyDescent="0.3">
      <c r="B1031" s="2" t="s">
        <v>1037</v>
      </c>
      <c r="C1031" s="3">
        <v>45206</v>
      </c>
      <c r="D1031" s="2" t="s">
        <v>2011</v>
      </c>
      <c r="E1031" s="2" t="s">
        <v>2093</v>
      </c>
      <c r="F1031" s="4">
        <v>1972.7</v>
      </c>
      <c r="G1031" s="5">
        <v>498.29</v>
      </c>
      <c r="H1031" s="6">
        <v>15</v>
      </c>
      <c r="I1031" s="2" t="s">
        <v>2118</v>
      </c>
    </row>
    <row r="1032" spans="2:9" x14ac:dyDescent="0.3">
      <c r="B1032" s="2" t="s">
        <v>1038</v>
      </c>
      <c r="C1032" s="3">
        <v>44475</v>
      </c>
      <c r="D1032" s="2" t="s">
        <v>2011</v>
      </c>
      <c r="E1032" s="2" t="s">
        <v>2029</v>
      </c>
      <c r="F1032" s="4">
        <v>3882.27</v>
      </c>
      <c r="G1032" s="5">
        <v>637.54</v>
      </c>
      <c r="H1032" s="6">
        <v>16</v>
      </c>
      <c r="I1032" s="2" t="s">
        <v>2118</v>
      </c>
    </row>
    <row r="1033" spans="2:9" x14ac:dyDescent="0.3">
      <c r="B1033" s="2" t="s">
        <v>1039</v>
      </c>
      <c r="C1033" s="3">
        <v>45472</v>
      </c>
      <c r="D1033" s="2" t="s">
        <v>2011</v>
      </c>
      <c r="E1033" s="2" t="s">
        <v>2074</v>
      </c>
      <c r="F1033" s="4">
        <v>4703.51</v>
      </c>
      <c r="G1033" s="5">
        <v>450.33</v>
      </c>
      <c r="H1033" s="6">
        <v>12</v>
      </c>
      <c r="I1033" s="2" t="s">
        <v>2116</v>
      </c>
    </row>
    <row r="1034" spans="2:9" x14ac:dyDescent="0.3">
      <c r="B1034" s="2" t="s">
        <v>1040</v>
      </c>
      <c r="C1034" s="3">
        <v>45209</v>
      </c>
      <c r="D1034" s="2" t="s">
        <v>2010</v>
      </c>
      <c r="E1034" s="2" t="s">
        <v>2089</v>
      </c>
      <c r="F1034" s="4">
        <v>1066.3900000000001</v>
      </c>
      <c r="G1034" s="5">
        <v>468.46</v>
      </c>
      <c r="H1034" s="6">
        <v>18</v>
      </c>
      <c r="I1034" s="2" t="s">
        <v>2116</v>
      </c>
    </row>
    <row r="1035" spans="2:9" x14ac:dyDescent="0.3">
      <c r="B1035" s="2" t="s">
        <v>1041</v>
      </c>
      <c r="C1035" s="3">
        <v>45542</v>
      </c>
      <c r="D1035" s="2" t="s">
        <v>2009</v>
      </c>
      <c r="E1035" s="2" t="s">
        <v>2069</v>
      </c>
      <c r="F1035" s="4">
        <v>2637.67</v>
      </c>
      <c r="G1035" s="5">
        <v>451.71</v>
      </c>
      <c r="H1035" s="6">
        <v>6</v>
      </c>
      <c r="I1035" s="2" t="s">
        <v>2116</v>
      </c>
    </row>
    <row r="1036" spans="2:9" x14ac:dyDescent="0.3">
      <c r="B1036" s="2" t="s">
        <v>1042</v>
      </c>
      <c r="C1036" s="3">
        <v>44119</v>
      </c>
      <c r="D1036" s="2" t="s">
        <v>2011</v>
      </c>
      <c r="E1036" s="2" t="s">
        <v>2099</v>
      </c>
      <c r="F1036" s="4">
        <v>78.39</v>
      </c>
      <c r="G1036" s="5">
        <v>697.78</v>
      </c>
      <c r="H1036" s="6">
        <v>6</v>
      </c>
      <c r="I1036" s="2" t="s">
        <v>2117</v>
      </c>
    </row>
    <row r="1037" spans="2:9" x14ac:dyDescent="0.3">
      <c r="B1037" s="2" t="s">
        <v>1043</v>
      </c>
      <c r="C1037" s="3">
        <v>44280</v>
      </c>
      <c r="D1037" s="2" t="s">
        <v>2010</v>
      </c>
      <c r="E1037" s="2" t="s">
        <v>2050</v>
      </c>
      <c r="F1037" s="4">
        <v>492.38</v>
      </c>
      <c r="G1037" s="5">
        <v>396.37</v>
      </c>
      <c r="H1037" s="6">
        <v>6</v>
      </c>
      <c r="I1037" s="2" t="s">
        <v>2116</v>
      </c>
    </row>
    <row r="1038" spans="2:9" x14ac:dyDescent="0.3">
      <c r="B1038" s="2" t="s">
        <v>1044</v>
      </c>
      <c r="C1038" s="3">
        <v>44222</v>
      </c>
      <c r="D1038" s="2" t="s">
        <v>2009</v>
      </c>
      <c r="E1038" s="2" t="s">
        <v>2108</v>
      </c>
      <c r="F1038" s="4">
        <v>3083.84</v>
      </c>
      <c r="G1038" s="5">
        <v>918.69</v>
      </c>
      <c r="H1038" s="6">
        <v>19</v>
      </c>
      <c r="I1038" s="2" t="s">
        <v>2118</v>
      </c>
    </row>
    <row r="1039" spans="2:9" x14ac:dyDescent="0.3">
      <c r="B1039" s="2" t="s">
        <v>1045</v>
      </c>
      <c r="C1039" s="3">
        <v>45299</v>
      </c>
      <c r="D1039" s="2" t="s">
        <v>2009</v>
      </c>
      <c r="E1039" s="2" t="s">
        <v>2016</v>
      </c>
      <c r="F1039" s="4">
        <v>1418.03</v>
      </c>
      <c r="G1039" s="5">
        <v>908.23</v>
      </c>
      <c r="H1039" s="6">
        <v>14</v>
      </c>
      <c r="I1039" s="2" t="s">
        <v>2116</v>
      </c>
    </row>
    <row r="1040" spans="2:9" x14ac:dyDescent="0.3">
      <c r="B1040" s="2" t="s">
        <v>1046</v>
      </c>
      <c r="C1040" s="3">
        <v>45539</v>
      </c>
      <c r="D1040" s="2" t="s">
        <v>2011</v>
      </c>
      <c r="E1040" s="2" t="s">
        <v>2035</v>
      </c>
      <c r="F1040" s="4">
        <v>1330.05</v>
      </c>
      <c r="G1040" s="5">
        <v>939.5</v>
      </c>
      <c r="H1040" s="6">
        <v>15</v>
      </c>
      <c r="I1040" s="2" t="s">
        <v>2117</v>
      </c>
    </row>
    <row r="1041" spans="2:9" x14ac:dyDescent="0.3">
      <c r="B1041" s="2" t="s">
        <v>1047</v>
      </c>
      <c r="C1041" s="3">
        <v>45295</v>
      </c>
      <c r="D1041" s="2" t="s">
        <v>2012</v>
      </c>
      <c r="E1041" s="2" t="s">
        <v>2041</v>
      </c>
      <c r="F1041" s="4">
        <v>4818.84</v>
      </c>
      <c r="G1041" s="5">
        <v>760.23</v>
      </c>
      <c r="H1041" s="6">
        <v>14</v>
      </c>
      <c r="I1041" s="2" t="s">
        <v>2118</v>
      </c>
    </row>
    <row r="1042" spans="2:9" x14ac:dyDescent="0.3">
      <c r="B1042" s="2" t="s">
        <v>1048</v>
      </c>
      <c r="C1042" s="3">
        <v>44790</v>
      </c>
      <c r="D1042" s="2" t="s">
        <v>2010</v>
      </c>
      <c r="E1042" s="2" t="s">
        <v>2111</v>
      </c>
      <c r="F1042" s="4">
        <v>3377.11</v>
      </c>
      <c r="G1042" s="5">
        <v>796.73</v>
      </c>
      <c r="H1042" s="6">
        <v>12</v>
      </c>
      <c r="I1042" s="2" t="s">
        <v>2118</v>
      </c>
    </row>
    <row r="1043" spans="2:9" x14ac:dyDescent="0.3">
      <c r="B1043" s="2" t="s">
        <v>1049</v>
      </c>
      <c r="C1043" s="3">
        <v>44418</v>
      </c>
      <c r="D1043" s="2" t="s">
        <v>2010</v>
      </c>
      <c r="E1043" s="2" t="s">
        <v>2085</v>
      </c>
      <c r="F1043" s="4">
        <v>736.71</v>
      </c>
      <c r="G1043" s="5">
        <v>480.11</v>
      </c>
      <c r="H1043" s="6">
        <v>1</v>
      </c>
      <c r="I1043" s="2" t="s">
        <v>2118</v>
      </c>
    </row>
    <row r="1044" spans="2:9" x14ac:dyDescent="0.3">
      <c r="B1044" s="2" t="s">
        <v>1050</v>
      </c>
      <c r="C1044" s="3">
        <v>44179</v>
      </c>
      <c r="D1044" s="2" t="s">
        <v>2009</v>
      </c>
      <c r="E1044" s="2" t="s">
        <v>2014</v>
      </c>
      <c r="F1044" s="4">
        <v>3690.52</v>
      </c>
      <c r="G1044" s="5">
        <v>295.85000000000002</v>
      </c>
      <c r="H1044" s="6">
        <v>9</v>
      </c>
      <c r="I1044" s="2" t="s">
        <v>2117</v>
      </c>
    </row>
    <row r="1045" spans="2:9" x14ac:dyDescent="0.3">
      <c r="B1045" s="2" t="s">
        <v>1051</v>
      </c>
      <c r="C1045" s="3">
        <v>45217</v>
      </c>
      <c r="D1045" s="2" t="s">
        <v>2009</v>
      </c>
      <c r="E1045" s="2" t="s">
        <v>2041</v>
      </c>
      <c r="F1045" s="4">
        <v>2846.69</v>
      </c>
      <c r="G1045" s="5">
        <v>413.53</v>
      </c>
      <c r="H1045" s="6">
        <v>4</v>
      </c>
      <c r="I1045" s="2" t="s">
        <v>2118</v>
      </c>
    </row>
    <row r="1046" spans="2:9" x14ac:dyDescent="0.3">
      <c r="B1046" s="2" t="s">
        <v>1052</v>
      </c>
      <c r="C1046" s="3">
        <v>44461</v>
      </c>
      <c r="D1046" s="2" t="s">
        <v>2009</v>
      </c>
      <c r="E1046" s="2" t="s">
        <v>2093</v>
      </c>
      <c r="F1046" s="4">
        <v>1656.3</v>
      </c>
      <c r="G1046" s="5">
        <v>130.74</v>
      </c>
      <c r="H1046" s="6">
        <v>13</v>
      </c>
      <c r="I1046" s="2" t="s">
        <v>2116</v>
      </c>
    </row>
    <row r="1047" spans="2:9" x14ac:dyDescent="0.3">
      <c r="B1047" s="2" t="s">
        <v>1053</v>
      </c>
      <c r="C1047" s="3">
        <v>45122</v>
      </c>
      <c r="D1047" s="2" t="s">
        <v>2011</v>
      </c>
      <c r="E1047" s="2" t="s">
        <v>2054</v>
      </c>
      <c r="F1047" s="4">
        <v>1919.15</v>
      </c>
      <c r="G1047" s="5">
        <v>589.96</v>
      </c>
      <c r="H1047" s="6">
        <v>12</v>
      </c>
      <c r="I1047" s="2" t="s">
        <v>2116</v>
      </c>
    </row>
    <row r="1048" spans="2:9" x14ac:dyDescent="0.3">
      <c r="B1048" s="2" t="s">
        <v>1054</v>
      </c>
      <c r="C1048" s="3">
        <v>45315</v>
      </c>
      <c r="D1048" s="2" t="s">
        <v>2010</v>
      </c>
      <c r="E1048" s="2" t="s">
        <v>2111</v>
      </c>
      <c r="F1048" s="4">
        <v>2821.64</v>
      </c>
      <c r="G1048" s="5">
        <v>457.16</v>
      </c>
      <c r="H1048" s="6">
        <v>16</v>
      </c>
      <c r="I1048" s="2" t="s">
        <v>2118</v>
      </c>
    </row>
    <row r="1049" spans="2:9" x14ac:dyDescent="0.3">
      <c r="B1049" s="2" t="s">
        <v>1055</v>
      </c>
      <c r="C1049" s="3">
        <v>44798</v>
      </c>
      <c r="D1049" s="2" t="s">
        <v>2010</v>
      </c>
      <c r="E1049" s="2" t="s">
        <v>2093</v>
      </c>
      <c r="F1049" s="4">
        <v>472.96</v>
      </c>
      <c r="G1049" s="5">
        <v>930.77</v>
      </c>
      <c r="H1049" s="6">
        <v>9</v>
      </c>
      <c r="I1049" s="2" t="s">
        <v>2117</v>
      </c>
    </row>
    <row r="1050" spans="2:9" x14ac:dyDescent="0.3">
      <c r="B1050" s="2" t="s">
        <v>1056</v>
      </c>
      <c r="C1050" s="3">
        <v>43840</v>
      </c>
      <c r="D1050" s="2" t="s">
        <v>2011</v>
      </c>
      <c r="E1050" s="2" t="s">
        <v>2044</v>
      </c>
      <c r="F1050" s="4">
        <v>4603.0200000000004</v>
      </c>
      <c r="G1050" s="5">
        <v>19.5</v>
      </c>
      <c r="H1050" s="6">
        <v>19</v>
      </c>
      <c r="I1050" s="2" t="s">
        <v>2118</v>
      </c>
    </row>
    <row r="1051" spans="2:9" x14ac:dyDescent="0.3">
      <c r="B1051" s="2" t="s">
        <v>1057</v>
      </c>
      <c r="C1051" s="3">
        <v>43845</v>
      </c>
      <c r="D1051" s="2" t="s">
        <v>2012</v>
      </c>
      <c r="E1051" s="2" t="s">
        <v>2112</v>
      </c>
      <c r="F1051" s="4">
        <v>3544.31</v>
      </c>
      <c r="G1051" s="5">
        <v>986.58</v>
      </c>
      <c r="H1051" s="6">
        <v>14</v>
      </c>
      <c r="I1051" s="2" t="s">
        <v>2116</v>
      </c>
    </row>
    <row r="1052" spans="2:9" x14ac:dyDescent="0.3">
      <c r="B1052" s="2" t="s">
        <v>1058</v>
      </c>
      <c r="C1052" s="3">
        <v>44669</v>
      </c>
      <c r="D1052" s="2" t="s">
        <v>2009</v>
      </c>
      <c r="E1052" s="2" t="s">
        <v>2068</v>
      </c>
      <c r="F1052" s="4">
        <v>1206.08</v>
      </c>
      <c r="G1052" s="5">
        <v>589.77</v>
      </c>
      <c r="H1052" s="6">
        <v>6</v>
      </c>
      <c r="I1052" s="2" t="s">
        <v>2116</v>
      </c>
    </row>
    <row r="1053" spans="2:9" x14ac:dyDescent="0.3">
      <c r="B1053" s="2" t="s">
        <v>1059</v>
      </c>
      <c r="C1053" s="3">
        <v>43981</v>
      </c>
      <c r="D1053" s="2" t="s">
        <v>2011</v>
      </c>
      <c r="E1053" s="2" t="s">
        <v>2081</v>
      </c>
      <c r="F1053" s="4">
        <v>2407.64</v>
      </c>
      <c r="G1053" s="5">
        <v>793.39</v>
      </c>
      <c r="H1053" s="6">
        <v>18</v>
      </c>
      <c r="I1053" s="2" t="s">
        <v>2118</v>
      </c>
    </row>
    <row r="1054" spans="2:9" x14ac:dyDescent="0.3">
      <c r="B1054" s="2" t="s">
        <v>1060</v>
      </c>
      <c r="C1054" s="3">
        <v>44106</v>
      </c>
      <c r="D1054" s="2" t="s">
        <v>2010</v>
      </c>
      <c r="E1054" s="2" t="s">
        <v>2061</v>
      </c>
      <c r="F1054" s="4">
        <v>3828.59</v>
      </c>
      <c r="G1054" s="5">
        <v>42.56</v>
      </c>
      <c r="H1054" s="6">
        <v>13</v>
      </c>
      <c r="I1054" s="2" t="s">
        <v>2118</v>
      </c>
    </row>
    <row r="1055" spans="2:9" x14ac:dyDescent="0.3">
      <c r="B1055" s="2" t="s">
        <v>1061</v>
      </c>
      <c r="C1055" s="3">
        <v>44041</v>
      </c>
      <c r="D1055" s="2" t="s">
        <v>2009</v>
      </c>
      <c r="E1055" s="2" t="s">
        <v>2111</v>
      </c>
      <c r="F1055" s="4">
        <v>1436.98</v>
      </c>
      <c r="G1055" s="5">
        <v>898.33</v>
      </c>
      <c r="H1055" s="6">
        <v>19</v>
      </c>
      <c r="I1055" s="2" t="s">
        <v>2116</v>
      </c>
    </row>
    <row r="1056" spans="2:9" x14ac:dyDescent="0.3">
      <c r="B1056" s="2" t="s">
        <v>1062</v>
      </c>
      <c r="C1056" s="3">
        <v>44365</v>
      </c>
      <c r="D1056" s="2" t="s">
        <v>2011</v>
      </c>
      <c r="E1056" s="2" t="s">
        <v>2065</v>
      </c>
      <c r="F1056" s="4">
        <v>769.44</v>
      </c>
      <c r="G1056" s="5">
        <v>150.04</v>
      </c>
      <c r="H1056" s="6">
        <v>16</v>
      </c>
      <c r="I1056" s="2" t="s">
        <v>2116</v>
      </c>
    </row>
    <row r="1057" spans="2:9" x14ac:dyDescent="0.3">
      <c r="B1057" s="2" t="s">
        <v>1063</v>
      </c>
      <c r="C1057" s="3">
        <v>45232</v>
      </c>
      <c r="D1057" s="2" t="s">
        <v>2010</v>
      </c>
      <c r="E1057" s="2" t="s">
        <v>2025</v>
      </c>
      <c r="F1057" s="4">
        <v>3720.49</v>
      </c>
      <c r="G1057" s="5">
        <v>685.11</v>
      </c>
      <c r="H1057" s="6">
        <v>4</v>
      </c>
      <c r="I1057" s="2" t="s">
        <v>2116</v>
      </c>
    </row>
    <row r="1058" spans="2:9" x14ac:dyDescent="0.3">
      <c r="B1058" s="2" t="s">
        <v>1064</v>
      </c>
      <c r="C1058" s="3">
        <v>43936</v>
      </c>
      <c r="D1058" s="2" t="s">
        <v>2012</v>
      </c>
      <c r="E1058" s="2" t="s">
        <v>2079</v>
      </c>
      <c r="F1058" s="4">
        <v>3790.57</v>
      </c>
      <c r="G1058" s="5">
        <v>929.24</v>
      </c>
      <c r="H1058" s="6">
        <v>3</v>
      </c>
      <c r="I1058" s="2" t="s">
        <v>2116</v>
      </c>
    </row>
    <row r="1059" spans="2:9" x14ac:dyDescent="0.3">
      <c r="B1059" s="2" t="s">
        <v>1065</v>
      </c>
      <c r="C1059" s="3">
        <v>44889</v>
      </c>
      <c r="D1059" s="2" t="s">
        <v>2009</v>
      </c>
      <c r="E1059" s="2" t="s">
        <v>2052</v>
      </c>
      <c r="F1059" s="4">
        <v>849</v>
      </c>
      <c r="G1059" s="5">
        <v>633.39</v>
      </c>
      <c r="H1059" s="6">
        <v>17</v>
      </c>
      <c r="I1059" s="2" t="s">
        <v>2116</v>
      </c>
    </row>
    <row r="1060" spans="2:9" x14ac:dyDescent="0.3">
      <c r="B1060" s="2" t="s">
        <v>1066</v>
      </c>
      <c r="C1060" s="3">
        <v>45263</v>
      </c>
      <c r="D1060" s="2" t="s">
        <v>2012</v>
      </c>
      <c r="E1060" s="2" t="s">
        <v>2031</v>
      </c>
      <c r="F1060" s="4">
        <v>3088.48</v>
      </c>
      <c r="G1060" s="5">
        <v>890.83</v>
      </c>
      <c r="H1060" s="6">
        <v>16</v>
      </c>
      <c r="I1060" s="2" t="s">
        <v>2116</v>
      </c>
    </row>
    <row r="1061" spans="2:9" x14ac:dyDescent="0.3">
      <c r="B1061" s="2" t="s">
        <v>1067</v>
      </c>
      <c r="C1061" s="3">
        <v>44768</v>
      </c>
      <c r="D1061" s="2" t="s">
        <v>2011</v>
      </c>
      <c r="E1061" s="2" t="s">
        <v>2042</v>
      </c>
      <c r="F1061" s="4">
        <v>2072.5500000000002</v>
      </c>
      <c r="G1061" s="5">
        <v>786.38</v>
      </c>
      <c r="H1061" s="6">
        <v>5</v>
      </c>
      <c r="I1061" s="2" t="s">
        <v>2117</v>
      </c>
    </row>
    <row r="1062" spans="2:9" x14ac:dyDescent="0.3">
      <c r="B1062" s="2" t="s">
        <v>1068</v>
      </c>
      <c r="C1062" s="3">
        <v>45368</v>
      </c>
      <c r="D1062" s="2" t="s">
        <v>2010</v>
      </c>
      <c r="E1062" s="2" t="s">
        <v>2020</v>
      </c>
      <c r="F1062" s="4">
        <v>1130.58</v>
      </c>
      <c r="G1062" s="5">
        <v>878.01</v>
      </c>
      <c r="H1062" s="6">
        <v>13</v>
      </c>
      <c r="I1062" s="2" t="s">
        <v>2118</v>
      </c>
    </row>
    <row r="1063" spans="2:9" x14ac:dyDescent="0.3">
      <c r="B1063" s="2" t="s">
        <v>1069</v>
      </c>
      <c r="C1063" s="3">
        <v>44117</v>
      </c>
      <c r="D1063" s="2" t="s">
        <v>2009</v>
      </c>
      <c r="E1063" s="2" t="s">
        <v>2029</v>
      </c>
      <c r="F1063" s="4">
        <v>397.89</v>
      </c>
      <c r="G1063" s="5">
        <v>57.43</v>
      </c>
      <c r="H1063" s="6">
        <v>5</v>
      </c>
      <c r="I1063" s="2" t="s">
        <v>2117</v>
      </c>
    </row>
    <row r="1064" spans="2:9" x14ac:dyDescent="0.3">
      <c r="B1064" s="2" t="s">
        <v>1070</v>
      </c>
      <c r="C1064" s="3">
        <v>45163</v>
      </c>
      <c r="D1064" s="2" t="s">
        <v>2009</v>
      </c>
      <c r="E1064" s="2" t="s">
        <v>2015</v>
      </c>
      <c r="F1064" s="4">
        <v>1843.94</v>
      </c>
      <c r="G1064" s="5">
        <v>445.82</v>
      </c>
      <c r="H1064" s="6">
        <v>2</v>
      </c>
      <c r="I1064" s="2" t="s">
        <v>2117</v>
      </c>
    </row>
    <row r="1065" spans="2:9" x14ac:dyDescent="0.3">
      <c r="B1065" s="2" t="s">
        <v>1071</v>
      </c>
      <c r="C1065" s="3">
        <v>44136</v>
      </c>
      <c r="D1065" s="2" t="s">
        <v>2011</v>
      </c>
      <c r="E1065" s="2" t="s">
        <v>2046</v>
      </c>
      <c r="F1065" s="4">
        <v>2067.9899999999998</v>
      </c>
      <c r="G1065" s="5">
        <v>529.12</v>
      </c>
      <c r="H1065" s="6">
        <v>9</v>
      </c>
      <c r="I1065" s="2" t="s">
        <v>2116</v>
      </c>
    </row>
    <row r="1066" spans="2:9" x14ac:dyDescent="0.3">
      <c r="B1066" s="2" t="s">
        <v>1072</v>
      </c>
      <c r="C1066" s="3">
        <v>44018</v>
      </c>
      <c r="D1066" s="2" t="s">
        <v>2009</v>
      </c>
      <c r="E1066" s="2" t="s">
        <v>2079</v>
      </c>
      <c r="F1066" s="4">
        <v>4411.4799999999996</v>
      </c>
      <c r="G1066" s="5">
        <v>638.79</v>
      </c>
      <c r="H1066" s="6">
        <v>9</v>
      </c>
      <c r="I1066" s="2" t="s">
        <v>2118</v>
      </c>
    </row>
    <row r="1067" spans="2:9" x14ac:dyDescent="0.3">
      <c r="B1067" s="2" t="s">
        <v>1073</v>
      </c>
      <c r="C1067" s="3">
        <v>44770</v>
      </c>
      <c r="D1067" s="2" t="s">
        <v>2011</v>
      </c>
      <c r="E1067" s="2" t="s">
        <v>2055</v>
      </c>
      <c r="F1067" s="4">
        <v>1690.93</v>
      </c>
      <c r="G1067" s="5">
        <v>206.99</v>
      </c>
      <c r="H1067" s="6">
        <v>12</v>
      </c>
      <c r="I1067" s="2" t="s">
        <v>2117</v>
      </c>
    </row>
    <row r="1068" spans="2:9" x14ac:dyDescent="0.3">
      <c r="B1068" s="2" t="s">
        <v>1074</v>
      </c>
      <c r="C1068" s="3">
        <v>44441</v>
      </c>
      <c r="D1068" s="2" t="s">
        <v>2009</v>
      </c>
      <c r="E1068" s="2" t="s">
        <v>2042</v>
      </c>
      <c r="F1068" s="4">
        <v>880.23</v>
      </c>
      <c r="G1068" s="5">
        <v>330.09</v>
      </c>
      <c r="H1068" s="6">
        <v>12</v>
      </c>
      <c r="I1068" s="2" t="s">
        <v>2118</v>
      </c>
    </row>
    <row r="1069" spans="2:9" x14ac:dyDescent="0.3">
      <c r="B1069" s="2" t="s">
        <v>1075</v>
      </c>
      <c r="C1069" s="3">
        <v>43973</v>
      </c>
      <c r="D1069" s="2" t="s">
        <v>2012</v>
      </c>
      <c r="E1069" s="2" t="s">
        <v>2109</v>
      </c>
      <c r="F1069" s="4">
        <v>4510.0200000000004</v>
      </c>
      <c r="G1069" s="5">
        <v>456.79</v>
      </c>
      <c r="H1069" s="6">
        <v>17</v>
      </c>
      <c r="I1069" s="2" t="s">
        <v>2118</v>
      </c>
    </row>
    <row r="1070" spans="2:9" x14ac:dyDescent="0.3">
      <c r="B1070" s="2" t="s">
        <v>1076</v>
      </c>
      <c r="C1070" s="3">
        <v>44668</v>
      </c>
      <c r="D1070" s="2" t="s">
        <v>2009</v>
      </c>
      <c r="E1070" s="2" t="s">
        <v>2061</v>
      </c>
      <c r="F1070" s="4">
        <v>3359.13</v>
      </c>
      <c r="G1070" s="5">
        <v>204.46</v>
      </c>
      <c r="H1070" s="6">
        <v>3</v>
      </c>
      <c r="I1070" s="2" t="s">
        <v>2117</v>
      </c>
    </row>
    <row r="1071" spans="2:9" x14ac:dyDescent="0.3">
      <c r="B1071" s="2" t="s">
        <v>1077</v>
      </c>
      <c r="C1071" s="3">
        <v>43963</v>
      </c>
      <c r="D1071" s="2" t="s">
        <v>2009</v>
      </c>
      <c r="E1071" s="2" t="s">
        <v>2063</v>
      </c>
      <c r="F1071" s="4">
        <v>1551</v>
      </c>
      <c r="G1071" s="5">
        <v>925.33</v>
      </c>
      <c r="H1071" s="6">
        <v>13</v>
      </c>
      <c r="I1071" s="2" t="s">
        <v>2117</v>
      </c>
    </row>
    <row r="1072" spans="2:9" x14ac:dyDescent="0.3">
      <c r="B1072" s="2" t="s">
        <v>1078</v>
      </c>
      <c r="C1072" s="3">
        <v>44004</v>
      </c>
      <c r="D1072" s="2" t="s">
        <v>2009</v>
      </c>
      <c r="E1072" s="2" t="s">
        <v>2014</v>
      </c>
      <c r="F1072" s="4">
        <v>826.83</v>
      </c>
      <c r="G1072" s="5">
        <v>293.72000000000003</v>
      </c>
      <c r="H1072" s="6">
        <v>6</v>
      </c>
      <c r="I1072" s="2" t="s">
        <v>2116</v>
      </c>
    </row>
    <row r="1073" spans="2:9" x14ac:dyDescent="0.3">
      <c r="B1073" s="2" t="s">
        <v>1079</v>
      </c>
      <c r="C1073" s="3">
        <v>44280</v>
      </c>
      <c r="D1073" s="2" t="s">
        <v>2012</v>
      </c>
      <c r="E1073" s="2" t="s">
        <v>2101</v>
      </c>
      <c r="F1073" s="4">
        <v>586.23</v>
      </c>
      <c r="G1073" s="5">
        <v>149.03</v>
      </c>
      <c r="H1073" s="6">
        <v>19</v>
      </c>
      <c r="I1073" s="2" t="s">
        <v>2117</v>
      </c>
    </row>
    <row r="1074" spans="2:9" x14ac:dyDescent="0.3">
      <c r="B1074" s="2" t="s">
        <v>1080</v>
      </c>
      <c r="C1074" s="3">
        <v>45294</v>
      </c>
      <c r="D1074" s="2" t="s">
        <v>2009</v>
      </c>
      <c r="E1074" s="2" t="s">
        <v>2078</v>
      </c>
      <c r="F1074" s="4">
        <v>1478.66</v>
      </c>
      <c r="G1074" s="5">
        <v>549.12</v>
      </c>
      <c r="H1074" s="6">
        <v>10</v>
      </c>
      <c r="I1074" s="2" t="s">
        <v>2116</v>
      </c>
    </row>
    <row r="1075" spans="2:9" x14ac:dyDescent="0.3">
      <c r="B1075" s="2" t="s">
        <v>1081</v>
      </c>
      <c r="C1075" s="3">
        <v>45506</v>
      </c>
      <c r="D1075" s="2" t="s">
        <v>2010</v>
      </c>
      <c r="E1075" s="2" t="s">
        <v>2023</v>
      </c>
      <c r="F1075" s="4">
        <v>202.2</v>
      </c>
      <c r="G1075" s="5">
        <v>797.24</v>
      </c>
      <c r="H1075" s="6">
        <v>20</v>
      </c>
      <c r="I1075" s="2" t="s">
        <v>2118</v>
      </c>
    </row>
    <row r="1076" spans="2:9" x14ac:dyDescent="0.3">
      <c r="B1076" s="2" t="s">
        <v>1082</v>
      </c>
      <c r="C1076" s="3">
        <v>45163</v>
      </c>
      <c r="D1076" s="2" t="s">
        <v>2009</v>
      </c>
      <c r="E1076" s="2" t="s">
        <v>2070</v>
      </c>
      <c r="F1076" s="4">
        <v>2500.41</v>
      </c>
      <c r="G1076" s="5">
        <v>83.43</v>
      </c>
      <c r="H1076" s="6">
        <v>16</v>
      </c>
      <c r="I1076" s="2" t="s">
        <v>2116</v>
      </c>
    </row>
    <row r="1077" spans="2:9" x14ac:dyDescent="0.3">
      <c r="B1077" s="2" t="s">
        <v>1083</v>
      </c>
      <c r="C1077" s="3">
        <v>44928</v>
      </c>
      <c r="D1077" s="2" t="s">
        <v>2010</v>
      </c>
      <c r="E1077" s="2" t="s">
        <v>2076</v>
      </c>
      <c r="F1077" s="4">
        <v>4390.75</v>
      </c>
      <c r="G1077" s="5">
        <v>836.72</v>
      </c>
      <c r="H1077" s="6">
        <v>4</v>
      </c>
      <c r="I1077" s="2" t="s">
        <v>2117</v>
      </c>
    </row>
    <row r="1078" spans="2:9" x14ac:dyDescent="0.3">
      <c r="B1078" s="2" t="s">
        <v>1084</v>
      </c>
      <c r="C1078" s="3">
        <v>45528</v>
      </c>
      <c r="D1078" s="2" t="s">
        <v>2009</v>
      </c>
      <c r="E1078" s="2" t="s">
        <v>2077</v>
      </c>
      <c r="F1078" s="4">
        <v>879.62</v>
      </c>
      <c r="G1078" s="5">
        <v>864.19</v>
      </c>
      <c r="H1078" s="6">
        <v>14</v>
      </c>
      <c r="I1078" s="2" t="s">
        <v>2118</v>
      </c>
    </row>
    <row r="1079" spans="2:9" x14ac:dyDescent="0.3">
      <c r="B1079" s="2" t="s">
        <v>1085</v>
      </c>
      <c r="C1079" s="3">
        <v>45513</v>
      </c>
      <c r="D1079" s="2" t="s">
        <v>2010</v>
      </c>
      <c r="E1079" s="2" t="s">
        <v>2044</v>
      </c>
      <c r="F1079" s="4">
        <v>390.57</v>
      </c>
      <c r="G1079" s="5">
        <v>435.64</v>
      </c>
      <c r="H1079" s="6">
        <v>15</v>
      </c>
      <c r="I1079" s="2" t="s">
        <v>2118</v>
      </c>
    </row>
    <row r="1080" spans="2:9" x14ac:dyDescent="0.3">
      <c r="B1080" s="2" t="s">
        <v>1086</v>
      </c>
      <c r="C1080" s="3">
        <v>44015</v>
      </c>
      <c r="D1080" s="2" t="s">
        <v>2010</v>
      </c>
      <c r="E1080" s="2" t="s">
        <v>2053</v>
      </c>
      <c r="F1080" s="4">
        <v>4847.67</v>
      </c>
      <c r="G1080" s="5">
        <v>668.17</v>
      </c>
      <c r="H1080" s="6">
        <v>20</v>
      </c>
      <c r="I1080" s="2" t="s">
        <v>2117</v>
      </c>
    </row>
    <row r="1081" spans="2:9" x14ac:dyDescent="0.3">
      <c r="B1081" s="2" t="s">
        <v>1087</v>
      </c>
      <c r="C1081" s="3">
        <v>45567</v>
      </c>
      <c r="D1081" s="2" t="s">
        <v>2012</v>
      </c>
      <c r="E1081" s="2" t="s">
        <v>2109</v>
      </c>
      <c r="F1081" s="4">
        <v>4718.6899999999996</v>
      </c>
      <c r="G1081" s="5">
        <v>344.42</v>
      </c>
      <c r="H1081" s="6">
        <v>13</v>
      </c>
      <c r="I1081" s="2" t="s">
        <v>2117</v>
      </c>
    </row>
    <row r="1082" spans="2:9" x14ac:dyDescent="0.3">
      <c r="B1082" s="2" t="s">
        <v>1088</v>
      </c>
      <c r="C1082" s="3">
        <v>43905</v>
      </c>
      <c r="D1082" s="2" t="s">
        <v>2012</v>
      </c>
      <c r="E1082" s="2" t="s">
        <v>2033</v>
      </c>
      <c r="F1082" s="4">
        <v>1385.86</v>
      </c>
      <c r="G1082" s="5">
        <v>432.93</v>
      </c>
      <c r="H1082" s="6">
        <v>5</v>
      </c>
      <c r="I1082" s="2" t="s">
        <v>2118</v>
      </c>
    </row>
    <row r="1083" spans="2:9" x14ac:dyDescent="0.3">
      <c r="B1083" s="2" t="s">
        <v>1089</v>
      </c>
      <c r="C1083" s="3">
        <v>44066</v>
      </c>
      <c r="D1083" s="2" t="s">
        <v>2012</v>
      </c>
      <c r="E1083" s="2" t="s">
        <v>2050</v>
      </c>
      <c r="F1083" s="4">
        <v>540.04999999999995</v>
      </c>
      <c r="G1083" s="5">
        <v>375.6</v>
      </c>
      <c r="H1083" s="6">
        <v>20</v>
      </c>
      <c r="I1083" s="2" t="s">
        <v>2117</v>
      </c>
    </row>
    <row r="1084" spans="2:9" x14ac:dyDescent="0.3">
      <c r="B1084" s="2" t="s">
        <v>1090</v>
      </c>
      <c r="C1084" s="3">
        <v>43977</v>
      </c>
      <c r="D1084" s="2" t="s">
        <v>2011</v>
      </c>
      <c r="E1084" s="2" t="s">
        <v>2043</v>
      </c>
      <c r="F1084" s="4">
        <v>4050.32</v>
      </c>
      <c r="G1084" s="5">
        <v>646.91</v>
      </c>
      <c r="H1084" s="6">
        <v>10</v>
      </c>
      <c r="I1084" s="2" t="s">
        <v>2116</v>
      </c>
    </row>
    <row r="1085" spans="2:9" x14ac:dyDescent="0.3">
      <c r="B1085" s="2" t="s">
        <v>1091</v>
      </c>
      <c r="C1085" s="3">
        <v>43839</v>
      </c>
      <c r="D1085" s="2" t="s">
        <v>2009</v>
      </c>
      <c r="E1085" s="2" t="s">
        <v>2055</v>
      </c>
      <c r="F1085" s="4">
        <v>808.98</v>
      </c>
      <c r="G1085" s="5">
        <v>353.44</v>
      </c>
      <c r="H1085" s="6">
        <v>16</v>
      </c>
      <c r="I1085" s="2" t="s">
        <v>2116</v>
      </c>
    </row>
    <row r="1086" spans="2:9" x14ac:dyDescent="0.3">
      <c r="B1086" s="2" t="s">
        <v>1092</v>
      </c>
      <c r="C1086" s="3">
        <v>44292</v>
      </c>
      <c r="D1086" s="2" t="s">
        <v>2012</v>
      </c>
      <c r="E1086" s="2" t="s">
        <v>2100</v>
      </c>
      <c r="F1086" s="4">
        <v>406.94</v>
      </c>
      <c r="G1086" s="5">
        <v>547.91</v>
      </c>
      <c r="H1086" s="6">
        <v>20</v>
      </c>
      <c r="I1086" s="2" t="s">
        <v>2116</v>
      </c>
    </row>
    <row r="1087" spans="2:9" x14ac:dyDescent="0.3">
      <c r="B1087" s="2" t="s">
        <v>1093</v>
      </c>
      <c r="C1087" s="3">
        <v>44709</v>
      </c>
      <c r="D1087" s="2" t="s">
        <v>2010</v>
      </c>
      <c r="E1087" s="2" t="s">
        <v>2019</v>
      </c>
      <c r="F1087" s="4">
        <v>2062.75</v>
      </c>
      <c r="G1087" s="5">
        <v>946</v>
      </c>
      <c r="H1087" s="6">
        <v>18</v>
      </c>
      <c r="I1087" s="2" t="s">
        <v>2118</v>
      </c>
    </row>
    <row r="1088" spans="2:9" x14ac:dyDescent="0.3">
      <c r="B1088" s="2" t="s">
        <v>1094</v>
      </c>
      <c r="C1088" s="3">
        <v>45099</v>
      </c>
      <c r="D1088" s="2" t="s">
        <v>2012</v>
      </c>
      <c r="E1088" s="2" t="s">
        <v>2064</v>
      </c>
      <c r="F1088" s="4">
        <v>3367.68</v>
      </c>
      <c r="G1088" s="5">
        <v>838.69</v>
      </c>
      <c r="H1088" s="6">
        <v>6</v>
      </c>
      <c r="I1088" s="2" t="s">
        <v>2118</v>
      </c>
    </row>
    <row r="1089" spans="2:9" x14ac:dyDescent="0.3">
      <c r="B1089" s="2" t="s">
        <v>1095</v>
      </c>
      <c r="C1089" s="3">
        <v>44493</v>
      </c>
      <c r="D1089" s="2" t="s">
        <v>2011</v>
      </c>
      <c r="E1089" s="2" t="s">
        <v>2013</v>
      </c>
      <c r="F1089" s="4">
        <v>751.31</v>
      </c>
      <c r="G1089" s="5">
        <v>71.34</v>
      </c>
      <c r="H1089" s="6">
        <v>8</v>
      </c>
      <c r="I1089" s="2" t="s">
        <v>2116</v>
      </c>
    </row>
    <row r="1090" spans="2:9" x14ac:dyDescent="0.3">
      <c r="B1090" s="2" t="s">
        <v>1096</v>
      </c>
      <c r="C1090" s="3">
        <v>44457</v>
      </c>
      <c r="D1090" s="2" t="s">
        <v>2012</v>
      </c>
      <c r="E1090" s="2" t="s">
        <v>2099</v>
      </c>
      <c r="F1090" s="4">
        <v>4072.35</v>
      </c>
      <c r="G1090" s="5">
        <v>350.03</v>
      </c>
      <c r="H1090" s="6">
        <v>3</v>
      </c>
      <c r="I1090" s="2" t="s">
        <v>2118</v>
      </c>
    </row>
    <row r="1091" spans="2:9" x14ac:dyDescent="0.3">
      <c r="B1091" s="2" t="s">
        <v>1097</v>
      </c>
      <c r="C1091" s="3">
        <v>45531</v>
      </c>
      <c r="D1091" s="2" t="s">
        <v>2009</v>
      </c>
      <c r="E1091" s="2" t="s">
        <v>2057</v>
      </c>
      <c r="F1091" s="4">
        <v>3278.11</v>
      </c>
      <c r="G1091" s="5">
        <v>440.23</v>
      </c>
      <c r="H1091" s="6">
        <v>13</v>
      </c>
      <c r="I1091" s="2" t="s">
        <v>2117</v>
      </c>
    </row>
    <row r="1092" spans="2:9" x14ac:dyDescent="0.3">
      <c r="B1092" s="2" t="s">
        <v>1098</v>
      </c>
      <c r="C1092" s="3">
        <v>45587</v>
      </c>
      <c r="D1092" s="2" t="s">
        <v>2012</v>
      </c>
      <c r="E1092" s="2" t="s">
        <v>2017</v>
      </c>
      <c r="F1092" s="4">
        <v>943.4</v>
      </c>
      <c r="G1092" s="5">
        <v>807.02</v>
      </c>
      <c r="H1092" s="6">
        <v>15</v>
      </c>
      <c r="I1092" s="2" t="s">
        <v>2118</v>
      </c>
    </row>
    <row r="1093" spans="2:9" x14ac:dyDescent="0.3">
      <c r="B1093" s="2" t="s">
        <v>1099</v>
      </c>
      <c r="C1093" s="3">
        <v>45327</v>
      </c>
      <c r="D1093" s="2" t="s">
        <v>2011</v>
      </c>
      <c r="E1093" s="2" t="s">
        <v>2066</v>
      </c>
      <c r="F1093" s="4">
        <v>1101.32</v>
      </c>
      <c r="G1093" s="5">
        <v>158.22999999999999</v>
      </c>
      <c r="H1093" s="6">
        <v>15</v>
      </c>
      <c r="I1093" s="2" t="s">
        <v>2116</v>
      </c>
    </row>
    <row r="1094" spans="2:9" x14ac:dyDescent="0.3">
      <c r="B1094" s="2" t="s">
        <v>1100</v>
      </c>
      <c r="C1094" s="3">
        <v>45289</v>
      </c>
      <c r="D1094" s="2" t="s">
        <v>2012</v>
      </c>
      <c r="E1094" s="2" t="s">
        <v>2082</v>
      </c>
      <c r="F1094" s="4">
        <v>771.5</v>
      </c>
      <c r="G1094" s="5">
        <v>18.38</v>
      </c>
      <c r="H1094" s="6">
        <v>5</v>
      </c>
      <c r="I1094" s="2" t="s">
        <v>2116</v>
      </c>
    </row>
    <row r="1095" spans="2:9" x14ac:dyDescent="0.3">
      <c r="B1095" s="2" t="s">
        <v>1101</v>
      </c>
      <c r="C1095" s="3">
        <v>44668</v>
      </c>
      <c r="D1095" s="2" t="s">
        <v>2009</v>
      </c>
      <c r="E1095" s="2" t="s">
        <v>2056</v>
      </c>
      <c r="F1095" s="4">
        <v>3971.95</v>
      </c>
      <c r="G1095" s="5">
        <v>74.14</v>
      </c>
      <c r="H1095" s="6">
        <v>10</v>
      </c>
      <c r="I1095" s="2" t="s">
        <v>2117</v>
      </c>
    </row>
    <row r="1096" spans="2:9" x14ac:dyDescent="0.3">
      <c r="B1096" s="2" t="s">
        <v>1102</v>
      </c>
      <c r="C1096" s="3">
        <v>45045</v>
      </c>
      <c r="D1096" s="2" t="s">
        <v>2011</v>
      </c>
      <c r="E1096" s="2" t="s">
        <v>2055</v>
      </c>
      <c r="F1096" s="4">
        <v>1938.66</v>
      </c>
      <c r="G1096" s="5">
        <v>750.01</v>
      </c>
      <c r="H1096" s="6">
        <v>20</v>
      </c>
      <c r="I1096" s="2" t="s">
        <v>2117</v>
      </c>
    </row>
    <row r="1097" spans="2:9" x14ac:dyDescent="0.3">
      <c r="B1097" s="2" t="s">
        <v>1103</v>
      </c>
      <c r="C1097" s="3">
        <v>44990</v>
      </c>
      <c r="D1097" s="2" t="s">
        <v>2012</v>
      </c>
      <c r="E1097" s="2" t="s">
        <v>2106</v>
      </c>
      <c r="F1097" s="4">
        <v>797.21</v>
      </c>
      <c r="G1097" s="5">
        <v>282.01</v>
      </c>
      <c r="H1097" s="6">
        <v>11</v>
      </c>
      <c r="I1097" s="2" t="s">
        <v>2118</v>
      </c>
    </row>
    <row r="1098" spans="2:9" x14ac:dyDescent="0.3">
      <c r="B1098" s="2" t="s">
        <v>1104</v>
      </c>
      <c r="C1098" s="3">
        <v>45340</v>
      </c>
      <c r="D1098" s="2" t="s">
        <v>2009</v>
      </c>
      <c r="E1098" s="2" t="s">
        <v>2014</v>
      </c>
      <c r="F1098" s="4">
        <v>691.2</v>
      </c>
      <c r="G1098" s="5">
        <v>220.96</v>
      </c>
      <c r="H1098" s="6">
        <v>7</v>
      </c>
      <c r="I1098" s="2" t="s">
        <v>2116</v>
      </c>
    </row>
    <row r="1099" spans="2:9" x14ac:dyDescent="0.3">
      <c r="B1099" s="2" t="s">
        <v>1105</v>
      </c>
      <c r="C1099" s="3">
        <v>44576</v>
      </c>
      <c r="D1099" s="2" t="s">
        <v>2012</v>
      </c>
      <c r="E1099" s="2" t="s">
        <v>2037</v>
      </c>
      <c r="F1099" s="4">
        <v>3772.5</v>
      </c>
      <c r="G1099" s="5">
        <v>124.14</v>
      </c>
      <c r="H1099" s="6">
        <v>13</v>
      </c>
      <c r="I1099" s="2" t="s">
        <v>2116</v>
      </c>
    </row>
    <row r="1100" spans="2:9" x14ac:dyDescent="0.3">
      <c r="B1100" s="2" t="s">
        <v>1106</v>
      </c>
      <c r="C1100" s="3">
        <v>43979</v>
      </c>
      <c r="D1100" s="2" t="s">
        <v>2010</v>
      </c>
      <c r="E1100" s="2" t="s">
        <v>2021</v>
      </c>
      <c r="F1100" s="4">
        <v>2608.63</v>
      </c>
      <c r="G1100" s="5">
        <v>854.96</v>
      </c>
      <c r="H1100" s="6">
        <v>20</v>
      </c>
      <c r="I1100" s="2" t="s">
        <v>2117</v>
      </c>
    </row>
    <row r="1101" spans="2:9" x14ac:dyDescent="0.3">
      <c r="B1101" s="2" t="s">
        <v>1107</v>
      </c>
      <c r="C1101" s="3">
        <v>44177</v>
      </c>
      <c r="D1101" s="2" t="s">
        <v>2009</v>
      </c>
      <c r="E1101" s="2" t="s">
        <v>2091</v>
      </c>
      <c r="F1101" s="4">
        <v>542.1</v>
      </c>
      <c r="G1101" s="5">
        <v>574.08000000000004</v>
      </c>
      <c r="H1101" s="6">
        <v>10</v>
      </c>
      <c r="I1101" s="2" t="s">
        <v>2118</v>
      </c>
    </row>
    <row r="1102" spans="2:9" x14ac:dyDescent="0.3">
      <c r="B1102" s="2" t="s">
        <v>1108</v>
      </c>
      <c r="C1102" s="3">
        <v>44804</v>
      </c>
      <c r="D1102" s="2" t="s">
        <v>2012</v>
      </c>
      <c r="E1102" s="2" t="s">
        <v>2020</v>
      </c>
      <c r="F1102" s="4">
        <v>3337.57</v>
      </c>
      <c r="G1102" s="5">
        <v>824.67</v>
      </c>
      <c r="H1102" s="6">
        <v>10</v>
      </c>
      <c r="I1102" s="2" t="s">
        <v>2118</v>
      </c>
    </row>
    <row r="1103" spans="2:9" x14ac:dyDescent="0.3">
      <c r="B1103" s="2" t="s">
        <v>1109</v>
      </c>
      <c r="C1103" s="3">
        <v>44946</v>
      </c>
      <c r="D1103" s="2" t="s">
        <v>2012</v>
      </c>
      <c r="E1103" s="2" t="s">
        <v>2023</v>
      </c>
      <c r="F1103" s="4">
        <v>3390.46</v>
      </c>
      <c r="G1103" s="5">
        <v>891.31</v>
      </c>
      <c r="H1103" s="6">
        <v>7</v>
      </c>
      <c r="I1103" s="2" t="s">
        <v>2118</v>
      </c>
    </row>
    <row r="1104" spans="2:9" x14ac:dyDescent="0.3">
      <c r="B1104" s="2" t="s">
        <v>1110</v>
      </c>
      <c r="C1104" s="3">
        <v>45095</v>
      </c>
      <c r="D1104" s="2" t="s">
        <v>2011</v>
      </c>
      <c r="E1104" s="2" t="s">
        <v>2089</v>
      </c>
      <c r="F1104" s="4">
        <v>416.63</v>
      </c>
      <c r="G1104" s="5">
        <v>213.99</v>
      </c>
      <c r="H1104" s="6">
        <v>11</v>
      </c>
      <c r="I1104" s="2" t="s">
        <v>2116</v>
      </c>
    </row>
    <row r="1105" spans="2:9" x14ac:dyDescent="0.3">
      <c r="B1105" s="2" t="s">
        <v>1111</v>
      </c>
      <c r="C1105" s="3">
        <v>44566</v>
      </c>
      <c r="D1105" s="2" t="s">
        <v>2009</v>
      </c>
      <c r="E1105" s="2" t="s">
        <v>2069</v>
      </c>
      <c r="F1105" s="4">
        <v>921.58</v>
      </c>
      <c r="G1105" s="5">
        <v>334.36</v>
      </c>
      <c r="H1105" s="6">
        <v>5</v>
      </c>
      <c r="I1105" s="2" t="s">
        <v>2117</v>
      </c>
    </row>
    <row r="1106" spans="2:9" x14ac:dyDescent="0.3">
      <c r="B1106" s="2" t="s">
        <v>1112</v>
      </c>
      <c r="C1106" s="3">
        <v>44872</v>
      </c>
      <c r="D1106" s="2" t="s">
        <v>2009</v>
      </c>
      <c r="E1106" s="2" t="s">
        <v>2100</v>
      </c>
      <c r="F1106" s="4">
        <v>793.26</v>
      </c>
      <c r="G1106" s="5">
        <v>904.21</v>
      </c>
      <c r="H1106" s="6">
        <v>5</v>
      </c>
      <c r="I1106" s="2" t="s">
        <v>2117</v>
      </c>
    </row>
    <row r="1107" spans="2:9" x14ac:dyDescent="0.3">
      <c r="B1107" s="2" t="s">
        <v>1113</v>
      </c>
      <c r="C1107" s="3">
        <v>45198</v>
      </c>
      <c r="D1107" s="2" t="s">
        <v>2012</v>
      </c>
      <c r="E1107" s="2" t="s">
        <v>2088</v>
      </c>
      <c r="F1107" s="4">
        <v>3069.26</v>
      </c>
      <c r="G1107" s="5">
        <v>361.58</v>
      </c>
      <c r="H1107" s="6">
        <v>5</v>
      </c>
      <c r="I1107" s="2" t="s">
        <v>2117</v>
      </c>
    </row>
    <row r="1108" spans="2:9" x14ac:dyDescent="0.3">
      <c r="B1108" s="2" t="s">
        <v>1114</v>
      </c>
      <c r="C1108" s="3">
        <v>44709</v>
      </c>
      <c r="D1108" s="2" t="s">
        <v>2011</v>
      </c>
      <c r="E1108" s="2" t="s">
        <v>2055</v>
      </c>
      <c r="F1108" s="4">
        <v>2063.2600000000002</v>
      </c>
      <c r="G1108" s="5">
        <v>200.08</v>
      </c>
      <c r="H1108" s="6">
        <v>3</v>
      </c>
      <c r="I1108" s="2" t="s">
        <v>2116</v>
      </c>
    </row>
    <row r="1109" spans="2:9" x14ac:dyDescent="0.3">
      <c r="B1109" s="2" t="s">
        <v>1115</v>
      </c>
      <c r="C1109" s="3">
        <v>44669</v>
      </c>
      <c r="D1109" s="2" t="s">
        <v>2011</v>
      </c>
      <c r="E1109" s="2" t="s">
        <v>2088</v>
      </c>
      <c r="F1109" s="4">
        <v>4173.47</v>
      </c>
      <c r="G1109" s="5">
        <v>914.42</v>
      </c>
      <c r="H1109" s="6">
        <v>5</v>
      </c>
      <c r="I1109" s="2" t="s">
        <v>2117</v>
      </c>
    </row>
    <row r="1110" spans="2:9" x14ac:dyDescent="0.3">
      <c r="B1110" s="2" t="s">
        <v>1116</v>
      </c>
      <c r="C1110" s="3">
        <v>45156</v>
      </c>
      <c r="D1110" s="2" t="s">
        <v>2012</v>
      </c>
      <c r="E1110" s="2" t="s">
        <v>2082</v>
      </c>
      <c r="F1110" s="4">
        <v>2906.61</v>
      </c>
      <c r="G1110" s="5">
        <v>514.79</v>
      </c>
      <c r="H1110" s="6">
        <v>4</v>
      </c>
      <c r="I1110" s="2" t="s">
        <v>2117</v>
      </c>
    </row>
    <row r="1111" spans="2:9" x14ac:dyDescent="0.3">
      <c r="B1111" s="2" t="s">
        <v>1117</v>
      </c>
      <c r="C1111" s="3">
        <v>44864</v>
      </c>
      <c r="D1111" s="2" t="s">
        <v>2012</v>
      </c>
      <c r="E1111" s="2" t="s">
        <v>2036</v>
      </c>
      <c r="F1111" s="4">
        <v>4935.59</v>
      </c>
      <c r="G1111" s="5">
        <v>443.39</v>
      </c>
      <c r="H1111" s="6">
        <v>12</v>
      </c>
      <c r="I1111" s="2" t="s">
        <v>2116</v>
      </c>
    </row>
    <row r="1112" spans="2:9" x14ac:dyDescent="0.3">
      <c r="B1112" s="2" t="s">
        <v>1118</v>
      </c>
      <c r="C1112" s="3">
        <v>44403</v>
      </c>
      <c r="D1112" s="2" t="s">
        <v>2009</v>
      </c>
      <c r="E1112" s="2" t="s">
        <v>2045</v>
      </c>
      <c r="F1112" s="4">
        <v>3114.13</v>
      </c>
      <c r="G1112" s="5">
        <v>777.79</v>
      </c>
      <c r="H1112" s="6">
        <v>8</v>
      </c>
      <c r="I1112" s="2" t="s">
        <v>2117</v>
      </c>
    </row>
    <row r="1113" spans="2:9" x14ac:dyDescent="0.3">
      <c r="B1113" s="2" t="s">
        <v>1119</v>
      </c>
      <c r="C1113" s="3">
        <v>44455</v>
      </c>
      <c r="D1113" s="2" t="s">
        <v>2009</v>
      </c>
      <c r="E1113" s="2" t="s">
        <v>2029</v>
      </c>
      <c r="F1113" s="4">
        <v>1711.28</v>
      </c>
      <c r="G1113" s="5">
        <v>784.31</v>
      </c>
      <c r="H1113" s="6">
        <v>17</v>
      </c>
      <c r="I1113" s="2" t="s">
        <v>2117</v>
      </c>
    </row>
    <row r="1114" spans="2:9" x14ac:dyDescent="0.3">
      <c r="B1114" s="2" t="s">
        <v>1120</v>
      </c>
      <c r="C1114" s="3">
        <v>44084</v>
      </c>
      <c r="D1114" s="2" t="s">
        <v>2012</v>
      </c>
      <c r="E1114" s="2" t="s">
        <v>2071</v>
      </c>
      <c r="F1114" s="4">
        <v>2911.95</v>
      </c>
      <c r="G1114" s="5">
        <v>130.47</v>
      </c>
      <c r="H1114" s="6">
        <v>3</v>
      </c>
      <c r="I1114" s="2" t="s">
        <v>2117</v>
      </c>
    </row>
    <row r="1115" spans="2:9" x14ac:dyDescent="0.3">
      <c r="B1115" s="2" t="s">
        <v>1121</v>
      </c>
      <c r="C1115" s="3">
        <v>44814</v>
      </c>
      <c r="D1115" s="2" t="s">
        <v>2010</v>
      </c>
      <c r="E1115" s="2" t="s">
        <v>2093</v>
      </c>
      <c r="F1115" s="4">
        <v>623.08000000000004</v>
      </c>
      <c r="G1115" s="5">
        <v>591.36</v>
      </c>
      <c r="H1115" s="6">
        <v>10</v>
      </c>
      <c r="I1115" s="2" t="s">
        <v>2117</v>
      </c>
    </row>
    <row r="1116" spans="2:9" x14ac:dyDescent="0.3">
      <c r="B1116" s="2" t="s">
        <v>1122</v>
      </c>
      <c r="C1116" s="3">
        <v>44135</v>
      </c>
      <c r="D1116" s="2" t="s">
        <v>2010</v>
      </c>
      <c r="E1116" s="2" t="s">
        <v>2074</v>
      </c>
      <c r="F1116" s="4">
        <v>1753.68</v>
      </c>
      <c r="G1116" s="5">
        <v>691.52</v>
      </c>
      <c r="H1116" s="6">
        <v>4</v>
      </c>
      <c r="I1116" s="2" t="s">
        <v>2116</v>
      </c>
    </row>
    <row r="1117" spans="2:9" x14ac:dyDescent="0.3">
      <c r="B1117" s="2" t="s">
        <v>1123</v>
      </c>
      <c r="C1117" s="3">
        <v>45579</v>
      </c>
      <c r="D1117" s="2" t="s">
        <v>2012</v>
      </c>
      <c r="E1117" s="2" t="s">
        <v>2014</v>
      </c>
      <c r="F1117" s="4">
        <v>619.1</v>
      </c>
      <c r="G1117" s="5">
        <v>535.32000000000005</v>
      </c>
      <c r="H1117" s="6">
        <v>4</v>
      </c>
      <c r="I1117" s="2" t="s">
        <v>2116</v>
      </c>
    </row>
    <row r="1118" spans="2:9" x14ac:dyDescent="0.3">
      <c r="B1118" s="2" t="s">
        <v>1124</v>
      </c>
      <c r="C1118" s="3">
        <v>44087</v>
      </c>
      <c r="D1118" s="2" t="s">
        <v>2012</v>
      </c>
      <c r="E1118" s="2" t="s">
        <v>2104</v>
      </c>
      <c r="F1118" s="4">
        <v>1301.3499999999999</v>
      </c>
      <c r="G1118" s="5">
        <v>69.64</v>
      </c>
      <c r="H1118" s="6">
        <v>16</v>
      </c>
      <c r="I1118" s="2" t="s">
        <v>2117</v>
      </c>
    </row>
    <row r="1119" spans="2:9" x14ac:dyDescent="0.3">
      <c r="B1119" s="2" t="s">
        <v>1125</v>
      </c>
      <c r="C1119" s="3">
        <v>43894</v>
      </c>
      <c r="D1119" s="2" t="s">
        <v>2009</v>
      </c>
      <c r="E1119" s="2" t="s">
        <v>2080</v>
      </c>
      <c r="F1119" s="4">
        <v>4030.99</v>
      </c>
      <c r="G1119" s="5">
        <v>841.79</v>
      </c>
      <c r="H1119" s="6">
        <v>18</v>
      </c>
      <c r="I1119" s="2" t="s">
        <v>2116</v>
      </c>
    </row>
    <row r="1120" spans="2:9" x14ac:dyDescent="0.3">
      <c r="B1120" s="2" t="s">
        <v>1126</v>
      </c>
      <c r="C1120" s="3">
        <v>44709</v>
      </c>
      <c r="D1120" s="2" t="s">
        <v>2009</v>
      </c>
      <c r="E1120" s="2" t="s">
        <v>2050</v>
      </c>
      <c r="F1120" s="4">
        <v>1062.22</v>
      </c>
      <c r="G1120" s="5">
        <v>754.79</v>
      </c>
      <c r="H1120" s="6">
        <v>17</v>
      </c>
      <c r="I1120" s="2" t="s">
        <v>2116</v>
      </c>
    </row>
    <row r="1121" spans="2:9" x14ac:dyDescent="0.3">
      <c r="B1121" s="2" t="s">
        <v>1127</v>
      </c>
      <c r="C1121" s="3">
        <v>44202</v>
      </c>
      <c r="D1121" s="2" t="s">
        <v>2012</v>
      </c>
      <c r="E1121" s="2" t="s">
        <v>2101</v>
      </c>
      <c r="F1121" s="4">
        <v>3867.16</v>
      </c>
      <c r="G1121" s="5">
        <v>174.24</v>
      </c>
      <c r="H1121" s="6">
        <v>15</v>
      </c>
      <c r="I1121" s="2" t="s">
        <v>2117</v>
      </c>
    </row>
    <row r="1122" spans="2:9" x14ac:dyDescent="0.3">
      <c r="B1122" s="2" t="s">
        <v>1128</v>
      </c>
      <c r="C1122" s="3">
        <v>43857</v>
      </c>
      <c r="D1122" s="2" t="s">
        <v>2011</v>
      </c>
      <c r="E1122" s="2" t="s">
        <v>2094</v>
      </c>
      <c r="F1122" s="4">
        <v>4201.4399999999996</v>
      </c>
      <c r="G1122" s="5">
        <v>14.43</v>
      </c>
      <c r="H1122" s="6">
        <v>17</v>
      </c>
      <c r="I1122" s="2" t="s">
        <v>2117</v>
      </c>
    </row>
    <row r="1123" spans="2:9" x14ac:dyDescent="0.3">
      <c r="B1123" s="2" t="s">
        <v>1129</v>
      </c>
      <c r="C1123" s="3">
        <v>44253</v>
      </c>
      <c r="D1123" s="2" t="s">
        <v>2012</v>
      </c>
      <c r="E1123" s="2" t="s">
        <v>2074</v>
      </c>
      <c r="F1123" s="4">
        <v>2114.66</v>
      </c>
      <c r="G1123" s="5">
        <v>721.13</v>
      </c>
      <c r="H1123" s="6">
        <v>20</v>
      </c>
      <c r="I1123" s="2" t="s">
        <v>2116</v>
      </c>
    </row>
    <row r="1124" spans="2:9" x14ac:dyDescent="0.3">
      <c r="B1124" s="2" t="s">
        <v>1130</v>
      </c>
      <c r="C1124" s="3">
        <v>44551</v>
      </c>
      <c r="D1124" s="2" t="s">
        <v>2010</v>
      </c>
      <c r="E1124" s="2" t="s">
        <v>2076</v>
      </c>
      <c r="F1124" s="4">
        <v>4621.3500000000004</v>
      </c>
      <c r="G1124" s="5">
        <v>300.66000000000003</v>
      </c>
      <c r="H1124" s="6">
        <v>15</v>
      </c>
      <c r="I1124" s="2" t="s">
        <v>2118</v>
      </c>
    </row>
    <row r="1125" spans="2:9" x14ac:dyDescent="0.3">
      <c r="B1125" s="2" t="s">
        <v>1131</v>
      </c>
      <c r="C1125" s="3">
        <v>44096</v>
      </c>
      <c r="D1125" s="2" t="s">
        <v>2010</v>
      </c>
      <c r="E1125" s="2" t="s">
        <v>2059</v>
      </c>
      <c r="F1125" s="4">
        <v>4305.1899999999996</v>
      </c>
      <c r="G1125" s="5">
        <v>170.42</v>
      </c>
      <c r="H1125" s="6">
        <v>10</v>
      </c>
      <c r="I1125" s="2" t="s">
        <v>2116</v>
      </c>
    </row>
    <row r="1126" spans="2:9" x14ac:dyDescent="0.3">
      <c r="B1126" s="2" t="s">
        <v>1132</v>
      </c>
      <c r="C1126" s="3">
        <v>44773</v>
      </c>
      <c r="D1126" s="2" t="s">
        <v>2009</v>
      </c>
      <c r="E1126" s="2" t="s">
        <v>2028</v>
      </c>
      <c r="F1126" s="4">
        <v>2644.26</v>
      </c>
      <c r="G1126" s="5">
        <v>540.41</v>
      </c>
      <c r="H1126" s="6">
        <v>9</v>
      </c>
      <c r="I1126" s="2" t="s">
        <v>2117</v>
      </c>
    </row>
    <row r="1127" spans="2:9" x14ac:dyDescent="0.3">
      <c r="B1127" s="2" t="s">
        <v>1133</v>
      </c>
      <c r="C1127" s="3">
        <v>44735</v>
      </c>
      <c r="D1127" s="2" t="s">
        <v>2010</v>
      </c>
      <c r="E1127" s="2" t="s">
        <v>2089</v>
      </c>
      <c r="F1127" s="4">
        <v>852.21</v>
      </c>
      <c r="G1127" s="5">
        <v>349.76</v>
      </c>
      <c r="H1127" s="6">
        <v>14</v>
      </c>
      <c r="I1127" s="2" t="s">
        <v>2118</v>
      </c>
    </row>
    <row r="1128" spans="2:9" x14ac:dyDescent="0.3">
      <c r="B1128" s="2" t="s">
        <v>1134</v>
      </c>
      <c r="C1128" s="3">
        <v>45349</v>
      </c>
      <c r="D1128" s="2" t="s">
        <v>2010</v>
      </c>
      <c r="E1128" s="2" t="s">
        <v>2081</v>
      </c>
      <c r="F1128" s="4">
        <v>3211.92</v>
      </c>
      <c r="G1128" s="5">
        <v>26.93</v>
      </c>
      <c r="H1128" s="6">
        <v>4</v>
      </c>
      <c r="I1128" s="2" t="s">
        <v>2117</v>
      </c>
    </row>
    <row r="1129" spans="2:9" x14ac:dyDescent="0.3">
      <c r="B1129" s="2" t="s">
        <v>1135</v>
      </c>
      <c r="C1129" s="3">
        <v>45326</v>
      </c>
      <c r="D1129" s="2" t="s">
        <v>2011</v>
      </c>
      <c r="E1129" s="2" t="s">
        <v>2087</v>
      </c>
      <c r="F1129" s="4">
        <v>4882.49</v>
      </c>
      <c r="G1129" s="5">
        <v>664.49</v>
      </c>
      <c r="H1129" s="6">
        <v>9</v>
      </c>
      <c r="I1129" s="2" t="s">
        <v>2117</v>
      </c>
    </row>
    <row r="1130" spans="2:9" x14ac:dyDescent="0.3">
      <c r="B1130" s="2" t="s">
        <v>1136</v>
      </c>
      <c r="C1130" s="3">
        <v>43865</v>
      </c>
      <c r="D1130" s="2" t="s">
        <v>2009</v>
      </c>
      <c r="E1130" s="2" t="s">
        <v>2024</v>
      </c>
      <c r="F1130" s="4">
        <v>3679.47</v>
      </c>
      <c r="G1130" s="5">
        <v>251.86</v>
      </c>
      <c r="H1130" s="6">
        <v>5</v>
      </c>
      <c r="I1130" s="2" t="s">
        <v>2116</v>
      </c>
    </row>
    <row r="1131" spans="2:9" x14ac:dyDescent="0.3">
      <c r="B1131" s="2" t="s">
        <v>1137</v>
      </c>
      <c r="C1131" s="3">
        <v>45517</v>
      </c>
      <c r="D1131" s="2" t="s">
        <v>2010</v>
      </c>
      <c r="E1131" s="2" t="s">
        <v>2072</v>
      </c>
      <c r="F1131" s="4">
        <v>4146.09</v>
      </c>
      <c r="G1131" s="5">
        <v>293.93</v>
      </c>
      <c r="H1131" s="6">
        <v>13</v>
      </c>
      <c r="I1131" s="2" t="s">
        <v>2117</v>
      </c>
    </row>
    <row r="1132" spans="2:9" x14ac:dyDescent="0.3">
      <c r="B1132" s="2" t="s">
        <v>1138</v>
      </c>
      <c r="C1132" s="3">
        <v>45308</v>
      </c>
      <c r="D1132" s="2" t="s">
        <v>2010</v>
      </c>
      <c r="E1132" s="2" t="s">
        <v>2072</v>
      </c>
      <c r="F1132" s="4">
        <v>3459.92</v>
      </c>
      <c r="G1132" s="5">
        <v>866.04</v>
      </c>
      <c r="H1132" s="6">
        <v>11</v>
      </c>
      <c r="I1132" s="2" t="s">
        <v>2117</v>
      </c>
    </row>
    <row r="1133" spans="2:9" x14ac:dyDescent="0.3">
      <c r="B1133" s="2" t="s">
        <v>1139</v>
      </c>
      <c r="C1133" s="3">
        <v>45223</v>
      </c>
      <c r="D1133" s="2" t="s">
        <v>2009</v>
      </c>
      <c r="E1133" s="2" t="s">
        <v>2096</v>
      </c>
      <c r="F1133" s="4">
        <v>4522.8599999999997</v>
      </c>
      <c r="G1133" s="5">
        <v>336.33</v>
      </c>
      <c r="H1133" s="6">
        <v>17</v>
      </c>
      <c r="I1133" s="2" t="s">
        <v>2116</v>
      </c>
    </row>
    <row r="1134" spans="2:9" x14ac:dyDescent="0.3">
      <c r="B1134" s="2" t="s">
        <v>1140</v>
      </c>
      <c r="C1134" s="3">
        <v>45405</v>
      </c>
      <c r="D1134" s="2" t="s">
        <v>2009</v>
      </c>
      <c r="E1134" s="2" t="s">
        <v>2047</v>
      </c>
      <c r="F1134" s="4">
        <v>2581.6</v>
      </c>
      <c r="G1134" s="5">
        <v>368.91</v>
      </c>
      <c r="H1134" s="6">
        <v>4</v>
      </c>
      <c r="I1134" s="2" t="s">
        <v>2116</v>
      </c>
    </row>
    <row r="1135" spans="2:9" x14ac:dyDescent="0.3">
      <c r="B1135" s="2" t="s">
        <v>1141</v>
      </c>
      <c r="C1135" s="3">
        <v>45504</v>
      </c>
      <c r="D1135" s="2" t="s">
        <v>2012</v>
      </c>
      <c r="E1135" s="2" t="s">
        <v>2053</v>
      </c>
      <c r="F1135" s="4">
        <v>332.8</v>
      </c>
      <c r="G1135" s="5">
        <v>840.24</v>
      </c>
      <c r="H1135" s="6">
        <v>19</v>
      </c>
      <c r="I1135" s="2" t="s">
        <v>2118</v>
      </c>
    </row>
    <row r="1136" spans="2:9" x14ac:dyDescent="0.3">
      <c r="B1136" s="2" t="s">
        <v>1142</v>
      </c>
      <c r="C1136" s="3">
        <v>44719</v>
      </c>
      <c r="D1136" s="2" t="s">
        <v>2010</v>
      </c>
      <c r="E1136" s="2" t="s">
        <v>2093</v>
      </c>
      <c r="F1136" s="4">
        <v>786.03</v>
      </c>
      <c r="G1136" s="5">
        <v>394.59</v>
      </c>
      <c r="H1136" s="6">
        <v>11</v>
      </c>
      <c r="I1136" s="2" t="s">
        <v>2116</v>
      </c>
    </row>
    <row r="1137" spans="2:9" x14ac:dyDescent="0.3">
      <c r="B1137" s="2" t="s">
        <v>1143</v>
      </c>
      <c r="C1137" s="3">
        <v>44701</v>
      </c>
      <c r="D1137" s="2" t="s">
        <v>2009</v>
      </c>
      <c r="E1137" s="2" t="s">
        <v>2086</v>
      </c>
      <c r="F1137" s="4">
        <v>4062.45</v>
      </c>
      <c r="G1137" s="5">
        <v>332.92</v>
      </c>
      <c r="H1137" s="6">
        <v>17</v>
      </c>
      <c r="I1137" s="2" t="s">
        <v>2116</v>
      </c>
    </row>
    <row r="1138" spans="2:9" x14ac:dyDescent="0.3">
      <c r="B1138" s="2" t="s">
        <v>1144</v>
      </c>
      <c r="C1138" s="3">
        <v>45093</v>
      </c>
      <c r="D1138" s="2" t="s">
        <v>2010</v>
      </c>
      <c r="E1138" s="2" t="s">
        <v>2018</v>
      </c>
      <c r="F1138" s="4">
        <v>3211.32</v>
      </c>
      <c r="G1138" s="5">
        <v>666.57</v>
      </c>
      <c r="H1138" s="6">
        <v>5</v>
      </c>
      <c r="I1138" s="2" t="s">
        <v>2117</v>
      </c>
    </row>
    <row r="1139" spans="2:9" x14ac:dyDescent="0.3">
      <c r="B1139" s="2" t="s">
        <v>1145</v>
      </c>
      <c r="C1139" s="3">
        <v>45055</v>
      </c>
      <c r="D1139" s="2" t="s">
        <v>2010</v>
      </c>
      <c r="E1139" s="2" t="s">
        <v>2088</v>
      </c>
      <c r="F1139" s="4">
        <v>4620.1499999999996</v>
      </c>
      <c r="G1139" s="5">
        <v>431.71</v>
      </c>
      <c r="H1139" s="6">
        <v>11</v>
      </c>
      <c r="I1139" s="2" t="s">
        <v>2118</v>
      </c>
    </row>
    <row r="1140" spans="2:9" x14ac:dyDescent="0.3">
      <c r="B1140" s="2" t="s">
        <v>1146</v>
      </c>
      <c r="C1140" s="3">
        <v>45286</v>
      </c>
      <c r="D1140" s="2" t="s">
        <v>2010</v>
      </c>
      <c r="E1140" s="2" t="s">
        <v>2112</v>
      </c>
      <c r="F1140" s="4">
        <v>4793.32</v>
      </c>
      <c r="G1140" s="5">
        <v>860.94</v>
      </c>
      <c r="H1140" s="6">
        <v>20</v>
      </c>
      <c r="I1140" s="2" t="s">
        <v>2118</v>
      </c>
    </row>
    <row r="1141" spans="2:9" x14ac:dyDescent="0.3">
      <c r="B1141" s="2" t="s">
        <v>1147</v>
      </c>
      <c r="C1141" s="3">
        <v>43832</v>
      </c>
      <c r="D1141" s="2" t="s">
        <v>2012</v>
      </c>
      <c r="E1141" s="2" t="s">
        <v>2017</v>
      </c>
      <c r="F1141" s="4">
        <v>2518.69</v>
      </c>
      <c r="G1141" s="5">
        <v>686.54</v>
      </c>
      <c r="H1141" s="6">
        <v>13</v>
      </c>
      <c r="I1141" s="2" t="s">
        <v>2118</v>
      </c>
    </row>
    <row r="1142" spans="2:9" x14ac:dyDescent="0.3">
      <c r="B1142" s="2" t="s">
        <v>1148</v>
      </c>
      <c r="C1142" s="3">
        <v>44728</v>
      </c>
      <c r="D1142" s="2" t="s">
        <v>2009</v>
      </c>
      <c r="E1142" s="2" t="s">
        <v>2088</v>
      </c>
      <c r="F1142" s="4">
        <v>2928.73</v>
      </c>
      <c r="G1142" s="5">
        <v>341.02</v>
      </c>
      <c r="H1142" s="6">
        <v>5</v>
      </c>
      <c r="I1142" s="2" t="s">
        <v>2118</v>
      </c>
    </row>
    <row r="1143" spans="2:9" x14ac:dyDescent="0.3">
      <c r="B1143" s="2" t="s">
        <v>1149</v>
      </c>
      <c r="C1143" s="3">
        <v>45454</v>
      </c>
      <c r="D1143" s="2" t="s">
        <v>2009</v>
      </c>
      <c r="E1143" s="2" t="s">
        <v>2066</v>
      </c>
      <c r="F1143" s="4">
        <v>3986.64</v>
      </c>
      <c r="G1143" s="5">
        <v>97.25</v>
      </c>
      <c r="H1143" s="6">
        <v>14</v>
      </c>
      <c r="I1143" s="2" t="s">
        <v>2116</v>
      </c>
    </row>
    <row r="1144" spans="2:9" x14ac:dyDescent="0.3">
      <c r="B1144" s="2" t="s">
        <v>1150</v>
      </c>
      <c r="C1144" s="3">
        <v>45089</v>
      </c>
      <c r="D1144" s="2" t="s">
        <v>2011</v>
      </c>
      <c r="E1144" s="2" t="s">
        <v>2052</v>
      </c>
      <c r="F1144" s="4">
        <v>4614</v>
      </c>
      <c r="G1144" s="5">
        <v>794.14</v>
      </c>
      <c r="H1144" s="6">
        <v>7</v>
      </c>
      <c r="I1144" s="2" t="s">
        <v>2118</v>
      </c>
    </row>
    <row r="1145" spans="2:9" x14ac:dyDescent="0.3">
      <c r="B1145" s="2" t="s">
        <v>1151</v>
      </c>
      <c r="C1145" s="3">
        <v>45576</v>
      </c>
      <c r="D1145" s="2" t="s">
        <v>2009</v>
      </c>
      <c r="E1145" s="2" t="s">
        <v>2086</v>
      </c>
      <c r="F1145" s="4">
        <v>4621.9799999999996</v>
      </c>
      <c r="G1145" s="5">
        <v>143.13999999999999</v>
      </c>
      <c r="H1145" s="6">
        <v>12</v>
      </c>
      <c r="I1145" s="2" t="s">
        <v>2116</v>
      </c>
    </row>
    <row r="1146" spans="2:9" x14ac:dyDescent="0.3">
      <c r="B1146" s="2" t="s">
        <v>1152</v>
      </c>
      <c r="C1146" s="3">
        <v>43966</v>
      </c>
      <c r="D1146" s="2" t="s">
        <v>2010</v>
      </c>
      <c r="E1146" s="2" t="s">
        <v>2091</v>
      </c>
      <c r="F1146" s="4">
        <v>108.68</v>
      </c>
      <c r="G1146" s="5">
        <v>89.14</v>
      </c>
      <c r="H1146" s="6">
        <v>9</v>
      </c>
      <c r="I1146" s="2" t="s">
        <v>2118</v>
      </c>
    </row>
    <row r="1147" spans="2:9" x14ac:dyDescent="0.3">
      <c r="B1147" s="2" t="s">
        <v>1153</v>
      </c>
      <c r="C1147" s="3">
        <v>44780</v>
      </c>
      <c r="D1147" s="2" t="s">
        <v>2012</v>
      </c>
      <c r="E1147" s="2" t="s">
        <v>2020</v>
      </c>
      <c r="F1147" s="4">
        <v>3295.81</v>
      </c>
      <c r="G1147" s="5">
        <v>10.83</v>
      </c>
      <c r="H1147" s="6">
        <v>10</v>
      </c>
      <c r="I1147" s="2" t="s">
        <v>2116</v>
      </c>
    </row>
    <row r="1148" spans="2:9" x14ac:dyDescent="0.3">
      <c r="B1148" s="2" t="s">
        <v>1154</v>
      </c>
      <c r="C1148" s="3">
        <v>44392</v>
      </c>
      <c r="D1148" s="2" t="s">
        <v>2012</v>
      </c>
      <c r="E1148" s="2" t="s">
        <v>2070</v>
      </c>
      <c r="F1148" s="4">
        <v>1951.45</v>
      </c>
      <c r="G1148" s="5">
        <v>911.58</v>
      </c>
      <c r="H1148" s="6">
        <v>15</v>
      </c>
      <c r="I1148" s="2" t="s">
        <v>2116</v>
      </c>
    </row>
    <row r="1149" spans="2:9" x14ac:dyDescent="0.3">
      <c r="B1149" s="2" t="s">
        <v>1155</v>
      </c>
      <c r="C1149" s="3">
        <v>44002</v>
      </c>
      <c r="D1149" s="2" t="s">
        <v>2009</v>
      </c>
      <c r="E1149" s="2" t="s">
        <v>2089</v>
      </c>
      <c r="F1149" s="4">
        <v>3428.44</v>
      </c>
      <c r="G1149" s="5">
        <v>518.95000000000005</v>
      </c>
      <c r="H1149" s="6">
        <v>10</v>
      </c>
      <c r="I1149" s="2" t="s">
        <v>2118</v>
      </c>
    </row>
    <row r="1150" spans="2:9" x14ac:dyDescent="0.3">
      <c r="B1150" s="2" t="s">
        <v>1156</v>
      </c>
      <c r="C1150" s="3">
        <v>43972</v>
      </c>
      <c r="D1150" s="2" t="s">
        <v>2009</v>
      </c>
      <c r="E1150" s="2" t="s">
        <v>2069</v>
      </c>
      <c r="F1150" s="4">
        <v>3031.02</v>
      </c>
      <c r="G1150" s="5">
        <v>213.98</v>
      </c>
      <c r="H1150" s="6">
        <v>10</v>
      </c>
      <c r="I1150" s="2" t="s">
        <v>2116</v>
      </c>
    </row>
    <row r="1151" spans="2:9" x14ac:dyDescent="0.3">
      <c r="B1151" s="2" t="s">
        <v>1157</v>
      </c>
      <c r="C1151" s="3">
        <v>45169</v>
      </c>
      <c r="D1151" s="2" t="s">
        <v>2010</v>
      </c>
      <c r="E1151" s="2" t="s">
        <v>2102</v>
      </c>
      <c r="F1151" s="4">
        <v>4447.41</v>
      </c>
      <c r="G1151" s="5">
        <v>184.32</v>
      </c>
      <c r="H1151" s="6">
        <v>10</v>
      </c>
      <c r="I1151" s="2" t="s">
        <v>2118</v>
      </c>
    </row>
    <row r="1152" spans="2:9" x14ac:dyDescent="0.3">
      <c r="B1152" s="2" t="s">
        <v>1158</v>
      </c>
      <c r="C1152" s="3">
        <v>44751</v>
      </c>
      <c r="D1152" s="2" t="s">
        <v>2009</v>
      </c>
      <c r="E1152" s="2" t="s">
        <v>2021</v>
      </c>
      <c r="F1152" s="4">
        <v>4574.1499999999996</v>
      </c>
      <c r="G1152" s="5">
        <v>228.77</v>
      </c>
      <c r="H1152" s="6">
        <v>8</v>
      </c>
      <c r="I1152" s="2" t="s">
        <v>2117</v>
      </c>
    </row>
    <row r="1153" spans="2:9" x14ac:dyDescent="0.3">
      <c r="B1153" s="2" t="s">
        <v>1159</v>
      </c>
      <c r="C1153" s="3">
        <v>44928</v>
      </c>
      <c r="D1153" s="2" t="s">
        <v>2012</v>
      </c>
      <c r="E1153" s="2" t="s">
        <v>2108</v>
      </c>
      <c r="F1153" s="4">
        <v>2380.11</v>
      </c>
      <c r="G1153" s="5">
        <v>41.74</v>
      </c>
      <c r="H1153" s="6">
        <v>12</v>
      </c>
      <c r="I1153" s="2" t="s">
        <v>2117</v>
      </c>
    </row>
    <row r="1154" spans="2:9" x14ac:dyDescent="0.3">
      <c r="B1154" s="2" t="s">
        <v>1160</v>
      </c>
      <c r="C1154" s="3">
        <v>44737</v>
      </c>
      <c r="D1154" s="2" t="s">
        <v>2012</v>
      </c>
      <c r="E1154" s="2" t="s">
        <v>2016</v>
      </c>
      <c r="F1154" s="4">
        <v>1935.17</v>
      </c>
      <c r="G1154" s="5">
        <v>253.26</v>
      </c>
      <c r="H1154" s="6">
        <v>3</v>
      </c>
      <c r="I1154" s="2" t="s">
        <v>2116</v>
      </c>
    </row>
    <row r="1155" spans="2:9" x14ac:dyDescent="0.3">
      <c r="B1155" s="2" t="s">
        <v>1161</v>
      </c>
      <c r="C1155" s="3">
        <v>44336</v>
      </c>
      <c r="D1155" s="2" t="s">
        <v>2011</v>
      </c>
      <c r="E1155" s="2" t="s">
        <v>2069</v>
      </c>
      <c r="F1155" s="4">
        <v>3041.25</v>
      </c>
      <c r="G1155" s="5">
        <v>289.45999999999998</v>
      </c>
      <c r="H1155" s="6">
        <v>3</v>
      </c>
      <c r="I1155" s="2" t="s">
        <v>2117</v>
      </c>
    </row>
    <row r="1156" spans="2:9" x14ac:dyDescent="0.3">
      <c r="B1156" s="2" t="s">
        <v>1162</v>
      </c>
      <c r="C1156" s="3">
        <v>45310</v>
      </c>
      <c r="D1156" s="2" t="s">
        <v>2011</v>
      </c>
      <c r="E1156" s="2" t="s">
        <v>2101</v>
      </c>
      <c r="F1156" s="4">
        <v>4469.99</v>
      </c>
      <c r="G1156" s="5">
        <v>740.86</v>
      </c>
      <c r="H1156" s="6">
        <v>8</v>
      </c>
      <c r="I1156" s="2" t="s">
        <v>2117</v>
      </c>
    </row>
    <row r="1157" spans="2:9" x14ac:dyDescent="0.3">
      <c r="B1157" s="2" t="s">
        <v>1163</v>
      </c>
      <c r="C1157" s="3">
        <v>44797</v>
      </c>
      <c r="D1157" s="2" t="s">
        <v>2012</v>
      </c>
      <c r="E1157" s="2" t="s">
        <v>2047</v>
      </c>
      <c r="F1157" s="4">
        <v>4139.75</v>
      </c>
      <c r="G1157" s="5">
        <v>890.63</v>
      </c>
      <c r="H1157" s="6">
        <v>6</v>
      </c>
      <c r="I1157" s="2" t="s">
        <v>2116</v>
      </c>
    </row>
    <row r="1158" spans="2:9" x14ac:dyDescent="0.3">
      <c r="B1158" s="2" t="s">
        <v>1164</v>
      </c>
      <c r="C1158" s="3">
        <v>44680</v>
      </c>
      <c r="D1158" s="2" t="s">
        <v>2010</v>
      </c>
      <c r="E1158" s="2" t="s">
        <v>2112</v>
      </c>
      <c r="F1158" s="4">
        <v>2309.19</v>
      </c>
      <c r="G1158" s="5">
        <v>89.55</v>
      </c>
      <c r="H1158" s="6">
        <v>10</v>
      </c>
      <c r="I1158" s="2" t="s">
        <v>2117</v>
      </c>
    </row>
    <row r="1159" spans="2:9" x14ac:dyDescent="0.3">
      <c r="B1159" s="2" t="s">
        <v>1165</v>
      </c>
      <c r="C1159" s="3">
        <v>44246</v>
      </c>
      <c r="D1159" s="2" t="s">
        <v>2012</v>
      </c>
      <c r="E1159" s="2" t="s">
        <v>2027</v>
      </c>
      <c r="F1159" s="4">
        <v>1899.34</v>
      </c>
      <c r="G1159" s="5">
        <v>533.96</v>
      </c>
      <c r="H1159" s="6">
        <v>1</v>
      </c>
      <c r="I1159" s="2" t="s">
        <v>2116</v>
      </c>
    </row>
    <row r="1160" spans="2:9" x14ac:dyDescent="0.3">
      <c r="B1160" s="2" t="s">
        <v>1166</v>
      </c>
      <c r="C1160" s="3">
        <v>44443</v>
      </c>
      <c r="D1160" s="2" t="s">
        <v>2009</v>
      </c>
      <c r="E1160" s="2" t="s">
        <v>2105</v>
      </c>
      <c r="F1160" s="4">
        <v>4929.1499999999996</v>
      </c>
      <c r="G1160" s="5">
        <v>127.76</v>
      </c>
      <c r="H1160" s="6">
        <v>20</v>
      </c>
      <c r="I1160" s="2" t="s">
        <v>2117</v>
      </c>
    </row>
    <row r="1161" spans="2:9" x14ac:dyDescent="0.3">
      <c r="B1161" s="2" t="s">
        <v>1167</v>
      </c>
      <c r="C1161" s="3">
        <v>44772</v>
      </c>
      <c r="D1161" s="2" t="s">
        <v>2010</v>
      </c>
      <c r="E1161" s="2" t="s">
        <v>2039</v>
      </c>
      <c r="F1161" s="4">
        <v>2750.97</v>
      </c>
      <c r="G1161" s="5">
        <v>938.72</v>
      </c>
      <c r="H1161" s="6">
        <v>20</v>
      </c>
      <c r="I1161" s="2" t="s">
        <v>2117</v>
      </c>
    </row>
    <row r="1162" spans="2:9" x14ac:dyDescent="0.3">
      <c r="B1162" s="2" t="s">
        <v>1168</v>
      </c>
      <c r="C1162" s="3">
        <v>44422</v>
      </c>
      <c r="D1162" s="2" t="s">
        <v>2011</v>
      </c>
      <c r="E1162" s="2" t="s">
        <v>2077</v>
      </c>
      <c r="F1162" s="4">
        <v>158.53</v>
      </c>
      <c r="G1162" s="5">
        <v>402.51</v>
      </c>
      <c r="H1162" s="6">
        <v>14</v>
      </c>
      <c r="I1162" s="2" t="s">
        <v>2116</v>
      </c>
    </row>
    <row r="1163" spans="2:9" x14ac:dyDescent="0.3">
      <c r="B1163" s="2" t="s">
        <v>1169</v>
      </c>
      <c r="C1163" s="3">
        <v>45529</v>
      </c>
      <c r="D1163" s="2" t="s">
        <v>2012</v>
      </c>
      <c r="E1163" s="2" t="s">
        <v>2095</v>
      </c>
      <c r="F1163" s="4">
        <v>4466.58</v>
      </c>
      <c r="G1163" s="5">
        <v>170.64</v>
      </c>
      <c r="H1163" s="6">
        <v>3</v>
      </c>
      <c r="I1163" s="2" t="s">
        <v>2116</v>
      </c>
    </row>
    <row r="1164" spans="2:9" x14ac:dyDescent="0.3">
      <c r="B1164" s="2" t="s">
        <v>1170</v>
      </c>
      <c r="C1164" s="3">
        <v>45015</v>
      </c>
      <c r="D1164" s="2" t="s">
        <v>2011</v>
      </c>
      <c r="E1164" s="2" t="s">
        <v>2087</v>
      </c>
      <c r="F1164" s="4">
        <v>3828.6</v>
      </c>
      <c r="G1164" s="5">
        <v>599.86</v>
      </c>
      <c r="H1164" s="6">
        <v>17</v>
      </c>
      <c r="I1164" s="2" t="s">
        <v>2118</v>
      </c>
    </row>
    <row r="1165" spans="2:9" x14ac:dyDescent="0.3">
      <c r="B1165" s="2" t="s">
        <v>1171</v>
      </c>
      <c r="C1165" s="3">
        <v>45553</v>
      </c>
      <c r="D1165" s="2" t="s">
        <v>2011</v>
      </c>
      <c r="E1165" s="2" t="s">
        <v>2023</v>
      </c>
      <c r="F1165" s="4">
        <v>2671.97</v>
      </c>
      <c r="G1165" s="5">
        <v>10.36</v>
      </c>
      <c r="H1165" s="6">
        <v>2</v>
      </c>
      <c r="I1165" s="2" t="s">
        <v>2117</v>
      </c>
    </row>
    <row r="1166" spans="2:9" x14ac:dyDescent="0.3">
      <c r="B1166" s="2" t="s">
        <v>1172</v>
      </c>
      <c r="C1166" s="3">
        <v>44152</v>
      </c>
      <c r="D1166" s="2" t="s">
        <v>2011</v>
      </c>
      <c r="E1166" s="2" t="s">
        <v>2068</v>
      </c>
      <c r="F1166" s="4">
        <v>2891</v>
      </c>
      <c r="G1166" s="5">
        <v>125.64</v>
      </c>
      <c r="H1166" s="6">
        <v>4</v>
      </c>
      <c r="I1166" s="2" t="s">
        <v>2116</v>
      </c>
    </row>
    <row r="1167" spans="2:9" x14ac:dyDescent="0.3">
      <c r="B1167" s="2" t="s">
        <v>1173</v>
      </c>
      <c r="C1167" s="3">
        <v>44201</v>
      </c>
      <c r="D1167" s="2" t="s">
        <v>2009</v>
      </c>
      <c r="E1167" s="2" t="s">
        <v>2075</v>
      </c>
      <c r="F1167" s="4">
        <v>2815.77</v>
      </c>
      <c r="G1167" s="5">
        <v>745.59</v>
      </c>
      <c r="H1167" s="6">
        <v>5</v>
      </c>
      <c r="I1167" s="2" t="s">
        <v>2116</v>
      </c>
    </row>
    <row r="1168" spans="2:9" x14ac:dyDescent="0.3">
      <c r="B1168" s="2" t="s">
        <v>1174</v>
      </c>
      <c r="C1168" s="3">
        <v>45138</v>
      </c>
      <c r="D1168" s="2" t="s">
        <v>2012</v>
      </c>
      <c r="E1168" s="2" t="s">
        <v>2107</v>
      </c>
      <c r="F1168" s="4">
        <v>3984.11</v>
      </c>
      <c r="G1168" s="5">
        <v>199.75</v>
      </c>
      <c r="H1168" s="6">
        <v>7</v>
      </c>
      <c r="I1168" s="2" t="s">
        <v>2117</v>
      </c>
    </row>
    <row r="1169" spans="2:9" x14ac:dyDescent="0.3">
      <c r="B1169" s="2" t="s">
        <v>1175</v>
      </c>
      <c r="C1169" s="3">
        <v>45470</v>
      </c>
      <c r="D1169" s="2" t="s">
        <v>2009</v>
      </c>
      <c r="E1169" s="2" t="s">
        <v>2035</v>
      </c>
      <c r="F1169" s="4">
        <v>2701.29</v>
      </c>
      <c r="G1169" s="5">
        <v>161.25</v>
      </c>
      <c r="H1169" s="6">
        <v>10</v>
      </c>
      <c r="I1169" s="2" t="s">
        <v>2116</v>
      </c>
    </row>
    <row r="1170" spans="2:9" x14ac:dyDescent="0.3">
      <c r="B1170" s="2" t="s">
        <v>1176</v>
      </c>
      <c r="C1170" s="3">
        <v>45602</v>
      </c>
      <c r="D1170" s="2" t="s">
        <v>2011</v>
      </c>
      <c r="E1170" s="2" t="s">
        <v>2102</v>
      </c>
      <c r="F1170" s="4">
        <v>4065.86</v>
      </c>
      <c r="G1170" s="5">
        <v>597.71</v>
      </c>
      <c r="H1170" s="6">
        <v>13</v>
      </c>
      <c r="I1170" s="2" t="s">
        <v>2116</v>
      </c>
    </row>
    <row r="1171" spans="2:9" x14ac:dyDescent="0.3">
      <c r="B1171" s="2" t="s">
        <v>1177</v>
      </c>
      <c r="C1171" s="3">
        <v>44596</v>
      </c>
      <c r="D1171" s="2" t="s">
        <v>2009</v>
      </c>
      <c r="E1171" s="2" t="s">
        <v>2051</v>
      </c>
      <c r="F1171" s="4">
        <v>1390.65</v>
      </c>
      <c r="G1171" s="5">
        <v>702.36</v>
      </c>
      <c r="H1171" s="6">
        <v>3</v>
      </c>
      <c r="I1171" s="2" t="s">
        <v>2118</v>
      </c>
    </row>
    <row r="1172" spans="2:9" x14ac:dyDescent="0.3">
      <c r="B1172" s="2" t="s">
        <v>1178</v>
      </c>
      <c r="C1172" s="3">
        <v>44956</v>
      </c>
      <c r="D1172" s="2" t="s">
        <v>2011</v>
      </c>
      <c r="E1172" s="2" t="s">
        <v>2043</v>
      </c>
      <c r="F1172" s="4">
        <v>1617.19</v>
      </c>
      <c r="G1172" s="5">
        <v>95.84</v>
      </c>
      <c r="H1172" s="6">
        <v>1</v>
      </c>
      <c r="I1172" s="2" t="s">
        <v>2116</v>
      </c>
    </row>
    <row r="1173" spans="2:9" x14ac:dyDescent="0.3">
      <c r="B1173" s="2" t="s">
        <v>1179</v>
      </c>
      <c r="C1173" s="3">
        <v>43894</v>
      </c>
      <c r="D1173" s="2" t="s">
        <v>2011</v>
      </c>
      <c r="E1173" s="2" t="s">
        <v>2038</v>
      </c>
      <c r="F1173" s="4">
        <v>3712.63</v>
      </c>
      <c r="G1173" s="5">
        <v>331.77</v>
      </c>
      <c r="H1173" s="6">
        <v>5</v>
      </c>
      <c r="I1173" s="2" t="s">
        <v>2116</v>
      </c>
    </row>
    <row r="1174" spans="2:9" x14ac:dyDescent="0.3">
      <c r="B1174" s="2" t="s">
        <v>1180</v>
      </c>
      <c r="C1174" s="3">
        <v>45370</v>
      </c>
      <c r="D1174" s="2" t="s">
        <v>2011</v>
      </c>
      <c r="E1174" s="2" t="s">
        <v>2111</v>
      </c>
      <c r="F1174" s="4">
        <v>2552.1</v>
      </c>
      <c r="G1174" s="5">
        <v>26.73</v>
      </c>
      <c r="H1174" s="6">
        <v>10</v>
      </c>
      <c r="I1174" s="2" t="s">
        <v>2118</v>
      </c>
    </row>
    <row r="1175" spans="2:9" x14ac:dyDescent="0.3">
      <c r="B1175" s="2" t="s">
        <v>1181</v>
      </c>
      <c r="C1175" s="3">
        <v>43834</v>
      </c>
      <c r="D1175" s="2" t="s">
        <v>2009</v>
      </c>
      <c r="E1175" s="2" t="s">
        <v>2104</v>
      </c>
      <c r="F1175" s="4">
        <v>1723.79</v>
      </c>
      <c r="G1175" s="5">
        <v>718.16</v>
      </c>
      <c r="H1175" s="6">
        <v>1</v>
      </c>
      <c r="I1175" s="2" t="s">
        <v>2118</v>
      </c>
    </row>
    <row r="1176" spans="2:9" x14ac:dyDescent="0.3">
      <c r="B1176" s="2" t="s">
        <v>1182</v>
      </c>
      <c r="C1176" s="3">
        <v>43831</v>
      </c>
      <c r="D1176" s="2" t="s">
        <v>2012</v>
      </c>
      <c r="E1176" s="2" t="s">
        <v>2075</v>
      </c>
      <c r="F1176" s="4">
        <v>2060.34</v>
      </c>
      <c r="G1176" s="5">
        <v>321.02999999999997</v>
      </c>
      <c r="H1176" s="6">
        <v>12</v>
      </c>
      <c r="I1176" s="2" t="s">
        <v>2117</v>
      </c>
    </row>
    <row r="1177" spans="2:9" x14ac:dyDescent="0.3">
      <c r="B1177" s="2" t="s">
        <v>1183</v>
      </c>
      <c r="C1177" s="3">
        <v>44494</v>
      </c>
      <c r="D1177" s="2" t="s">
        <v>2010</v>
      </c>
      <c r="E1177" s="2" t="s">
        <v>2096</v>
      </c>
      <c r="F1177" s="4">
        <v>3861.66</v>
      </c>
      <c r="G1177" s="5">
        <v>664.45</v>
      </c>
      <c r="H1177" s="6">
        <v>2</v>
      </c>
      <c r="I1177" s="2" t="s">
        <v>2117</v>
      </c>
    </row>
    <row r="1178" spans="2:9" x14ac:dyDescent="0.3">
      <c r="B1178" s="2" t="s">
        <v>1184</v>
      </c>
      <c r="C1178" s="3">
        <v>44000</v>
      </c>
      <c r="D1178" s="2" t="s">
        <v>2011</v>
      </c>
      <c r="E1178" s="2" t="s">
        <v>2099</v>
      </c>
      <c r="F1178" s="4">
        <v>2298.0300000000002</v>
      </c>
      <c r="G1178" s="5">
        <v>529.25</v>
      </c>
      <c r="H1178" s="6">
        <v>8</v>
      </c>
      <c r="I1178" s="2" t="s">
        <v>2116</v>
      </c>
    </row>
    <row r="1179" spans="2:9" x14ac:dyDescent="0.3">
      <c r="B1179" s="2" t="s">
        <v>1185</v>
      </c>
      <c r="C1179" s="3">
        <v>45056</v>
      </c>
      <c r="D1179" s="2" t="s">
        <v>2011</v>
      </c>
      <c r="E1179" s="2" t="s">
        <v>2092</v>
      </c>
      <c r="F1179" s="4">
        <v>3499.85</v>
      </c>
      <c r="G1179" s="5">
        <v>455.16</v>
      </c>
      <c r="H1179" s="6">
        <v>9</v>
      </c>
      <c r="I1179" s="2" t="s">
        <v>2117</v>
      </c>
    </row>
    <row r="1180" spans="2:9" x14ac:dyDescent="0.3">
      <c r="B1180" s="2" t="s">
        <v>1186</v>
      </c>
      <c r="C1180" s="3">
        <v>45331</v>
      </c>
      <c r="D1180" s="2" t="s">
        <v>2012</v>
      </c>
      <c r="E1180" s="2" t="s">
        <v>2084</v>
      </c>
      <c r="F1180" s="4">
        <v>3549.65</v>
      </c>
      <c r="G1180" s="5">
        <v>479.72</v>
      </c>
      <c r="H1180" s="6">
        <v>8</v>
      </c>
      <c r="I1180" s="2" t="s">
        <v>2117</v>
      </c>
    </row>
    <row r="1181" spans="2:9" x14ac:dyDescent="0.3">
      <c r="B1181" s="2" t="s">
        <v>1187</v>
      </c>
      <c r="C1181" s="3">
        <v>44960</v>
      </c>
      <c r="D1181" s="2" t="s">
        <v>2010</v>
      </c>
      <c r="E1181" s="2" t="s">
        <v>2028</v>
      </c>
      <c r="F1181" s="4">
        <v>2364.25</v>
      </c>
      <c r="G1181" s="5">
        <v>801.17</v>
      </c>
      <c r="H1181" s="6">
        <v>10</v>
      </c>
      <c r="I1181" s="2" t="s">
        <v>2117</v>
      </c>
    </row>
    <row r="1182" spans="2:9" x14ac:dyDescent="0.3">
      <c r="B1182" s="2" t="s">
        <v>1188</v>
      </c>
      <c r="C1182" s="3">
        <v>44844</v>
      </c>
      <c r="D1182" s="2" t="s">
        <v>2012</v>
      </c>
      <c r="E1182" s="2" t="s">
        <v>2044</v>
      </c>
      <c r="F1182" s="4">
        <v>3868.14</v>
      </c>
      <c r="G1182" s="5">
        <v>879.04</v>
      </c>
      <c r="H1182" s="6">
        <v>18</v>
      </c>
      <c r="I1182" s="2" t="s">
        <v>2118</v>
      </c>
    </row>
    <row r="1183" spans="2:9" x14ac:dyDescent="0.3">
      <c r="B1183" s="2" t="s">
        <v>1189</v>
      </c>
      <c r="C1183" s="3">
        <v>45382</v>
      </c>
      <c r="D1183" s="2" t="s">
        <v>2011</v>
      </c>
      <c r="E1183" s="2" t="s">
        <v>2017</v>
      </c>
      <c r="F1183" s="4">
        <v>2812.17</v>
      </c>
      <c r="G1183" s="5">
        <v>382.78</v>
      </c>
      <c r="H1183" s="6">
        <v>15</v>
      </c>
      <c r="I1183" s="2" t="s">
        <v>2118</v>
      </c>
    </row>
    <row r="1184" spans="2:9" x14ac:dyDescent="0.3">
      <c r="B1184" s="2" t="s">
        <v>1190</v>
      </c>
      <c r="C1184" s="3">
        <v>43878</v>
      </c>
      <c r="D1184" s="2" t="s">
        <v>2011</v>
      </c>
      <c r="E1184" s="2" t="s">
        <v>2078</v>
      </c>
      <c r="F1184" s="4">
        <v>352.93</v>
      </c>
      <c r="G1184" s="5">
        <v>56.2</v>
      </c>
      <c r="H1184" s="6">
        <v>13</v>
      </c>
      <c r="I1184" s="2" t="s">
        <v>2118</v>
      </c>
    </row>
    <row r="1185" spans="2:9" x14ac:dyDescent="0.3">
      <c r="B1185" s="2" t="s">
        <v>1191</v>
      </c>
      <c r="C1185" s="3">
        <v>45236</v>
      </c>
      <c r="D1185" s="2" t="s">
        <v>2011</v>
      </c>
      <c r="E1185" s="2" t="s">
        <v>2031</v>
      </c>
      <c r="F1185" s="4">
        <v>1093.42</v>
      </c>
      <c r="G1185" s="5">
        <v>91.89</v>
      </c>
      <c r="H1185" s="6">
        <v>8</v>
      </c>
      <c r="I1185" s="2" t="s">
        <v>2118</v>
      </c>
    </row>
    <row r="1186" spans="2:9" x14ac:dyDescent="0.3">
      <c r="B1186" s="2" t="s">
        <v>1192</v>
      </c>
      <c r="C1186" s="3">
        <v>45092</v>
      </c>
      <c r="D1186" s="2" t="s">
        <v>2009</v>
      </c>
      <c r="E1186" s="2" t="s">
        <v>2035</v>
      </c>
      <c r="F1186" s="4">
        <v>3833.64</v>
      </c>
      <c r="G1186" s="5">
        <v>684.97</v>
      </c>
      <c r="H1186" s="6">
        <v>13</v>
      </c>
      <c r="I1186" s="2" t="s">
        <v>2118</v>
      </c>
    </row>
    <row r="1187" spans="2:9" x14ac:dyDescent="0.3">
      <c r="B1187" s="2" t="s">
        <v>1193</v>
      </c>
      <c r="C1187" s="3">
        <v>44009</v>
      </c>
      <c r="D1187" s="2" t="s">
        <v>2010</v>
      </c>
      <c r="E1187" s="2" t="s">
        <v>2026</v>
      </c>
      <c r="F1187" s="4">
        <v>1976.31</v>
      </c>
      <c r="G1187" s="5">
        <v>850.22</v>
      </c>
      <c r="H1187" s="6">
        <v>4</v>
      </c>
      <c r="I1187" s="2" t="s">
        <v>2118</v>
      </c>
    </row>
    <row r="1188" spans="2:9" x14ac:dyDescent="0.3">
      <c r="B1188" s="2" t="s">
        <v>1194</v>
      </c>
      <c r="C1188" s="3">
        <v>45572</v>
      </c>
      <c r="D1188" s="2" t="s">
        <v>2011</v>
      </c>
      <c r="E1188" s="2" t="s">
        <v>2089</v>
      </c>
      <c r="F1188" s="4">
        <v>4092.57</v>
      </c>
      <c r="G1188" s="5">
        <v>86.77</v>
      </c>
      <c r="H1188" s="6">
        <v>5</v>
      </c>
      <c r="I1188" s="2" t="s">
        <v>2118</v>
      </c>
    </row>
    <row r="1189" spans="2:9" x14ac:dyDescent="0.3">
      <c r="B1189" s="2" t="s">
        <v>1195</v>
      </c>
      <c r="C1189" s="3">
        <v>45210</v>
      </c>
      <c r="D1189" s="2" t="s">
        <v>2009</v>
      </c>
      <c r="E1189" s="2" t="s">
        <v>2098</v>
      </c>
      <c r="F1189" s="4">
        <v>1327</v>
      </c>
      <c r="G1189" s="5">
        <v>460.82</v>
      </c>
      <c r="H1189" s="6">
        <v>11</v>
      </c>
      <c r="I1189" s="2" t="s">
        <v>2117</v>
      </c>
    </row>
    <row r="1190" spans="2:9" x14ac:dyDescent="0.3">
      <c r="B1190" s="2" t="s">
        <v>1196</v>
      </c>
      <c r="C1190" s="3">
        <v>45518</v>
      </c>
      <c r="D1190" s="2" t="s">
        <v>2012</v>
      </c>
      <c r="E1190" s="2" t="s">
        <v>2025</v>
      </c>
      <c r="F1190" s="4">
        <v>1550.93</v>
      </c>
      <c r="G1190" s="5">
        <v>121.14</v>
      </c>
      <c r="H1190" s="6">
        <v>14</v>
      </c>
      <c r="I1190" s="2" t="s">
        <v>2117</v>
      </c>
    </row>
    <row r="1191" spans="2:9" x14ac:dyDescent="0.3">
      <c r="B1191" s="2" t="s">
        <v>1197</v>
      </c>
      <c r="C1191" s="3">
        <v>43976</v>
      </c>
      <c r="D1191" s="2" t="s">
        <v>2010</v>
      </c>
      <c r="E1191" s="2" t="s">
        <v>2046</v>
      </c>
      <c r="F1191" s="4">
        <v>2103.86</v>
      </c>
      <c r="G1191" s="5">
        <v>263.66000000000003</v>
      </c>
      <c r="H1191" s="6">
        <v>5</v>
      </c>
      <c r="I1191" s="2" t="s">
        <v>2116</v>
      </c>
    </row>
    <row r="1192" spans="2:9" x14ac:dyDescent="0.3">
      <c r="B1192" s="2" t="s">
        <v>1198</v>
      </c>
      <c r="C1192" s="3">
        <v>44461</v>
      </c>
      <c r="D1192" s="2" t="s">
        <v>2010</v>
      </c>
      <c r="E1192" s="2" t="s">
        <v>2105</v>
      </c>
      <c r="F1192" s="4">
        <v>2053.37</v>
      </c>
      <c r="G1192" s="5">
        <v>856.14</v>
      </c>
      <c r="H1192" s="6">
        <v>5</v>
      </c>
      <c r="I1192" s="2" t="s">
        <v>2116</v>
      </c>
    </row>
    <row r="1193" spans="2:9" x14ac:dyDescent="0.3">
      <c r="B1193" s="2" t="s">
        <v>1199</v>
      </c>
      <c r="C1193" s="3">
        <v>45514</v>
      </c>
      <c r="D1193" s="2" t="s">
        <v>2009</v>
      </c>
      <c r="E1193" s="2" t="s">
        <v>2043</v>
      </c>
      <c r="F1193" s="4">
        <v>3519.63</v>
      </c>
      <c r="G1193" s="5">
        <v>77.91</v>
      </c>
      <c r="H1193" s="6">
        <v>2</v>
      </c>
      <c r="I1193" s="2" t="s">
        <v>2117</v>
      </c>
    </row>
    <row r="1194" spans="2:9" x14ac:dyDescent="0.3">
      <c r="B1194" s="2" t="s">
        <v>1200</v>
      </c>
      <c r="C1194" s="3">
        <v>44463</v>
      </c>
      <c r="D1194" s="2" t="s">
        <v>2011</v>
      </c>
      <c r="E1194" s="2" t="s">
        <v>2063</v>
      </c>
      <c r="F1194" s="4">
        <v>1075.3399999999999</v>
      </c>
      <c r="G1194" s="5">
        <v>522.70000000000005</v>
      </c>
      <c r="H1194" s="6">
        <v>1</v>
      </c>
      <c r="I1194" s="2" t="s">
        <v>2118</v>
      </c>
    </row>
    <row r="1195" spans="2:9" x14ac:dyDescent="0.3">
      <c r="B1195" s="2" t="s">
        <v>1201</v>
      </c>
      <c r="C1195" s="3">
        <v>44481</v>
      </c>
      <c r="D1195" s="2" t="s">
        <v>2012</v>
      </c>
      <c r="E1195" s="2" t="s">
        <v>2081</v>
      </c>
      <c r="F1195" s="4">
        <v>4119.91</v>
      </c>
      <c r="G1195" s="5">
        <v>37.74</v>
      </c>
      <c r="H1195" s="6">
        <v>16</v>
      </c>
      <c r="I1195" s="2" t="s">
        <v>2118</v>
      </c>
    </row>
    <row r="1196" spans="2:9" x14ac:dyDescent="0.3">
      <c r="B1196" s="2" t="s">
        <v>1202</v>
      </c>
      <c r="C1196" s="3">
        <v>45599</v>
      </c>
      <c r="D1196" s="2" t="s">
        <v>2010</v>
      </c>
      <c r="E1196" s="2" t="s">
        <v>2066</v>
      </c>
      <c r="F1196" s="4">
        <v>1617.8</v>
      </c>
      <c r="G1196" s="5">
        <v>995.02</v>
      </c>
      <c r="H1196" s="6">
        <v>8</v>
      </c>
      <c r="I1196" s="2" t="s">
        <v>2116</v>
      </c>
    </row>
    <row r="1197" spans="2:9" x14ac:dyDescent="0.3">
      <c r="B1197" s="2" t="s">
        <v>1203</v>
      </c>
      <c r="C1197" s="3">
        <v>44942</v>
      </c>
      <c r="D1197" s="2" t="s">
        <v>2010</v>
      </c>
      <c r="E1197" s="2" t="s">
        <v>2087</v>
      </c>
      <c r="F1197" s="4">
        <v>2575.2199999999998</v>
      </c>
      <c r="G1197" s="5">
        <v>264.14999999999998</v>
      </c>
      <c r="H1197" s="6">
        <v>18</v>
      </c>
      <c r="I1197" s="2" t="s">
        <v>2118</v>
      </c>
    </row>
    <row r="1198" spans="2:9" x14ac:dyDescent="0.3">
      <c r="B1198" s="2" t="s">
        <v>1204</v>
      </c>
      <c r="C1198" s="3">
        <v>45602</v>
      </c>
      <c r="D1198" s="2" t="s">
        <v>2009</v>
      </c>
      <c r="E1198" s="2" t="s">
        <v>2059</v>
      </c>
      <c r="F1198" s="4">
        <v>4179.28</v>
      </c>
      <c r="G1198" s="5">
        <v>511.62</v>
      </c>
      <c r="H1198" s="6">
        <v>19</v>
      </c>
      <c r="I1198" s="2" t="s">
        <v>2118</v>
      </c>
    </row>
    <row r="1199" spans="2:9" x14ac:dyDescent="0.3">
      <c r="B1199" s="2" t="s">
        <v>1205</v>
      </c>
      <c r="C1199" s="3">
        <v>44991</v>
      </c>
      <c r="D1199" s="2" t="s">
        <v>2010</v>
      </c>
      <c r="E1199" s="2" t="s">
        <v>2100</v>
      </c>
      <c r="F1199" s="4">
        <v>2532.29</v>
      </c>
      <c r="G1199" s="5">
        <v>442.7</v>
      </c>
      <c r="H1199" s="6">
        <v>15</v>
      </c>
      <c r="I1199" s="2" t="s">
        <v>2116</v>
      </c>
    </row>
    <row r="1200" spans="2:9" x14ac:dyDescent="0.3">
      <c r="B1200" s="2" t="s">
        <v>1206</v>
      </c>
      <c r="C1200" s="3">
        <v>45589</v>
      </c>
      <c r="D1200" s="2" t="s">
        <v>2011</v>
      </c>
      <c r="E1200" s="2" t="s">
        <v>2083</v>
      </c>
      <c r="F1200" s="4">
        <v>2481.4299999999998</v>
      </c>
      <c r="G1200" s="5">
        <v>146.38</v>
      </c>
      <c r="H1200" s="6">
        <v>14</v>
      </c>
      <c r="I1200" s="2" t="s">
        <v>2117</v>
      </c>
    </row>
    <row r="1201" spans="2:9" x14ac:dyDescent="0.3">
      <c r="B1201" s="2" t="s">
        <v>1207</v>
      </c>
      <c r="C1201" s="3">
        <v>44785</v>
      </c>
      <c r="D1201" s="2" t="s">
        <v>2011</v>
      </c>
      <c r="E1201" s="2" t="s">
        <v>2053</v>
      </c>
      <c r="F1201" s="4">
        <v>422.35</v>
      </c>
      <c r="G1201" s="5">
        <v>736.08</v>
      </c>
      <c r="H1201" s="6">
        <v>6</v>
      </c>
      <c r="I1201" s="2" t="s">
        <v>2116</v>
      </c>
    </row>
    <row r="1202" spans="2:9" x14ac:dyDescent="0.3">
      <c r="B1202" s="2" t="s">
        <v>1208</v>
      </c>
      <c r="C1202" s="3">
        <v>45419</v>
      </c>
      <c r="D1202" s="2" t="s">
        <v>2012</v>
      </c>
      <c r="E1202" s="2" t="s">
        <v>2066</v>
      </c>
      <c r="F1202" s="4">
        <v>1065.77</v>
      </c>
      <c r="G1202" s="5">
        <v>186.42</v>
      </c>
      <c r="H1202" s="6">
        <v>2</v>
      </c>
      <c r="I1202" s="2" t="s">
        <v>2116</v>
      </c>
    </row>
    <row r="1203" spans="2:9" x14ac:dyDescent="0.3">
      <c r="B1203" s="2" t="s">
        <v>1209</v>
      </c>
      <c r="C1203" s="3">
        <v>44790</v>
      </c>
      <c r="D1203" s="2" t="s">
        <v>2010</v>
      </c>
      <c r="E1203" s="2" t="s">
        <v>2066</v>
      </c>
      <c r="F1203" s="4">
        <v>1739.12</v>
      </c>
      <c r="G1203" s="5">
        <v>254.69</v>
      </c>
      <c r="H1203" s="6">
        <v>19</v>
      </c>
      <c r="I1203" s="2" t="s">
        <v>2117</v>
      </c>
    </row>
    <row r="1204" spans="2:9" x14ac:dyDescent="0.3">
      <c r="B1204" s="2" t="s">
        <v>1210</v>
      </c>
      <c r="C1204" s="3">
        <v>45407</v>
      </c>
      <c r="D1204" s="2" t="s">
        <v>2012</v>
      </c>
      <c r="E1204" s="2" t="s">
        <v>2052</v>
      </c>
      <c r="F1204" s="4">
        <v>2697.58</v>
      </c>
      <c r="G1204" s="5">
        <v>685.21</v>
      </c>
      <c r="H1204" s="6">
        <v>6</v>
      </c>
      <c r="I1204" s="2" t="s">
        <v>2118</v>
      </c>
    </row>
    <row r="1205" spans="2:9" x14ac:dyDescent="0.3">
      <c r="B1205" s="2" t="s">
        <v>1211</v>
      </c>
      <c r="C1205" s="3">
        <v>43881</v>
      </c>
      <c r="D1205" s="2" t="s">
        <v>2012</v>
      </c>
      <c r="E1205" s="2" t="s">
        <v>2094</v>
      </c>
      <c r="F1205" s="4">
        <v>237.23</v>
      </c>
      <c r="G1205" s="5">
        <v>841.71</v>
      </c>
      <c r="H1205" s="6">
        <v>16</v>
      </c>
      <c r="I1205" s="2" t="s">
        <v>2116</v>
      </c>
    </row>
    <row r="1206" spans="2:9" x14ac:dyDescent="0.3">
      <c r="B1206" s="2" t="s">
        <v>1212</v>
      </c>
      <c r="C1206" s="3">
        <v>44443</v>
      </c>
      <c r="D1206" s="2" t="s">
        <v>2009</v>
      </c>
      <c r="E1206" s="2" t="s">
        <v>2082</v>
      </c>
      <c r="F1206" s="4">
        <v>121.33</v>
      </c>
      <c r="G1206" s="5">
        <v>328.75</v>
      </c>
      <c r="H1206" s="6">
        <v>1</v>
      </c>
      <c r="I1206" s="2" t="s">
        <v>2117</v>
      </c>
    </row>
    <row r="1207" spans="2:9" x14ac:dyDescent="0.3">
      <c r="B1207" s="2" t="s">
        <v>1213</v>
      </c>
      <c r="C1207" s="3">
        <v>44318</v>
      </c>
      <c r="D1207" s="2" t="s">
        <v>2009</v>
      </c>
      <c r="E1207" s="2" t="s">
        <v>2103</v>
      </c>
      <c r="F1207" s="4">
        <v>3464.76</v>
      </c>
      <c r="G1207" s="5">
        <v>991.2</v>
      </c>
      <c r="H1207" s="6">
        <v>9</v>
      </c>
      <c r="I1207" s="2" t="s">
        <v>2116</v>
      </c>
    </row>
    <row r="1208" spans="2:9" x14ac:dyDescent="0.3">
      <c r="B1208" s="2" t="s">
        <v>1214</v>
      </c>
      <c r="C1208" s="3">
        <v>44079</v>
      </c>
      <c r="D1208" s="2" t="s">
        <v>2011</v>
      </c>
      <c r="E1208" s="2" t="s">
        <v>2046</v>
      </c>
      <c r="F1208" s="4">
        <v>3503.99</v>
      </c>
      <c r="G1208" s="5">
        <v>283.23</v>
      </c>
      <c r="H1208" s="6">
        <v>6</v>
      </c>
      <c r="I1208" s="2" t="s">
        <v>2116</v>
      </c>
    </row>
    <row r="1209" spans="2:9" x14ac:dyDescent="0.3">
      <c r="B1209" s="2" t="s">
        <v>1215</v>
      </c>
      <c r="C1209" s="3">
        <v>45396</v>
      </c>
      <c r="D1209" s="2" t="s">
        <v>2010</v>
      </c>
      <c r="E1209" s="2" t="s">
        <v>2023</v>
      </c>
      <c r="F1209" s="4">
        <v>2415.2399999999998</v>
      </c>
      <c r="G1209" s="5">
        <v>537.32000000000005</v>
      </c>
      <c r="H1209" s="6">
        <v>12</v>
      </c>
      <c r="I1209" s="2" t="s">
        <v>2118</v>
      </c>
    </row>
    <row r="1210" spans="2:9" x14ac:dyDescent="0.3">
      <c r="B1210" s="2" t="s">
        <v>1216</v>
      </c>
      <c r="C1210" s="3">
        <v>44253</v>
      </c>
      <c r="D1210" s="2" t="s">
        <v>2012</v>
      </c>
      <c r="E1210" s="2" t="s">
        <v>2095</v>
      </c>
      <c r="F1210" s="4">
        <v>4648.09</v>
      </c>
      <c r="G1210" s="5">
        <v>755.42</v>
      </c>
      <c r="H1210" s="6">
        <v>14</v>
      </c>
      <c r="I1210" s="2" t="s">
        <v>2117</v>
      </c>
    </row>
    <row r="1211" spans="2:9" x14ac:dyDescent="0.3">
      <c r="B1211" s="2" t="s">
        <v>1217</v>
      </c>
      <c r="C1211" s="3">
        <v>45380</v>
      </c>
      <c r="D1211" s="2" t="s">
        <v>2009</v>
      </c>
      <c r="E1211" s="2" t="s">
        <v>2075</v>
      </c>
      <c r="F1211" s="4">
        <v>436.98</v>
      </c>
      <c r="G1211" s="5">
        <v>664.74</v>
      </c>
      <c r="H1211" s="6">
        <v>14</v>
      </c>
      <c r="I1211" s="2" t="s">
        <v>2116</v>
      </c>
    </row>
    <row r="1212" spans="2:9" x14ac:dyDescent="0.3">
      <c r="B1212" s="2" t="s">
        <v>1218</v>
      </c>
      <c r="C1212" s="3">
        <v>44177</v>
      </c>
      <c r="D1212" s="2" t="s">
        <v>2012</v>
      </c>
      <c r="E1212" s="2" t="s">
        <v>2051</v>
      </c>
      <c r="F1212" s="4">
        <v>2280.23</v>
      </c>
      <c r="G1212" s="5">
        <v>326.13</v>
      </c>
      <c r="H1212" s="6">
        <v>7</v>
      </c>
      <c r="I1212" s="2" t="s">
        <v>2117</v>
      </c>
    </row>
    <row r="1213" spans="2:9" x14ac:dyDescent="0.3">
      <c r="B1213" s="2" t="s">
        <v>1219</v>
      </c>
      <c r="C1213" s="3">
        <v>44736</v>
      </c>
      <c r="D1213" s="2" t="s">
        <v>2011</v>
      </c>
      <c r="E1213" s="2" t="s">
        <v>2030</v>
      </c>
      <c r="F1213" s="4">
        <v>3669.16</v>
      </c>
      <c r="G1213" s="5">
        <v>531.16999999999996</v>
      </c>
      <c r="H1213" s="6">
        <v>8</v>
      </c>
      <c r="I1213" s="2" t="s">
        <v>2117</v>
      </c>
    </row>
    <row r="1214" spans="2:9" x14ac:dyDescent="0.3">
      <c r="B1214" s="2" t="s">
        <v>1220</v>
      </c>
      <c r="C1214" s="3">
        <v>45108</v>
      </c>
      <c r="D1214" s="2" t="s">
        <v>2010</v>
      </c>
      <c r="E1214" s="2" t="s">
        <v>2033</v>
      </c>
      <c r="F1214" s="4">
        <v>3253</v>
      </c>
      <c r="G1214" s="5">
        <v>699.16</v>
      </c>
      <c r="H1214" s="6">
        <v>4</v>
      </c>
      <c r="I1214" s="2" t="s">
        <v>2117</v>
      </c>
    </row>
    <row r="1215" spans="2:9" x14ac:dyDescent="0.3">
      <c r="B1215" s="2" t="s">
        <v>1221</v>
      </c>
      <c r="C1215" s="3">
        <v>44176</v>
      </c>
      <c r="D1215" s="2" t="s">
        <v>2009</v>
      </c>
      <c r="E1215" s="2" t="s">
        <v>2051</v>
      </c>
      <c r="F1215" s="4">
        <v>4412.42</v>
      </c>
      <c r="G1215" s="5">
        <v>557.05999999999995</v>
      </c>
      <c r="H1215" s="6">
        <v>6</v>
      </c>
      <c r="I1215" s="2" t="s">
        <v>2117</v>
      </c>
    </row>
    <row r="1216" spans="2:9" x14ac:dyDescent="0.3">
      <c r="B1216" s="2" t="s">
        <v>1222</v>
      </c>
      <c r="C1216" s="3">
        <v>45136</v>
      </c>
      <c r="D1216" s="2" t="s">
        <v>2009</v>
      </c>
      <c r="E1216" s="2" t="s">
        <v>2083</v>
      </c>
      <c r="F1216" s="4">
        <v>1583.31</v>
      </c>
      <c r="G1216" s="5">
        <v>280.19</v>
      </c>
      <c r="H1216" s="6">
        <v>18</v>
      </c>
      <c r="I1216" s="2" t="s">
        <v>2117</v>
      </c>
    </row>
    <row r="1217" spans="2:9" x14ac:dyDescent="0.3">
      <c r="B1217" s="2" t="s">
        <v>1223</v>
      </c>
      <c r="C1217" s="3">
        <v>43846</v>
      </c>
      <c r="D1217" s="2" t="s">
        <v>2011</v>
      </c>
      <c r="E1217" s="2" t="s">
        <v>2072</v>
      </c>
      <c r="F1217" s="4">
        <v>905.36</v>
      </c>
      <c r="G1217" s="5">
        <v>664.48</v>
      </c>
      <c r="H1217" s="6">
        <v>15</v>
      </c>
      <c r="I1217" s="2" t="s">
        <v>2116</v>
      </c>
    </row>
    <row r="1218" spans="2:9" x14ac:dyDescent="0.3">
      <c r="B1218" s="2" t="s">
        <v>1224</v>
      </c>
      <c r="C1218" s="3">
        <v>43899</v>
      </c>
      <c r="D1218" s="2" t="s">
        <v>2012</v>
      </c>
      <c r="E1218" s="2" t="s">
        <v>2017</v>
      </c>
      <c r="F1218" s="4">
        <v>1580.23</v>
      </c>
      <c r="G1218" s="5">
        <v>385.05</v>
      </c>
      <c r="H1218" s="6">
        <v>13</v>
      </c>
      <c r="I1218" s="2" t="s">
        <v>2117</v>
      </c>
    </row>
    <row r="1219" spans="2:9" x14ac:dyDescent="0.3">
      <c r="B1219" s="2" t="s">
        <v>1225</v>
      </c>
      <c r="C1219" s="3">
        <v>43953</v>
      </c>
      <c r="D1219" s="2" t="s">
        <v>2009</v>
      </c>
      <c r="E1219" s="2" t="s">
        <v>2092</v>
      </c>
      <c r="F1219" s="4">
        <v>3483.78</v>
      </c>
      <c r="G1219" s="5">
        <v>87.31</v>
      </c>
      <c r="H1219" s="6">
        <v>14</v>
      </c>
      <c r="I1219" s="2" t="s">
        <v>2116</v>
      </c>
    </row>
    <row r="1220" spans="2:9" x14ac:dyDescent="0.3">
      <c r="B1220" s="2" t="s">
        <v>1226</v>
      </c>
      <c r="C1220" s="3">
        <v>45081</v>
      </c>
      <c r="D1220" s="2" t="s">
        <v>2012</v>
      </c>
      <c r="E1220" s="2" t="s">
        <v>2028</v>
      </c>
      <c r="F1220" s="4">
        <v>461.45</v>
      </c>
      <c r="G1220" s="5">
        <v>612.34</v>
      </c>
      <c r="H1220" s="6">
        <v>12</v>
      </c>
      <c r="I1220" s="2" t="s">
        <v>2116</v>
      </c>
    </row>
    <row r="1221" spans="2:9" x14ac:dyDescent="0.3">
      <c r="B1221" s="2" t="s">
        <v>1227</v>
      </c>
      <c r="C1221" s="3">
        <v>43939</v>
      </c>
      <c r="D1221" s="2" t="s">
        <v>2011</v>
      </c>
      <c r="E1221" s="2" t="s">
        <v>2098</v>
      </c>
      <c r="F1221" s="4">
        <v>3220.35</v>
      </c>
      <c r="G1221" s="5">
        <v>559.67999999999995</v>
      </c>
      <c r="H1221" s="6">
        <v>11</v>
      </c>
      <c r="I1221" s="2" t="s">
        <v>2117</v>
      </c>
    </row>
    <row r="1222" spans="2:9" x14ac:dyDescent="0.3">
      <c r="B1222" s="2" t="s">
        <v>1228</v>
      </c>
      <c r="C1222" s="3">
        <v>44169</v>
      </c>
      <c r="D1222" s="2" t="s">
        <v>2010</v>
      </c>
      <c r="E1222" s="2" t="s">
        <v>2026</v>
      </c>
      <c r="F1222" s="4">
        <v>1495.29</v>
      </c>
      <c r="G1222" s="5">
        <v>351.11</v>
      </c>
      <c r="H1222" s="6">
        <v>15</v>
      </c>
      <c r="I1222" s="2" t="s">
        <v>2117</v>
      </c>
    </row>
    <row r="1223" spans="2:9" x14ac:dyDescent="0.3">
      <c r="B1223" s="2" t="s">
        <v>1229</v>
      </c>
      <c r="C1223" s="3">
        <v>45565</v>
      </c>
      <c r="D1223" s="2" t="s">
        <v>2010</v>
      </c>
      <c r="E1223" s="2" t="s">
        <v>2018</v>
      </c>
      <c r="F1223" s="4">
        <v>1946</v>
      </c>
      <c r="G1223" s="5">
        <v>458.49</v>
      </c>
      <c r="H1223" s="6">
        <v>1</v>
      </c>
      <c r="I1223" s="2" t="s">
        <v>2117</v>
      </c>
    </row>
    <row r="1224" spans="2:9" x14ac:dyDescent="0.3">
      <c r="B1224" s="2" t="s">
        <v>1230</v>
      </c>
      <c r="C1224" s="3">
        <v>45318</v>
      </c>
      <c r="D1224" s="2" t="s">
        <v>2012</v>
      </c>
      <c r="E1224" s="2" t="s">
        <v>2047</v>
      </c>
      <c r="F1224" s="4">
        <v>2156.21</v>
      </c>
      <c r="G1224" s="5">
        <v>320.95999999999998</v>
      </c>
      <c r="H1224" s="6">
        <v>16</v>
      </c>
      <c r="I1224" s="2" t="s">
        <v>2116</v>
      </c>
    </row>
    <row r="1225" spans="2:9" x14ac:dyDescent="0.3">
      <c r="B1225" s="2" t="s">
        <v>1231</v>
      </c>
      <c r="C1225" s="3">
        <v>44779</v>
      </c>
      <c r="D1225" s="2" t="s">
        <v>2009</v>
      </c>
      <c r="E1225" s="2" t="s">
        <v>2095</v>
      </c>
      <c r="F1225" s="4">
        <v>975.01</v>
      </c>
      <c r="G1225" s="5">
        <v>210.7</v>
      </c>
      <c r="H1225" s="6">
        <v>15</v>
      </c>
      <c r="I1225" s="2" t="s">
        <v>2116</v>
      </c>
    </row>
    <row r="1226" spans="2:9" x14ac:dyDescent="0.3">
      <c r="B1226" s="2" t="s">
        <v>1232</v>
      </c>
      <c r="C1226" s="3">
        <v>45321</v>
      </c>
      <c r="D1226" s="2" t="s">
        <v>2009</v>
      </c>
      <c r="E1226" s="2" t="s">
        <v>2037</v>
      </c>
      <c r="F1226" s="4">
        <v>4878.63</v>
      </c>
      <c r="G1226" s="5">
        <v>437.4</v>
      </c>
      <c r="H1226" s="6">
        <v>11</v>
      </c>
      <c r="I1226" s="2" t="s">
        <v>2117</v>
      </c>
    </row>
    <row r="1227" spans="2:9" x14ac:dyDescent="0.3">
      <c r="B1227" s="2" t="s">
        <v>1233</v>
      </c>
      <c r="C1227" s="3">
        <v>45014</v>
      </c>
      <c r="D1227" s="2" t="s">
        <v>2009</v>
      </c>
      <c r="E1227" s="2" t="s">
        <v>2045</v>
      </c>
      <c r="F1227" s="4">
        <v>4720.91</v>
      </c>
      <c r="G1227" s="5">
        <v>340.03</v>
      </c>
      <c r="H1227" s="6">
        <v>18</v>
      </c>
      <c r="I1227" s="2" t="s">
        <v>2116</v>
      </c>
    </row>
    <row r="1228" spans="2:9" x14ac:dyDescent="0.3">
      <c r="B1228" s="2" t="s">
        <v>1234</v>
      </c>
      <c r="C1228" s="3">
        <v>44033</v>
      </c>
      <c r="D1228" s="2" t="s">
        <v>2010</v>
      </c>
      <c r="E1228" s="2" t="s">
        <v>2072</v>
      </c>
      <c r="F1228" s="4">
        <v>1903</v>
      </c>
      <c r="G1228" s="5">
        <v>299.98</v>
      </c>
      <c r="H1228" s="6">
        <v>9</v>
      </c>
      <c r="I1228" s="2" t="s">
        <v>2116</v>
      </c>
    </row>
    <row r="1229" spans="2:9" x14ac:dyDescent="0.3">
      <c r="B1229" s="2" t="s">
        <v>1235</v>
      </c>
      <c r="C1229" s="3">
        <v>44354</v>
      </c>
      <c r="D1229" s="2" t="s">
        <v>2009</v>
      </c>
      <c r="E1229" s="2" t="s">
        <v>2107</v>
      </c>
      <c r="F1229" s="4">
        <v>2982.74</v>
      </c>
      <c r="G1229" s="5">
        <v>939.43</v>
      </c>
      <c r="H1229" s="6">
        <v>17</v>
      </c>
      <c r="I1229" s="2" t="s">
        <v>2118</v>
      </c>
    </row>
    <row r="1230" spans="2:9" x14ac:dyDescent="0.3">
      <c r="B1230" s="2" t="s">
        <v>1236</v>
      </c>
      <c r="C1230" s="3">
        <v>44649</v>
      </c>
      <c r="D1230" s="2" t="s">
        <v>2009</v>
      </c>
      <c r="E1230" s="2" t="s">
        <v>2022</v>
      </c>
      <c r="F1230" s="4">
        <v>2804.32</v>
      </c>
      <c r="G1230" s="5">
        <v>869.48</v>
      </c>
      <c r="H1230" s="6">
        <v>13</v>
      </c>
      <c r="I1230" s="2" t="s">
        <v>2117</v>
      </c>
    </row>
    <row r="1231" spans="2:9" x14ac:dyDescent="0.3">
      <c r="B1231" s="2" t="s">
        <v>1237</v>
      </c>
      <c r="C1231" s="3">
        <v>44085</v>
      </c>
      <c r="D1231" s="2" t="s">
        <v>2011</v>
      </c>
      <c r="E1231" s="2" t="s">
        <v>2074</v>
      </c>
      <c r="F1231" s="4">
        <v>4870.88</v>
      </c>
      <c r="G1231" s="5">
        <v>584.35</v>
      </c>
      <c r="H1231" s="6">
        <v>18</v>
      </c>
      <c r="I1231" s="2" t="s">
        <v>2118</v>
      </c>
    </row>
    <row r="1232" spans="2:9" x14ac:dyDescent="0.3">
      <c r="B1232" s="2" t="s">
        <v>1238</v>
      </c>
      <c r="C1232" s="3">
        <v>44814</v>
      </c>
      <c r="D1232" s="2" t="s">
        <v>2011</v>
      </c>
      <c r="E1232" s="2" t="s">
        <v>2019</v>
      </c>
      <c r="F1232" s="4">
        <v>989.2</v>
      </c>
      <c r="G1232" s="5">
        <v>549.99</v>
      </c>
      <c r="H1232" s="6">
        <v>5</v>
      </c>
      <c r="I1232" s="2" t="s">
        <v>2117</v>
      </c>
    </row>
    <row r="1233" spans="2:9" x14ac:dyDescent="0.3">
      <c r="B1233" s="2" t="s">
        <v>1239</v>
      </c>
      <c r="C1233" s="3">
        <v>44431</v>
      </c>
      <c r="D1233" s="2" t="s">
        <v>2011</v>
      </c>
      <c r="E1233" s="2" t="s">
        <v>2093</v>
      </c>
      <c r="F1233" s="4">
        <v>2329.9499999999998</v>
      </c>
      <c r="G1233" s="5">
        <v>347.15</v>
      </c>
      <c r="H1233" s="6">
        <v>10</v>
      </c>
      <c r="I1233" s="2" t="s">
        <v>2116</v>
      </c>
    </row>
    <row r="1234" spans="2:9" x14ac:dyDescent="0.3">
      <c r="B1234" s="2" t="s">
        <v>1240</v>
      </c>
      <c r="C1234" s="3">
        <v>44008</v>
      </c>
      <c r="D1234" s="2" t="s">
        <v>2011</v>
      </c>
      <c r="E1234" s="2" t="s">
        <v>2112</v>
      </c>
      <c r="F1234" s="4">
        <v>117.19</v>
      </c>
      <c r="G1234" s="5">
        <v>780.01</v>
      </c>
      <c r="H1234" s="6">
        <v>3</v>
      </c>
      <c r="I1234" s="2" t="s">
        <v>2116</v>
      </c>
    </row>
    <row r="1235" spans="2:9" x14ac:dyDescent="0.3">
      <c r="B1235" s="2" t="s">
        <v>1241</v>
      </c>
      <c r="C1235" s="3">
        <v>45199</v>
      </c>
      <c r="D1235" s="2" t="s">
        <v>2012</v>
      </c>
      <c r="E1235" s="2" t="s">
        <v>2087</v>
      </c>
      <c r="F1235" s="4">
        <v>1465.54</v>
      </c>
      <c r="G1235" s="5">
        <v>791.89</v>
      </c>
      <c r="H1235" s="6">
        <v>9</v>
      </c>
      <c r="I1235" s="2" t="s">
        <v>2116</v>
      </c>
    </row>
    <row r="1236" spans="2:9" x14ac:dyDescent="0.3">
      <c r="B1236" s="2" t="s">
        <v>1242</v>
      </c>
      <c r="C1236" s="3">
        <v>45486</v>
      </c>
      <c r="D1236" s="2" t="s">
        <v>2009</v>
      </c>
      <c r="E1236" s="2" t="s">
        <v>2029</v>
      </c>
      <c r="F1236" s="4">
        <v>1727.86</v>
      </c>
      <c r="G1236" s="5">
        <v>804.52</v>
      </c>
      <c r="H1236" s="6">
        <v>8</v>
      </c>
      <c r="I1236" s="2" t="s">
        <v>2118</v>
      </c>
    </row>
    <row r="1237" spans="2:9" x14ac:dyDescent="0.3">
      <c r="B1237" s="2" t="s">
        <v>1243</v>
      </c>
      <c r="C1237" s="3">
        <v>44410</v>
      </c>
      <c r="D1237" s="2" t="s">
        <v>2011</v>
      </c>
      <c r="E1237" s="2" t="s">
        <v>2031</v>
      </c>
      <c r="F1237" s="4">
        <v>4983.3500000000004</v>
      </c>
      <c r="G1237" s="5">
        <v>231.45</v>
      </c>
      <c r="H1237" s="6">
        <v>13</v>
      </c>
      <c r="I1237" s="2" t="s">
        <v>2117</v>
      </c>
    </row>
    <row r="1238" spans="2:9" x14ac:dyDescent="0.3">
      <c r="B1238" s="2" t="s">
        <v>1244</v>
      </c>
      <c r="C1238" s="3">
        <v>43844</v>
      </c>
      <c r="D1238" s="2" t="s">
        <v>2010</v>
      </c>
      <c r="E1238" s="2" t="s">
        <v>2021</v>
      </c>
      <c r="F1238" s="4">
        <v>1637.1</v>
      </c>
      <c r="G1238" s="5">
        <v>965.32</v>
      </c>
      <c r="H1238" s="6">
        <v>8</v>
      </c>
      <c r="I1238" s="2" t="s">
        <v>2117</v>
      </c>
    </row>
    <row r="1239" spans="2:9" x14ac:dyDescent="0.3">
      <c r="B1239" s="2" t="s">
        <v>1245</v>
      </c>
      <c r="C1239" s="3">
        <v>44925</v>
      </c>
      <c r="D1239" s="2" t="s">
        <v>2009</v>
      </c>
      <c r="E1239" s="2" t="s">
        <v>2050</v>
      </c>
      <c r="F1239" s="4">
        <v>1786.66</v>
      </c>
      <c r="G1239" s="5">
        <v>842.11</v>
      </c>
      <c r="H1239" s="6">
        <v>16</v>
      </c>
      <c r="I1239" s="2" t="s">
        <v>2117</v>
      </c>
    </row>
    <row r="1240" spans="2:9" x14ac:dyDescent="0.3">
      <c r="B1240" s="2" t="s">
        <v>1246</v>
      </c>
      <c r="C1240" s="3">
        <v>45525</v>
      </c>
      <c r="D1240" s="2" t="s">
        <v>2011</v>
      </c>
      <c r="E1240" s="2" t="s">
        <v>2013</v>
      </c>
      <c r="F1240" s="4">
        <v>3084.8</v>
      </c>
      <c r="G1240" s="5">
        <v>345.32</v>
      </c>
      <c r="H1240" s="6">
        <v>17</v>
      </c>
      <c r="I1240" s="2" t="s">
        <v>2116</v>
      </c>
    </row>
    <row r="1241" spans="2:9" x14ac:dyDescent="0.3">
      <c r="B1241" s="2" t="s">
        <v>1247</v>
      </c>
      <c r="C1241" s="3">
        <v>45145</v>
      </c>
      <c r="D1241" s="2" t="s">
        <v>2010</v>
      </c>
      <c r="E1241" s="2" t="s">
        <v>2076</v>
      </c>
      <c r="F1241" s="4">
        <v>4149.51</v>
      </c>
      <c r="G1241" s="5">
        <v>905.59</v>
      </c>
      <c r="H1241" s="6">
        <v>4</v>
      </c>
      <c r="I1241" s="2" t="s">
        <v>2118</v>
      </c>
    </row>
    <row r="1242" spans="2:9" x14ac:dyDescent="0.3">
      <c r="B1242" s="2" t="s">
        <v>1248</v>
      </c>
      <c r="C1242" s="3">
        <v>44512</v>
      </c>
      <c r="D1242" s="2" t="s">
        <v>2011</v>
      </c>
      <c r="E1242" s="2" t="s">
        <v>2079</v>
      </c>
      <c r="F1242" s="4">
        <v>2899.43</v>
      </c>
      <c r="G1242" s="5">
        <v>680.23</v>
      </c>
      <c r="H1242" s="6">
        <v>20</v>
      </c>
      <c r="I1242" s="2" t="s">
        <v>2116</v>
      </c>
    </row>
    <row r="1243" spans="2:9" x14ac:dyDescent="0.3">
      <c r="B1243" s="2" t="s">
        <v>1249</v>
      </c>
      <c r="C1243" s="3">
        <v>45279</v>
      </c>
      <c r="D1243" s="2" t="s">
        <v>2009</v>
      </c>
      <c r="E1243" s="2" t="s">
        <v>2029</v>
      </c>
      <c r="F1243" s="4">
        <v>1000.81</v>
      </c>
      <c r="G1243" s="5">
        <v>66.510000000000005</v>
      </c>
      <c r="H1243" s="6">
        <v>20</v>
      </c>
      <c r="I1243" s="2" t="s">
        <v>2118</v>
      </c>
    </row>
    <row r="1244" spans="2:9" x14ac:dyDescent="0.3">
      <c r="B1244" s="2" t="s">
        <v>1250</v>
      </c>
      <c r="C1244" s="3">
        <v>44390</v>
      </c>
      <c r="D1244" s="2" t="s">
        <v>2011</v>
      </c>
      <c r="E1244" s="2" t="s">
        <v>2100</v>
      </c>
      <c r="F1244" s="4">
        <v>1850.78</v>
      </c>
      <c r="G1244" s="5">
        <v>155.53</v>
      </c>
      <c r="H1244" s="6">
        <v>17</v>
      </c>
      <c r="I1244" s="2" t="s">
        <v>2117</v>
      </c>
    </row>
    <row r="1245" spans="2:9" x14ac:dyDescent="0.3">
      <c r="B1245" s="2" t="s">
        <v>1251</v>
      </c>
      <c r="C1245" s="3">
        <v>44090</v>
      </c>
      <c r="D1245" s="2" t="s">
        <v>2010</v>
      </c>
      <c r="E1245" s="2" t="s">
        <v>2050</v>
      </c>
      <c r="F1245" s="4">
        <v>1908.58</v>
      </c>
      <c r="G1245" s="5">
        <v>47.34</v>
      </c>
      <c r="H1245" s="6">
        <v>16</v>
      </c>
      <c r="I1245" s="2" t="s">
        <v>2117</v>
      </c>
    </row>
    <row r="1246" spans="2:9" x14ac:dyDescent="0.3">
      <c r="B1246" s="2" t="s">
        <v>1252</v>
      </c>
      <c r="C1246" s="3">
        <v>44259</v>
      </c>
      <c r="D1246" s="2" t="s">
        <v>2010</v>
      </c>
      <c r="E1246" s="2" t="s">
        <v>2082</v>
      </c>
      <c r="F1246" s="4">
        <v>3316.4</v>
      </c>
      <c r="G1246" s="5">
        <v>969.09</v>
      </c>
      <c r="H1246" s="6">
        <v>4</v>
      </c>
      <c r="I1246" s="2" t="s">
        <v>2117</v>
      </c>
    </row>
    <row r="1247" spans="2:9" x14ac:dyDescent="0.3">
      <c r="B1247" s="2" t="s">
        <v>1253</v>
      </c>
      <c r="C1247" s="3">
        <v>43900</v>
      </c>
      <c r="D1247" s="2" t="s">
        <v>2011</v>
      </c>
      <c r="E1247" s="2" t="s">
        <v>2031</v>
      </c>
      <c r="F1247" s="4">
        <v>1306.4100000000001</v>
      </c>
      <c r="G1247" s="5">
        <v>842.94</v>
      </c>
      <c r="H1247" s="6">
        <v>4</v>
      </c>
      <c r="I1247" s="2" t="s">
        <v>2116</v>
      </c>
    </row>
    <row r="1248" spans="2:9" x14ac:dyDescent="0.3">
      <c r="B1248" s="2" t="s">
        <v>1254</v>
      </c>
      <c r="C1248" s="3">
        <v>45512</v>
      </c>
      <c r="D1248" s="2" t="s">
        <v>2009</v>
      </c>
      <c r="E1248" s="2" t="s">
        <v>2023</v>
      </c>
      <c r="F1248" s="4">
        <v>963.15</v>
      </c>
      <c r="G1248" s="5">
        <v>929.92</v>
      </c>
      <c r="H1248" s="6">
        <v>19</v>
      </c>
      <c r="I1248" s="2" t="s">
        <v>2116</v>
      </c>
    </row>
    <row r="1249" spans="2:9" x14ac:dyDescent="0.3">
      <c r="B1249" s="2" t="s">
        <v>1255</v>
      </c>
      <c r="C1249" s="3">
        <v>44879</v>
      </c>
      <c r="D1249" s="2" t="s">
        <v>2011</v>
      </c>
      <c r="E1249" s="2" t="s">
        <v>2089</v>
      </c>
      <c r="F1249" s="4">
        <v>2910.76</v>
      </c>
      <c r="G1249" s="5">
        <v>393.58</v>
      </c>
      <c r="H1249" s="6">
        <v>17</v>
      </c>
      <c r="I1249" s="2" t="s">
        <v>2118</v>
      </c>
    </row>
    <row r="1250" spans="2:9" x14ac:dyDescent="0.3">
      <c r="B1250" s="2" t="s">
        <v>1256</v>
      </c>
      <c r="C1250" s="3">
        <v>44610</v>
      </c>
      <c r="D1250" s="2" t="s">
        <v>2010</v>
      </c>
      <c r="E1250" s="2" t="s">
        <v>2072</v>
      </c>
      <c r="F1250" s="4">
        <v>3757.57</v>
      </c>
      <c r="G1250" s="5">
        <v>290.97000000000003</v>
      </c>
      <c r="H1250" s="6">
        <v>13</v>
      </c>
      <c r="I1250" s="2" t="s">
        <v>2116</v>
      </c>
    </row>
    <row r="1251" spans="2:9" x14ac:dyDescent="0.3">
      <c r="B1251" s="2" t="s">
        <v>1257</v>
      </c>
      <c r="C1251" s="3">
        <v>45133</v>
      </c>
      <c r="D1251" s="2" t="s">
        <v>2009</v>
      </c>
      <c r="E1251" s="2" t="s">
        <v>2045</v>
      </c>
      <c r="F1251" s="4">
        <v>4086.36</v>
      </c>
      <c r="G1251" s="5">
        <v>631.30999999999995</v>
      </c>
      <c r="H1251" s="6">
        <v>19</v>
      </c>
      <c r="I1251" s="2" t="s">
        <v>2118</v>
      </c>
    </row>
    <row r="1252" spans="2:9" x14ac:dyDescent="0.3">
      <c r="B1252" s="2" t="s">
        <v>1258</v>
      </c>
      <c r="C1252" s="3">
        <v>44275</v>
      </c>
      <c r="D1252" s="2" t="s">
        <v>2009</v>
      </c>
      <c r="E1252" s="2" t="s">
        <v>2029</v>
      </c>
      <c r="F1252" s="4">
        <v>3879.98</v>
      </c>
      <c r="G1252" s="5">
        <v>667.57</v>
      </c>
      <c r="H1252" s="6">
        <v>8</v>
      </c>
      <c r="I1252" s="2" t="s">
        <v>2118</v>
      </c>
    </row>
    <row r="1253" spans="2:9" x14ac:dyDescent="0.3">
      <c r="B1253" s="2" t="s">
        <v>1259</v>
      </c>
      <c r="C1253" s="3">
        <v>45573</v>
      </c>
      <c r="D1253" s="2" t="s">
        <v>2009</v>
      </c>
      <c r="E1253" s="2" t="s">
        <v>2030</v>
      </c>
      <c r="F1253" s="4">
        <v>3055.99</v>
      </c>
      <c r="G1253" s="5">
        <v>543.79999999999995</v>
      </c>
      <c r="H1253" s="6">
        <v>10</v>
      </c>
      <c r="I1253" s="2" t="s">
        <v>2117</v>
      </c>
    </row>
    <row r="1254" spans="2:9" x14ac:dyDescent="0.3">
      <c r="B1254" s="2" t="s">
        <v>1260</v>
      </c>
      <c r="C1254" s="3">
        <v>44575</v>
      </c>
      <c r="D1254" s="2" t="s">
        <v>2009</v>
      </c>
      <c r="E1254" s="2" t="s">
        <v>2063</v>
      </c>
      <c r="F1254" s="4">
        <v>795.45</v>
      </c>
      <c r="G1254" s="5">
        <v>927.69</v>
      </c>
      <c r="H1254" s="6">
        <v>1</v>
      </c>
      <c r="I1254" s="2" t="s">
        <v>2116</v>
      </c>
    </row>
    <row r="1255" spans="2:9" x14ac:dyDescent="0.3">
      <c r="B1255" s="2" t="s">
        <v>1261</v>
      </c>
      <c r="C1255" s="3">
        <v>44632</v>
      </c>
      <c r="D1255" s="2" t="s">
        <v>2011</v>
      </c>
      <c r="E1255" s="2" t="s">
        <v>2048</v>
      </c>
      <c r="F1255" s="4">
        <v>274.33999999999997</v>
      </c>
      <c r="G1255" s="5">
        <v>182.11</v>
      </c>
      <c r="H1255" s="6">
        <v>16</v>
      </c>
      <c r="I1255" s="2" t="s">
        <v>2117</v>
      </c>
    </row>
    <row r="1256" spans="2:9" x14ac:dyDescent="0.3">
      <c r="B1256" s="2" t="s">
        <v>1262</v>
      </c>
      <c r="C1256" s="3">
        <v>45556</v>
      </c>
      <c r="D1256" s="2" t="s">
        <v>2010</v>
      </c>
      <c r="E1256" s="2" t="s">
        <v>2054</v>
      </c>
      <c r="F1256" s="4">
        <v>3663.78</v>
      </c>
      <c r="G1256" s="5">
        <v>89.28</v>
      </c>
      <c r="H1256" s="6">
        <v>11</v>
      </c>
      <c r="I1256" s="2" t="s">
        <v>2118</v>
      </c>
    </row>
    <row r="1257" spans="2:9" x14ac:dyDescent="0.3">
      <c r="B1257" s="2" t="s">
        <v>1263</v>
      </c>
      <c r="C1257" s="3">
        <v>45454</v>
      </c>
      <c r="D1257" s="2" t="s">
        <v>2010</v>
      </c>
      <c r="E1257" s="2" t="s">
        <v>2052</v>
      </c>
      <c r="F1257" s="4">
        <v>2642.3</v>
      </c>
      <c r="G1257" s="5">
        <v>50.54</v>
      </c>
      <c r="H1257" s="6">
        <v>10</v>
      </c>
      <c r="I1257" s="2" t="s">
        <v>2116</v>
      </c>
    </row>
    <row r="1258" spans="2:9" x14ac:dyDescent="0.3">
      <c r="B1258" s="2" t="s">
        <v>1264</v>
      </c>
      <c r="C1258" s="3">
        <v>45464</v>
      </c>
      <c r="D1258" s="2" t="s">
        <v>2010</v>
      </c>
      <c r="E1258" s="2" t="s">
        <v>2081</v>
      </c>
      <c r="F1258" s="4">
        <v>4945.2299999999996</v>
      </c>
      <c r="G1258" s="5">
        <v>907.76</v>
      </c>
      <c r="H1258" s="6">
        <v>6</v>
      </c>
      <c r="I1258" s="2" t="s">
        <v>2118</v>
      </c>
    </row>
    <row r="1259" spans="2:9" x14ac:dyDescent="0.3">
      <c r="B1259" s="2" t="s">
        <v>1265</v>
      </c>
      <c r="C1259" s="3">
        <v>44208</v>
      </c>
      <c r="D1259" s="2" t="s">
        <v>2012</v>
      </c>
      <c r="E1259" s="2" t="s">
        <v>2093</v>
      </c>
      <c r="F1259" s="4">
        <v>4237.2</v>
      </c>
      <c r="G1259" s="5">
        <v>564.54</v>
      </c>
      <c r="H1259" s="6">
        <v>20</v>
      </c>
      <c r="I1259" s="2" t="s">
        <v>2116</v>
      </c>
    </row>
    <row r="1260" spans="2:9" x14ac:dyDescent="0.3">
      <c r="B1260" s="2" t="s">
        <v>1266</v>
      </c>
      <c r="C1260" s="3">
        <v>45279</v>
      </c>
      <c r="D1260" s="2" t="s">
        <v>2012</v>
      </c>
      <c r="E1260" s="2" t="s">
        <v>2098</v>
      </c>
      <c r="F1260" s="4">
        <v>3090.26</v>
      </c>
      <c r="G1260" s="5">
        <v>939.23</v>
      </c>
      <c r="H1260" s="6">
        <v>6</v>
      </c>
      <c r="I1260" s="2" t="s">
        <v>2118</v>
      </c>
    </row>
    <row r="1261" spans="2:9" x14ac:dyDescent="0.3">
      <c r="B1261" s="2" t="s">
        <v>1267</v>
      </c>
      <c r="C1261" s="3">
        <v>45253</v>
      </c>
      <c r="D1261" s="2" t="s">
        <v>2012</v>
      </c>
      <c r="E1261" s="2" t="s">
        <v>2100</v>
      </c>
      <c r="F1261" s="4">
        <v>1986.78</v>
      </c>
      <c r="G1261" s="5">
        <v>626.26</v>
      </c>
      <c r="H1261" s="6">
        <v>16</v>
      </c>
      <c r="I1261" s="2" t="s">
        <v>2118</v>
      </c>
    </row>
    <row r="1262" spans="2:9" x14ac:dyDescent="0.3">
      <c r="B1262" s="2" t="s">
        <v>1268</v>
      </c>
      <c r="C1262" s="3">
        <v>45360</v>
      </c>
      <c r="D1262" s="2" t="s">
        <v>2012</v>
      </c>
      <c r="E1262" s="2" t="s">
        <v>2094</v>
      </c>
      <c r="F1262" s="4">
        <v>650.85</v>
      </c>
      <c r="G1262" s="5">
        <v>255.79</v>
      </c>
      <c r="H1262" s="6">
        <v>17</v>
      </c>
      <c r="I1262" s="2" t="s">
        <v>2116</v>
      </c>
    </row>
    <row r="1263" spans="2:9" x14ac:dyDescent="0.3">
      <c r="B1263" s="2" t="s">
        <v>1269</v>
      </c>
      <c r="C1263" s="3">
        <v>43868</v>
      </c>
      <c r="D1263" s="2" t="s">
        <v>2010</v>
      </c>
      <c r="E1263" s="2" t="s">
        <v>2078</v>
      </c>
      <c r="F1263" s="4">
        <v>3528.12</v>
      </c>
      <c r="G1263" s="5">
        <v>124.66</v>
      </c>
      <c r="H1263" s="6">
        <v>15</v>
      </c>
      <c r="I1263" s="2" t="s">
        <v>2117</v>
      </c>
    </row>
    <row r="1264" spans="2:9" x14ac:dyDescent="0.3">
      <c r="B1264" s="2" t="s">
        <v>1270</v>
      </c>
      <c r="C1264" s="3">
        <v>44272</v>
      </c>
      <c r="D1264" s="2" t="s">
        <v>2009</v>
      </c>
      <c r="E1264" s="2" t="s">
        <v>2110</v>
      </c>
      <c r="F1264" s="4">
        <v>599.54</v>
      </c>
      <c r="G1264" s="5">
        <v>930.28</v>
      </c>
      <c r="H1264" s="6">
        <v>15</v>
      </c>
      <c r="I1264" s="2" t="s">
        <v>2117</v>
      </c>
    </row>
    <row r="1265" spans="2:9" x14ac:dyDescent="0.3">
      <c r="B1265" s="2" t="s">
        <v>1271</v>
      </c>
      <c r="C1265" s="3">
        <v>43857</v>
      </c>
      <c r="D1265" s="2" t="s">
        <v>2009</v>
      </c>
      <c r="E1265" s="2" t="s">
        <v>2027</v>
      </c>
      <c r="F1265" s="4">
        <v>2731.89</v>
      </c>
      <c r="G1265" s="5">
        <v>773.49</v>
      </c>
      <c r="H1265" s="6">
        <v>16</v>
      </c>
      <c r="I1265" s="2" t="s">
        <v>2117</v>
      </c>
    </row>
    <row r="1266" spans="2:9" x14ac:dyDescent="0.3">
      <c r="B1266" s="2" t="s">
        <v>1272</v>
      </c>
      <c r="C1266" s="3">
        <v>45219</v>
      </c>
      <c r="D1266" s="2" t="s">
        <v>2010</v>
      </c>
      <c r="E1266" s="2" t="s">
        <v>2037</v>
      </c>
      <c r="F1266" s="4">
        <v>1196.81</v>
      </c>
      <c r="G1266" s="5">
        <v>693.3</v>
      </c>
      <c r="H1266" s="6">
        <v>4</v>
      </c>
      <c r="I1266" s="2" t="s">
        <v>2116</v>
      </c>
    </row>
    <row r="1267" spans="2:9" x14ac:dyDescent="0.3">
      <c r="B1267" s="2" t="s">
        <v>1273</v>
      </c>
      <c r="C1267" s="3">
        <v>44774</v>
      </c>
      <c r="D1267" s="2" t="s">
        <v>2009</v>
      </c>
      <c r="E1267" s="2" t="s">
        <v>2062</v>
      </c>
      <c r="F1267" s="4">
        <v>3656.81</v>
      </c>
      <c r="G1267" s="5">
        <v>665.04</v>
      </c>
      <c r="H1267" s="6">
        <v>16</v>
      </c>
      <c r="I1267" s="2" t="s">
        <v>2118</v>
      </c>
    </row>
    <row r="1268" spans="2:9" x14ac:dyDescent="0.3">
      <c r="B1268" s="2" t="s">
        <v>1274</v>
      </c>
      <c r="C1268" s="3">
        <v>44412</v>
      </c>
      <c r="D1268" s="2" t="s">
        <v>2011</v>
      </c>
      <c r="E1268" s="2" t="s">
        <v>2021</v>
      </c>
      <c r="F1268" s="4">
        <v>3479.83</v>
      </c>
      <c r="G1268" s="5">
        <v>574.5</v>
      </c>
      <c r="H1268" s="6">
        <v>11</v>
      </c>
      <c r="I1268" s="2" t="s">
        <v>2118</v>
      </c>
    </row>
    <row r="1269" spans="2:9" x14ac:dyDescent="0.3">
      <c r="B1269" s="2" t="s">
        <v>1275</v>
      </c>
      <c r="C1269" s="3">
        <v>44681</v>
      </c>
      <c r="D1269" s="2" t="s">
        <v>2010</v>
      </c>
      <c r="E1269" s="2" t="s">
        <v>2112</v>
      </c>
      <c r="F1269" s="4">
        <v>3062.28</v>
      </c>
      <c r="G1269" s="5">
        <v>187.22</v>
      </c>
      <c r="H1269" s="6">
        <v>11</v>
      </c>
      <c r="I1269" s="2" t="s">
        <v>2116</v>
      </c>
    </row>
    <row r="1270" spans="2:9" x14ac:dyDescent="0.3">
      <c r="B1270" s="2" t="s">
        <v>1276</v>
      </c>
      <c r="C1270" s="3">
        <v>45420</v>
      </c>
      <c r="D1270" s="2" t="s">
        <v>2012</v>
      </c>
      <c r="E1270" s="2" t="s">
        <v>2077</v>
      </c>
      <c r="F1270" s="4">
        <v>4970.13</v>
      </c>
      <c r="G1270" s="5">
        <v>659.89</v>
      </c>
      <c r="H1270" s="6">
        <v>19</v>
      </c>
      <c r="I1270" s="2" t="s">
        <v>2116</v>
      </c>
    </row>
    <row r="1271" spans="2:9" x14ac:dyDescent="0.3">
      <c r="B1271" s="2" t="s">
        <v>1277</v>
      </c>
      <c r="C1271" s="3">
        <v>44536</v>
      </c>
      <c r="D1271" s="2" t="s">
        <v>2012</v>
      </c>
      <c r="E1271" s="2" t="s">
        <v>2086</v>
      </c>
      <c r="F1271" s="4">
        <v>2705.12</v>
      </c>
      <c r="G1271" s="5">
        <v>151.18</v>
      </c>
      <c r="H1271" s="6">
        <v>9</v>
      </c>
      <c r="I1271" s="2" t="s">
        <v>2116</v>
      </c>
    </row>
    <row r="1272" spans="2:9" x14ac:dyDescent="0.3">
      <c r="B1272" s="2" t="s">
        <v>1278</v>
      </c>
      <c r="C1272" s="3">
        <v>44047</v>
      </c>
      <c r="D1272" s="2" t="s">
        <v>2011</v>
      </c>
      <c r="E1272" s="2" t="s">
        <v>2054</v>
      </c>
      <c r="F1272" s="4">
        <v>3803.11</v>
      </c>
      <c r="G1272" s="5">
        <v>727.79</v>
      </c>
      <c r="H1272" s="6">
        <v>17</v>
      </c>
      <c r="I1272" s="2" t="s">
        <v>2116</v>
      </c>
    </row>
    <row r="1273" spans="2:9" x14ac:dyDescent="0.3">
      <c r="B1273" s="2" t="s">
        <v>1279</v>
      </c>
      <c r="C1273" s="3">
        <v>44645</v>
      </c>
      <c r="D1273" s="2" t="s">
        <v>2011</v>
      </c>
      <c r="E1273" s="2" t="s">
        <v>2027</v>
      </c>
      <c r="F1273" s="4">
        <v>3476.26</v>
      </c>
      <c r="G1273" s="5">
        <v>856.89</v>
      </c>
      <c r="H1273" s="6">
        <v>19</v>
      </c>
      <c r="I1273" s="2" t="s">
        <v>2116</v>
      </c>
    </row>
    <row r="1274" spans="2:9" x14ac:dyDescent="0.3">
      <c r="B1274" s="2" t="s">
        <v>1280</v>
      </c>
      <c r="C1274" s="3">
        <v>45297</v>
      </c>
      <c r="D1274" s="2" t="s">
        <v>2009</v>
      </c>
      <c r="E1274" s="2" t="s">
        <v>2088</v>
      </c>
      <c r="F1274" s="4">
        <v>2891.3</v>
      </c>
      <c r="G1274" s="5">
        <v>709.48</v>
      </c>
      <c r="H1274" s="6">
        <v>9</v>
      </c>
      <c r="I1274" s="2" t="s">
        <v>2117</v>
      </c>
    </row>
    <row r="1275" spans="2:9" x14ac:dyDescent="0.3">
      <c r="B1275" s="2" t="s">
        <v>1281</v>
      </c>
      <c r="C1275" s="3">
        <v>45287</v>
      </c>
      <c r="D1275" s="2" t="s">
        <v>2010</v>
      </c>
      <c r="E1275" s="2" t="s">
        <v>2066</v>
      </c>
      <c r="F1275" s="4">
        <v>2801.11</v>
      </c>
      <c r="G1275" s="5">
        <v>379.06</v>
      </c>
      <c r="H1275" s="6">
        <v>15</v>
      </c>
      <c r="I1275" s="2" t="s">
        <v>2116</v>
      </c>
    </row>
    <row r="1276" spans="2:9" x14ac:dyDescent="0.3">
      <c r="B1276" s="2" t="s">
        <v>1282</v>
      </c>
      <c r="C1276" s="3">
        <v>44828</v>
      </c>
      <c r="D1276" s="2" t="s">
        <v>2012</v>
      </c>
      <c r="E1276" s="2" t="s">
        <v>2049</v>
      </c>
      <c r="F1276" s="4">
        <v>4947.2</v>
      </c>
      <c r="G1276" s="5">
        <v>372.13</v>
      </c>
      <c r="H1276" s="6">
        <v>6</v>
      </c>
      <c r="I1276" s="2" t="s">
        <v>2117</v>
      </c>
    </row>
    <row r="1277" spans="2:9" x14ac:dyDescent="0.3">
      <c r="B1277" s="2" t="s">
        <v>1283</v>
      </c>
      <c r="C1277" s="3">
        <v>44739</v>
      </c>
      <c r="D1277" s="2" t="s">
        <v>2009</v>
      </c>
      <c r="E1277" s="2" t="s">
        <v>2015</v>
      </c>
      <c r="F1277" s="4">
        <v>611.11</v>
      </c>
      <c r="G1277" s="5">
        <v>874.38</v>
      </c>
      <c r="H1277" s="6">
        <v>16</v>
      </c>
      <c r="I1277" s="2" t="s">
        <v>2117</v>
      </c>
    </row>
    <row r="1278" spans="2:9" x14ac:dyDescent="0.3">
      <c r="B1278" s="2" t="s">
        <v>1284</v>
      </c>
      <c r="C1278" s="3">
        <v>45126</v>
      </c>
      <c r="D1278" s="2" t="s">
        <v>2011</v>
      </c>
      <c r="E1278" s="2" t="s">
        <v>2096</v>
      </c>
      <c r="F1278" s="4">
        <v>73.989999999999995</v>
      </c>
      <c r="G1278" s="5">
        <v>197.39</v>
      </c>
      <c r="H1278" s="6">
        <v>20</v>
      </c>
      <c r="I1278" s="2" t="s">
        <v>2116</v>
      </c>
    </row>
    <row r="1279" spans="2:9" x14ac:dyDescent="0.3">
      <c r="B1279" s="2" t="s">
        <v>1285</v>
      </c>
      <c r="C1279" s="3">
        <v>45412</v>
      </c>
      <c r="D1279" s="2" t="s">
        <v>2010</v>
      </c>
      <c r="E1279" s="2" t="s">
        <v>2029</v>
      </c>
      <c r="F1279" s="4">
        <v>1677.08</v>
      </c>
      <c r="G1279" s="5">
        <v>639.79999999999995</v>
      </c>
      <c r="H1279" s="6">
        <v>8</v>
      </c>
      <c r="I1279" s="2" t="s">
        <v>2118</v>
      </c>
    </row>
    <row r="1280" spans="2:9" x14ac:dyDescent="0.3">
      <c r="B1280" s="2" t="s">
        <v>1286</v>
      </c>
      <c r="C1280" s="3">
        <v>44674</v>
      </c>
      <c r="D1280" s="2" t="s">
        <v>2009</v>
      </c>
      <c r="E1280" s="2" t="s">
        <v>2037</v>
      </c>
      <c r="F1280" s="4">
        <v>2948.38</v>
      </c>
      <c r="G1280" s="5">
        <v>108.02</v>
      </c>
      <c r="H1280" s="6">
        <v>8</v>
      </c>
      <c r="I1280" s="2" t="s">
        <v>2116</v>
      </c>
    </row>
    <row r="1281" spans="2:9" x14ac:dyDescent="0.3">
      <c r="B1281" s="2" t="s">
        <v>1287</v>
      </c>
      <c r="C1281" s="3">
        <v>44422</v>
      </c>
      <c r="D1281" s="2" t="s">
        <v>2011</v>
      </c>
      <c r="E1281" s="2" t="s">
        <v>2045</v>
      </c>
      <c r="F1281" s="4">
        <v>1883.36</v>
      </c>
      <c r="G1281" s="5">
        <v>529.99</v>
      </c>
      <c r="H1281" s="6">
        <v>3</v>
      </c>
      <c r="I1281" s="2" t="s">
        <v>2116</v>
      </c>
    </row>
    <row r="1282" spans="2:9" x14ac:dyDescent="0.3">
      <c r="B1282" s="2" t="s">
        <v>1288</v>
      </c>
      <c r="C1282" s="3">
        <v>45363</v>
      </c>
      <c r="D1282" s="2" t="s">
        <v>2010</v>
      </c>
      <c r="E1282" s="2" t="s">
        <v>2035</v>
      </c>
      <c r="F1282" s="4">
        <v>635.32000000000005</v>
      </c>
      <c r="G1282" s="5">
        <v>91.47</v>
      </c>
      <c r="H1282" s="6">
        <v>11</v>
      </c>
      <c r="I1282" s="2" t="s">
        <v>2117</v>
      </c>
    </row>
    <row r="1283" spans="2:9" x14ac:dyDescent="0.3">
      <c r="B1283" s="2" t="s">
        <v>1289</v>
      </c>
      <c r="C1283" s="3">
        <v>45430</v>
      </c>
      <c r="D1283" s="2" t="s">
        <v>2011</v>
      </c>
      <c r="E1283" s="2" t="s">
        <v>2103</v>
      </c>
      <c r="F1283" s="4">
        <v>137.6</v>
      </c>
      <c r="G1283" s="5">
        <v>17.11</v>
      </c>
      <c r="H1283" s="6">
        <v>18</v>
      </c>
      <c r="I1283" s="2" t="s">
        <v>2117</v>
      </c>
    </row>
    <row r="1284" spans="2:9" x14ac:dyDescent="0.3">
      <c r="B1284" s="2" t="s">
        <v>1290</v>
      </c>
      <c r="C1284" s="3">
        <v>44410</v>
      </c>
      <c r="D1284" s="2" t="s">
        <v>2009</v>
      </c>
      <c r="E1284" s="2" t="s">
        <v>2041</v>
      </c>
      <c r="F1284" s="4">
        <v>4045.55</v>
      </c>
      <c r="G1284" s="5">
        <v>261.7</v>
      </c>
      <c r="H1284" s="6">
        <v>12</v>
      </c>
      <c r="I1284" s="2" t="s">
        <v>2118</v>
      </c>
    </row>
    <row r="1285" spans="2:9" x14ac:dyDescent="0.3">
      <c r="B1285" s="2" t="s">
        <v>1291</v>
      </c>
      <c r="C1285" s="3">
        <v>45169</v>
      </c>
      <c r="D1285" s="2" t="s">
        <v>2012</v>
      </c>
      <c r="E1285" s="2" t="s">
        <v>2107</v>
      </c>
      <c r="F1285" s="4">
        <v>949.84</v>
      </c>
      <c r="G1285" s="5">
        <v>894.84</v>
      </c>
      <c r="H1285" s="6">
        <v>14</v>
      </c>
      <c r="I1285" s="2" t="s">
        <v>2116</v>
      </c>
    </row>
    <row r="1286" spans="2:9" x14ac:dyDescent="0.3">
      <c r="B1286" s="2" t="s">
        <v>1292</v>
      </c>
      <c r="C1286" s="3">
        <v>45256</v>
      </c>
      <c r="D1286" s="2" t="s">
        <v>2011</v>
      </c>
      <c r="E1286" s="2" t="s">
        <v>2077</v>
      </c>
      <c r="F1286" s="4">
        <v>349.9</v>
      </c>
      <c r="G1286" s="5">
        <v>736.48</v>
      </c>
      <c r="H1286" s="6">
        <v>18</v>
      </c>
      <c r="I1286" s="2" t="s">
        <v>2116</v>
      </c>
    </row>
    <row r="1287" spans="2:9" x14ac:dyDescent="0.3">
      <c r="B1287" s="2" t="s">
        <v>1293</v>
      </c>
      <c r="C1287" s="3">
        <v>44888</v>
      </c>
      <c r="D1287" s="2" t="s">
        <v>2012</v>
      </c>
      <c r="E1287" s="2" t="s">
        <v>2095</v>
      </c>
      <c r="F1287" s="4">
        <v>3533.16</v>
      </c>
      <c r="G1287" s="5">
        <v>343.68</v>
      </c>
      <c r="H1287" s="6">
        <v>19</v>
      </c>
      <c r="I1287" s="2" t="s">
        <v>2117</v>
      </c>
    </row>
    <row r="1288" spans="2:9" x14ac:dyDescent="0.3">
      <c r="B1288" s="2" t="s">
        <v>1294</v>
      </c>
      <c r="C1288" s="3">
        <v>43977</v>
      </c>
      <c r="D1288" s="2" t="s">
        <v>2011</v>
      </c>
      <c r="E1288" s="2" t="s">
        <v>2054</v>
      </c>
      <c r="F1288" s="4">
        <v>999.12</v>
      </c>
      <c r="G1288" s="5">
        <v>44.32</v>
      </c>
      <c r="H1288" s="6">
        <v>13</v>
      </c>
      <c r="I1288" s="2" t="s">
        <v>2117</v>
      </c>
    </row>
    <row r="1289" spans="2:9" x14ac:dyDescent="0.3">
      <c r="B1289" s="2" t="s">
        <v>1295</v>
      </c>
      <c r="C1289" s="3">
        <v>45465</v>
      </c>
      <c r="D1289" s="2" t="s">
        <v>2010</v>
      </c>
      <c r="E1289" s="2" t="s">
        <v>2037</v>
      </c>
      <c r="F1289" s="4">
        <v>1560.28</v>
      </c>
      <c r="G1289" s="5">
        <v>206.34</v>
      </c>
      <c r="H1289" s="6">
        <v>12</v>
      </c>
      <c r="I1289" s="2" t="s">
        <v>2116</v>
      </c>
    </row>
    <row r="1290" spans="2:9" x14ac:dyDescent="0.3">
      <c r="B1290" s="2" t="s">
        <v>1296</v>
      </c>
      <c r="C1290" s="3">
        <v>44399</v>
      </c>
      <c r="D1290" s="2" t="s">
        <v>2010</v>
      </c>
      <c r="E1290" s="2" t="s">
        <v>2036</v>
      </c>
      <c r="F1290" s="4">
        <v>991.59</v>
      </c>
      <c r="G1290" s="5">
        <v>424.68</v>
      </c>
      <c r="H1290" s="6">
        <v>1</v>
      </c>
      <c r="I1290" s="2" t="s">
        <v>2116</v>
      </c>
    </row>
    <row r="1291" spans="2:9" x14ac:dyDescent="0.3">
      <c r="B1291" s="2" t="s">
        <v>1297</v>
      </c>
      <c r="C1291" s="3">
        <v>44687</v>
      </c>
      <c r="D1291" s="2" t="s">
        <v>2012</v>
      </c>
      <c r="E1291" s="2" t="s">
        <v>2038</v>
      </c>
      <c r="F1291" s="4">
        <v>4152.8900000000003</v>
      </c>
      <c r="G1291" s="5">
        <v>570.71</v>
      </c>
      <c r="H1291" s="6">
        <v>15</v>
      </c>
      <c r="I1291" s="2" t="s">
        <v>2116</v>
      </c>
    </row>
    <row r="1292" spans="2:9" x14ac:dyDescent="0.3">
      <c r="B1292" s="2" t="s">
        <v>1298</v>
      </c>
      <c r="C1292" s="3">
        <v>45455</v>
      </c>
      <c r="D1292" s="2" t="s">
        <v>2012</v>
      </c>
      <c r="E1292" s="2" t="s">
        <v>2090</v>
      </c>
      <c r="F1292" s="4">
        <v>3818.6</v>
      </c>
      <c r="G1292" s="5">
        <v>877.22</v>
      </c>
      <c r="H1292" s="6">
        <v>14</v>
      </c>
      <c r="I1292" s="2" t="s">
        <v>2117</v>
      </c>
    </row>
    <row r="1293" spans="2:9" x14ac:dyDescent="0.3">
      <c r="B1293" s="2" t="s">
        <v>1299</v>
      </c>
      <c r="C1293" s="3">
        <v>43983</v>
      </c>
      <c r="D1293" s="2" t="s">
        <v>2009</v>
      </c>
      <c r="E1293" s="2" t="s">
        <v>2024</v>
      </c>
      <c r="F1293" s="4">
        <v>3085.62</v>
      </c>
      <c r="G1293" s="5">
        <v>219.19</v>
      </c>
      <c r="H1293" s="6">
        <v>20</v>
      </c>
      <c r="I1293" s="2" t="s">
        <v>2117</v>
      </c>
    </row>
    <row r="1294" spans="2:9" x14ac:dyDescent="0.3">
      <c r="B1294" s="2" t="s">
        <v>1300</v>
      </c>
      <c r="C1294" s="3">
        <v>44191</v>
      </c>
      <c r="D1294" s="2" t="s">
        <v>2011</v>
      </c>
      <c r="E1294" s="2" t="s">
        <v>2111</v>
      </c>
      <c r="F1294" s="4">
        <v>2819.54</v>
      </c>
      <c r="G1294" s="5">
        <v>43.46</v>
      </c>
      <c r="H1294" s="6">
        <v>11</v>
      </c>
      <c r="I1294" s="2" t="s">
        <v>2117</v>
      </c>
    </row>
    <row r="1295" spans="2:9" x14ac:dyDescent="0.3">
      <c r="B1295" s="2" t="s">
        <v>1301</v>
      </c>
      <c r="C1295" s="3">
        <v>44827</v>
      </c>
      <c r="D1295" s="2" t="s">
        <v>2011</v>
      </c>
      <c r="E1295" s="2" t="s">
        <v>2071</v>
      </c>
      <c r="F1295" s="4">
        <v>4514.0600000000004</v>
      </c>
      <c r="G1295" s="5">
        <v>894.84</v>
      </c>
      <c r="H1295" s="6">
        <v>5</v>
      </c>
      <c r="I1295" s="2" t="s">
        <v>2118</v>
      </c>
    </row>
    <row r="1296" spans="2:9" x14ac:dyDescent="0.3">
      <c r="B1296" s="2" t="s">
        <v>1302</v>
      </c>
      <c r="C1296" s="3">
        <v>44950</v>
      </c>
      <c r="D1296" s="2" t="s">
        <v>2010</v>
      </c>
      <c r="E1296" s="2" t="s">
        <v>2083</v>
      </c>
      <c r="F1296" s="4">
        <v>1718.04</v>
      </c>
      <c r="G1296" s="5">
        <v>221.54</v>
      </c>
      <c r="H1296" s="6">
        <v>9</v>
      </c>
      <c r="I1296" s="2" t="s">
        <v>2118</v>
      </c>
    </row>
    <row r="1297" spans="2:9" x14ac:dyDescent="0.3">
      <c r="B1297" s="2" t="s">
        <v>1303</v>
      </c>
      <c r="C1297" s="3">
        <v>44962</v>
      </c>
      <c r="D1297" s="2" t="s">
        <v>2009</v>
      </c>
      <c r="E1297" s="2" t="s">
        <v>2098</v>
      </c>
      <c r="F1297" s="4">
        <v>2774.56</v>
      </c>
      <c r="G1297" s="5">
        <v>412.94</v>
      </c>
      <c r="H1297" s="6">
        <v>14</v>
      </c>
      <c r="I1297" s="2" t="s">
        <v>2118</v>
      </c>
    </row>
    <row r="1298" spans="2:9" x14ac:dyDescent="0.3">
      <c r="B1298" s="2" t="s">
        <v>1304</v>
      </c>
      <c r="C1298" s="3">
        <v>44777</v>
      </c>
      <c r="D1298" s="2" t="s">
        <v>2010</v>
      </c>
      <c r="E1298" s="2" t="s">
        <v>2056</v>
      </c>
      <c r="F1298" s="4">
        <v>4913.29</v>
      </c>
      <c r="G1298" s="5">
        <v>309.33</v>
      </c>
      <c r="H1298" s="6">
        <v>11</v>
      </c>
      <c r="I1298" s="2" t="s">
        <v>2117</v>
      </c>
    </row>
    <row r="1299" spans="2:9" x14ac:dyDescent="0.3">
      <c r="B1299" s="2" t="s">
        <v>1305</v>
      </c>
      <c r="C1299" s="3">
        <v>45053</v>
      </c>
      <c r="D1299" s="2" t="s">
        <v>2011</v>
      </c>
      <c r="E1299" s="2" t="s">
        <v>2072</v>
      </c>
      <c r="F1299" s="4">
        <v>1694.8</v>
      </c>
      <c r="G1299" s="5">
        <v>542.99</v>
      </c>
      <c r="H1299" s="6">
        <v>11</v>
      </c>
      <c r="I1299" s="2" t="s">
        <v>2118</v>
      </c>
    </row>
    <row r="1300" spans="2:9" x14ac:dyDescent="0.3">
      <c r="B1300" s="2" t="s">
        <v>1306</v>
      </c>
      <c r="C1300" s="3">
        <v>44742</v>
      </c>
      <c r="D1300" s="2" t="s">
        <v>2012</v>
      </c>
      <c r="E1300" s="2" t="s">
        <v>2040</v>
      </c>
      <c r="F1300" s="4">
        <v>3612.43</v>
      </c>
      <c r="G1300" s="5">
        <v>773.82</v>
      </c>
      <c r="H1300" s="6">
        <v>14</v>
      </c>
      <c r="I1300" s="2" t="s">
        <v>2118</v>
      </c>
    </row>
    <row r="1301" spans="2:9" x14ac:dyDescent="0.3">
      <c r="B1301" s="2" t="s">
        <v>1307</v>
      </c>
      <c r="C1301" s="3">
        <v>44637</v>
      </c>
      <c r="D1301" s="2" t="s">
        <v>2010</v>
      </c>
      <c r="E1301" s="2" t="s">
        <v>2075</v>
      </c>
      <c r="F1301" s="4">
        <v>3954.43</v>
      </c>
      <c r="G1301" s="5">
        <v>116.53</v>
      </c>
      <c r="H1301" s="6">
        <v>2</v>
      </c>
      <c r="I1301" s="2" t="s">
        <v>2116</v>
      </c>
    </row>
    <row r="1302" spans="2:9" x14ac:dyDescent="0.3">
      <c r="B1302" s="2" t="s">
        <v>1308</v>
      </c>
      <c r="C1302" s="3">
        <v>44462</v>
      </c>
      <c r="D1302" s="2" t="s">
        <v>2012</v>
      </c>
      <c r="E1302" s="2" t="s">
        <v>2103</v>
      </c>
      <c r="F1302" s="4">
        <v>2839.64</v>
      </c>
      <c r="G1302" s="5">
        <v>944.14</v>
      </c>
      <c r="H1302" s="6">
        <v>15</v>
      </c>
      <c r="I1302" s="2" t="s">
        <v>2117</v>
      </c>
    </row>
    <row r="1303" spans="2:9" x14ac:dyDescent="0.3">
      <c r="B1303" s="2" t="s">
        <v>1309</v>
      </c>
      <c r="C1303" s="3">
        <v>45599</v>
      </c>
      <c r="D1303" s="2" t="s">
        <v>2009</v>
      </c>
      <c r="E1303" s="2" t="s">
        <v>2076</v>
      </c>
      <c r="F1303" s="4">
        <v>1676.44</v>
      </c>
      <c r="G1303" s="5">
        <v>142.09</v>
      </c>
      <c r="H1303" s="6">
        <v>3</v>
      </c>
      <c r="I1303" s="2" t="s">
        <v>2118</v>
      </c>
    </row>
    <row r="1304" spans="2:9" x14ac:dyDescent="0.3">
      <c r="B1304" s="2" t="s">
        <v>1310</v>
      </c>
      <c r="C1304" s="3">
        <v>43931</v>
      </c>
      <c r="D1304" s="2" t="s">
        <v>2012</v>
      </c>
      <c r="E1304" s="2" t="s">
        <v>2111</v>
      </c>
      <c r="F1304" s="4">
        <v>2521.7199999999998</v>
      </c>
      <c r="G1304" s="5">
        <v>852.45</v>
      </c>
      <c r="H1304" s="6">
        <v>18</v>
      </c>
      <c r="I1304" s="2" t="s">
        <v>2118</v>
      </c>
    </row>
    <row r="1305" spans="2:9" x14ac:dyDescent="0.3">
      <c r="B1305" s="2" t="s">
        <v>1311</v>
      </c>
      <c r="C1305" s="3">
        <v>44933</v>
      </c>
      <c r="D1305" s="2" t="s">
        <v>2009</v>
      </c>
      <c r="E1305" s="2" t="s">
        <v>2053</v>
      </c>
      <c r="F1305" s="4">
        <v>988.15</v>
      </c>
      <c r="G1305" s="5">
        <v>653.83000000000004</v>
      </c>
      <c r="H1305" s="6">
        <v>19</v>
      </c>
      <c r="I1305" s="2" t="s">
        <v>2116</v>
      </c>
    </row>
    <row r="1306" spans="2:9" x14ac:dyDescent="0.3">
      <c r="B1306" s="2" t="s">
        <v>1312</v>
      </c>
      <c r="C1306" s="3">
        <v>45509</v>
      </c>
      <c r="D1306" s="2" t="s">
        <v>2010</v>
      </c>
      <c r="E1306" s="2" t="s">
        <v>2032</v>
      </c>
      <c r="F1306" s="4">
        <v>4876.68</v>
      </c>
      <c r="G1306" s="5">
        <v>787.63</v>
      </c>
      <c r="H1306" s="6">
        <v>2</v>
      </c>
      <c r="I1306" s="2" t="s">
        <v>2117</v>
      </c>
    </row>
    <row r="1307" spans="2:9" x14ac:dyDescent="0.3">
      <c r="B1307" s="2" t="s">
        <v>1313</v>
      </c>
      <c r="C1307" s="3">
        <v>44695</v>
      </c>
      <c r="D1307" s="2" t="s">
        <v>2012</v>
      </c>
      <c r="E1307" s="2" t="s">
        <v>2087</v>
      </c>
      <c r="F1307" s="4">
        <v>1952.36</v>
      </c>
      <c r="G1307" s="5">
        <v>408.24</v>
      </c>
      <c r="H1307" s="6">
        <v>12</v>
      </c>
      <c r="I1307" s="2" t="s">
        <v>2118</v>
      </c>
    </row>
    <row r="1308" spans="2:9" x14ac:dyDescent="0.3">
      <c r="B1308" s="2" t="s">
        <v>1314</v>
      </c>
      <c r="C1308" s="3">
        <v>44065</v>
      </c>
      <c r="D1308" s="2" t="s">
        <v>2012</v>
      </c>
      <c r="E1308" s="2" t="s">
        <v>2092</v>
      </c>
      <c r="F1308" s="4">
        <v>146.65</v>
      </c>
      <c r="G1308" s="5">
        <v>996.47</v>
      </c>
      <c r="H1308" s="6">
        <v>10</v>
      </c>
      <c r="I1308" s="2" t="s">
        <v>2116</v>
      </c>
    </row>
    <row r="1309" spans="2:9" x14ac:dyDescent="0.3">
      <c r="B1309" s="2" t="s">
        <v>1315</v>
      </c>
      <c r="C1309" s="3">
        <v>44583</v>
      </c>
      <c r="D1309" s="2" t="s">
        <v>2011</v>
      </c>
      <c r="E1309" s="2" t="s">
        <v>2074</v>
      </c>
      <c r="F1309" s="4">
        <v>3347.93</v>
      </c>
      <c r="G1309" s="5">
        <v>184.94</v>
      </c>
      <c r="H1309" s="6">
        <v>4</v>
      </c>
      <c r="I1309" s="2" t="s">
        <v>2117</v>
      </c>
    </row>
    <row r="1310" spans="2:9" x14ac:dyDescent="0.3">
      <c r="B1310" s="2" t="s">
        <v>1316</v>
      </c>
      <c r="C1310" s="3">
        <v>44931</v>
      </c>
      <c r="D1310" s="2" t="s">
        <v>2012</v>
      </c>
      <c r="E1310" s="2" t="s">
        <v>2064</v>
      </c>
      <c r="F1310" s="4">
        <v>2464.44</v>
      </c>
      <c r="G1310" s="5">
        <v>94.68</v>
      </c>
      <c r="H1310" s="6">
        <v>6</v>
      </c>
      <c r="I1310" s="2" t="s">
        <v>2116</v>
      </c>
    </row>
    <row r="1311" spans="2:9" x14ac:dyDescent="0.3">
      <c r="B1311" s="2" t="s">
        <v>1317</v>
      </c>
      <c r="C1311" s="3">
        <v>45521</v>
      </c>
      <c r="D1311" s="2" t="s">
        <v>2012</v>
      </c>
      <c r="E1311" s="2" t="s">
        <v>2100</v>
      </c>
      <c r="F1311" s="4">
        <v>2158.13</v>
      </c>
      <c r="G1311" s="5">
        <v>192.61</v>
      </c>
      <c r="H1311" s="6">
        <v>11</v>
      </c>
      <c r="I1311" s="2" t="s">
        <v>2118</v>
      </c>
    </row>
    <row r="1312" spans="2:9" x14ac:dyDescent="0.3">
      <c r="B1312" s="2" t="s">
        <v>1318</v>
      </c>
      <c r="C1312" s="3">
        <v>44431</v>
      </c>
      <c r="D1312" s="2" t="s">
        <v>2010</v>
      </c>
      <c r="E1312" s="2" t="s">
        <v>2067</v>
      </c>
      <c r="F1312" s="4">
        <v>2391.35</v>
      </c>
      <c r="G1312" s="5">
        <v>297.77999999999997</v>
      </c>
      <c r="H1312" s="6">
        <v>14</v>
      </c>
      <c r="I1312" s="2" t="s">
        <v>2118</v>
      </c>
    </row>
    <row r="1313" spans="2:9" x14ac:dyDescent="0.3">
      <c r="B1313" s="2" t="s">
        <v>1319</v>
      </c>
      <c r="C1313" s="3">
        <v>45391</v>
      </c>
      <c r="D1313" s="2" t="s">
        <v>2009</v>
      </c>
      <c r="E1313" s="2" t="s">
        <v>2079</v>
      </c>
      <c r="F1313" s="4">
        <v>2914.2</v>
      </c>
      <c r="G1313" s="5">
        <v>364.28</v>
      </c>
      <c r="H1313" s="6">
        <v>10</v>
      </c>
      <c r="I1313" s="2" t="s">
        <v>2117</v>
      </c>
    </row>
    <row r="1314" spans="2:9" x14ac:dyDescent="0.3">
      <c r="B1314" s="2" t="s">
        <v>1320</v>
      </c>
      <c r="C1314" s="3">
        <v>45224</v>
      </c>
      <c r="D1314" s="2" t="s">
        <v>2011</v>
      </c>
      <c r="E1314" s="2" t="s">
        <v>2071</v>
      </c>
      <c r="F1314" s="4">
        <v>1427.25</v>
      </c>
      <c r="G1314" s="5">
        <v>244.08</v>
      </c>
      <c r="H1314" s="6">
        <v>12</v>
      </c>
      <c r="I1314" s="2" t="s">
        <v>2118</v>
      </c>
    </row>
    <row r="1315" spans="2:9" x14ac:dyDescent="0.3">
      <c r="B1315" s="2" t="s">
        <v>1321</v>
      </c>
      <c r="C1315" s="3">
        <v>45269</v>
      </c>
      <c r="D1315" s="2" t="s">
        <v>2012</v>
      </c>
      <c r="E1315" s="2" t="s">
        <v>2037</v>
      </c>
      <c r="F1315" s="4">
        <v>975.89</v>
      </c>
      <c r="G1315" s="5">
        <v>633.19000000000005</v>
      </c>
      <c r="H1315" s="6">
        <v>1</v>
      </c>
      <c r="I1315" s="2" t="s">
        <v>2118</v>
      </c>
    </row>
    <row r="1316" spans="2:9" x14ac:dyDescent="0.3">
      <c r="B1316" s="2" t="s">
        <v>1322</v>
      </c>
      <c r="C1316" s="3">
        <v>43857</v>
      </c>
      <c r="D1316" s="2" t="s">
        <v>2012</v>
      </c>
      <c r="E1316" s="2" t="s">
        <v>2022</v>
      </c>
      <c r="F1316" s="4">
        <v>4406.5600000000004</v>
      </c>
      <c r="G1316" s="5">
        <v>577.14</v>
      </c>
      <c r="H1316" s="6">
        <v>12</v>
      </c>
      <c r="I1316" s="2" t="s">
        <v>2117</v>
      </c>
    </row>
    <row r="1317" spans="2:9" x14ac:dyDescent="0.3">
      <c r="B1317" s="2" t="s">
        <v>1323</v>
      </c>
      <c r="C1317" s="3">
        <v>44058</v>
      </c>
      <c r="D1317" s="2" t="s">
        <v>2011</v>
      </c>
      <c r="E1317" s="2" t="s">
        <v>2015</v>
      </c>
      <c r="F1317" s="4">
        <v>1825.35</v>
      </c>
      <c r="G1317" s="5">
        <v>918.03</v>
      </c>
      <c r="H1317" s="6">
        <v>14</v>
      </c>
      <c r="I1317" s="2" t="s">
        <v>2117</v>
      </c>
    </row>
    <row r="1318" spans="2:9" x14ac:dyDescent="0.3">
      <c r="B1318" s="2" t="s">
        <v>1324</v>
      </c>
      <c r="C1318" s="3">
        <v>44317</v>
      </c>
      <c r="D1318" s="2" t="s">
        <v>2009</v>
      </c>
      <c r="E1318" s="2" t="s">
        <v>2051</v>
      </c>
      <c r="F1318" s="4">
        <v>4381.45</v>
      </c>
      <c r="G1318" s="5">
        <v>236.99</v>
      </c>
      <c r="H1318" s="6">
        <v>9</v>
      </c>
      <c r="I1318" s="2" t="s">
        <v>2116</v>
      </c>
    </row>
    <row r="1319" spans="2:9" x14ac:dyDescent="0.3">
      <c r="B1319" s="2" t="s">
        <v>1325</v>
      </c>
      <c r="C1319" s="3">
        <v>45478</v>
      </c>
      <c r="D1319" s="2" t="s">
        <v>2009</v>
      </c>
      <c r="E1319" s="2" t="s">
        <v>2085</v>
      </c>
      <c r="F1319" s="4">
        <v>2751.87</v>
      </c>
      <c r="G1319" s="5">
        <v>440.78</v>
      </c>
      <c r="H1319" s="6">
        <v>8</v>
      </c>
      <c r="I1319" s="2" t="s">
        <v>2117</v>
      </c>
    </row>
    <row r="1320" spans="2:9" x14ac:dyDescent="0.3">
      <c r="B1320" s="2" t="s">
        <v>1326</v>
      </c>
      <c r="C1320" s="3">
        <v>44366</v>
      </c>
      <c r="D1320" s="2" t="s">
        <v>2010</v>
      </c>
      <c r="E1320" s="2" t="s">
        <v>2022</v>
      </c>
      <c r="F1320" s="4">
        <v>4125.9799999999996</v>
      </c>
      <c r="G1320" s="5">
        <v>622.61</v>
      </c>
      <c r="H1320" s="6">
        <v>1</v>
      </c>
      <c r="I1320" s="2" t="s">
        <v>2117</v>
      </c>
    </row>
    <row r="1321" spans="2:9" x14ac:dyDescent="0.3">
      <c r="B1321" s="2" t="s">
        <v>1327</v>
      </c>
      <c r="C1321" s="3">
        <v>45327</v>
      </c>
      <c r="D1321" s="2" t="s">
        <v>2011</v>
      </c>
      <c r="E1321" s="2" t="s">
        <v>2084</v>
      </c>
      <c r="F1321" s="4">
        <v>1030.58</v>
      </c>
      <c r="G1321" s="5">
        <v>504.45</v>
      </c>
      <c r="H1321" s="6">
        <v>1</v>
      </c>
      <c r="I1321" s="2" t="s">
        <v>2116</v>
      </c>
    </row>
    <row r="1322" spans="2:9" x14ac:dyDescent="0.3">
      <c r="B1322" s="2" t="s">
        <v>1328</v>
      </c>
      <c r="C1322" s="3">
        <v>44096</v>
      </c>
      <c r="D1322" s="2" t="s">
        <v>2010</v>
      </c>
      <c r="E1322" s="2" t="s">
        <v>2044</v>
      </c>
      <c r="F1322" s="4">
        <v>509.87</v>
      </c>
      <c r="G1322" s="5">
        <v>302.38</v>
      </c>
      <c r="H1322" s="6">
        <v>1</v>
      </c>
      <c r="I1322" s="2" t="s">
        <v>2116</v>
      </c>
    </row>
    <row r="1323" spans="2:9" x14ac:dyDescent="0.3">
      <c r="B1323" s="2" t="s">
        <v>1329</v>
      </c>
      <c r="C1323" s="3">
        <v>44684</v>
      </c>
      <c r="D1323" s="2" t="s">
        <v>2012</v>
      </c>
      <c r="E1323" s="2" t="s">
        <v>2082</v>
      </c>
      <c r="F1323" s="4">
        <v>3134.86</v>
      </c>
      <c r="G1323" s="5">
        <v>542.88</v>
      </c>
      <c r="H1323" s="6">
        <v>15</v>
      </c>
      <c r="I1323" s="2" t="s">
        <v>2116</v>
      </c>
    </row>
    <row r="1324" spans="2:9" x14ac:dyDescent="0.3">
      <c r="B1324" s="2" t="s">
        <v>1330</v>
      </c>
      <c r="C1324" s="3">
        <v>44037</v>
      </c>
      <c r="D1324" s="2" t="s">
        <v>2011</v>
      </c>
      <c r="E1324" s="2" t="s">
        <v>2045</v>
      </c>
      <c r="F1324" s="4">
        <v>1075.05</v>
      </c>
      <c r="G1324" s="5">
        <v>227.64</v>
      </c>
      <c r="H1324" s="6">
        <v>11</v>
      </c>
      <c r="I1324" s="2" t="s">
        <v>2116</v>
      </c>
    </row>
    <row r="1325" spans="2:9" x14ac:dyDescent="0.3">
      <c r="B1325" s="2" t="s">
        <v>1331</v>
      </c>
      <c r="C1325" s="3">
        <v>44226</v>
      </c>
      <c r="D1325" s="2" t="s">
        <v>2009</v>
      </c>
      <c r="E1325" s="2" t="s">
        <v>2020</v>
      </c>
      <c r="F1325" s="4">
        <v>4501.5200000000004</v>
      </c>
      <c r="G1325" s="5">
        <v>523.86</v>
      </c>
      <c r="H1325" s="6">
        <v>8</v>
      </c>
      <c r="I1325" s="2" t="s">
        <v>2116</v>
      </c>
    </row>
    <row r="1326" spans="2:9" x14ac:dyDescent="0.3">
      <c r="B1326" s="2" t="s">
        <v>1332</v>
      </c>
      <c r="C1326" s="3">
        <v>44374</v>
      </c>
      <c r="D1326" s="2" t="s">
        <v>2011</v>
      </c>
      <c r="E1326" s="2" t="s">
        <v>2033</v>
      </c>
      <c r="F1326" s="4">
        <v>998.4</v>
      </c>
      <c r="G1326" s="5">
        <v>966.66</v>
      </c>
      <c r="H1326" s="6">
        <v>1</v>
      </c>
      <c r="I1326" s="2" t="s">
        <v>2116</v>
      </c>
    </row>
    <row r="1327" spans="2:9" x14ac:dyDescent="0.3">
      <c r="B1327" s="2" t="s">
        <v>1333</v>
      </c>
      <c r="C1327" s="3">
        <v>44359</v>
      </c>
      <c r="D1327" s="2" t="s">
        <v>2010</v>
      </c>
      <c r="E1327" s="2" t="s">
        <v>2062</v>
      </c>
      <c r="F1327" s="4">
        <v>3582.04</v>
      </c>
      <c r="G1327" s="5">
        <v>724.98</v>
      </c>
      <c r="H1327" s="6">
        <v>6</v>
      </c>
      <c r="I1327" s="2" t="s">
        <v>2117</v>
      </c>
    </row>
    <row r="1328" spans="2:9" x14ac:dyDescent="0.3">
      <c r="B1328" s="2" t="s">
        <v>1334</v>
      </c>
      <c r="C1328" s="3">
        <v>44725</v>
      </c>
      <c r="D1328" s="2" t="s">
        <v>2012</v>
      </c>
      <c r="E1328" s="2" t="s">
        <v>2112</v>
      </c>
      <c r="F1328" s="4">
        <v>1007.54</v>
      </c>
      <c r="G1328" s="5">
        <v>578.99</v>
      </c>
      <c r="H1328" s="6">
        <v>3</v>
      </c>
      <c r="I1328" s="2" t="s">
        <v>2118</v>
      </c>
    </row>
    <row r="1329" spans="2:9" x14ac:dyDescent="0.3">
      <c r="B1329" s="2" t="s">
        <v>1335</v>
      </c>
      <c r="C1329" s="3">
        <v>45127</v>
      </c>
      <c r="D1329" s="2" t="s">
        <v>2011</v>
      </c>
      <c r="E1329" s="2" t="s">
        <v>2021</v>
      </c>
      <c r="F1329" s="4">
        <v>1906.57</v>
      </c>
      <c r="G1329" s="5">
        <v>803.21</v>
      </c>
      <c r="H1329" s="6">
        <v>11</v>
      </c>
      <c r="I1329" s="2" t="s">
        <v>2118</v>
      </c>
    </row>
    <row r="1330" spans="2:9" x14ac:dyDescent="0.3">
      <c r="B1330" s="2" t="s">
        <v>1336</v>
      </c>
      <c r="C1330" s="3">
        <v>44770</v>
      </c>
      <c r="D1330" s="2" t="s">
        <v>2012</v>
      </c>
      <c r="E1330" s="2" t="s">
        <v>2018</v>
      </c>
      <c r="F1330" s="4">
        <v>1671.63</v>
      </c>
      <c r="G1330" s="5">
        <v>794.06</v>
      </c>
      <c r="H1330" s="6">
        <v>1</v>
      </c>
      <c r="I1330" s="2" t="s">
        <v>2116</v>
      </c>
    </row>
    <row r="1331" spans="2:9" x14ac:dyDescent="0.3">
      <c r="B1331" s="2" t="s">
        <v>1337</v>
      </c>
      <c r="C1331" s="3">
        <v>44469</v>
      </c>
      <c r="D1331" s="2" t="s">
        <v>2011</v>
      </c>
      <c r="E1331" s="2" t="s">
        <v>2096</v>
      </c>
      <c r="F1331" s="4">
        <v>1768.41</v>
      </c>
      <c r="G1331" s="5">
        <v>777.41</v>
      </c>
      <c r="H1331" s="6">
        <v>13</v>
      </c>
      <c r="I1331" s="2" t="s">
        <v>2117</v>
      </c>
    </row>
    <row r="1332" spans="2:9" x14ac:dyDescent="0.3">
      <c r="B1332" s="2" t="s">
        <v>1338</v>
      </c>
      <c r="C1332" s="3">
        <v>44772</v>
      </c>
      <c r="D1332" s="2" t="s">
        <v>2011</v>
      </c>
      <c r="E1332" s="2" t="s">
        <v>2096</v>
      </c>
      <c r="F1332" s="4">
        <v>2972.1</v>
      </c>
      <c r="G1332" s="5">
        <v>919.64</v>
      </c>
      <c r="H1332" s="6">
        <v>15</v>
      </c>
      <c r="I1332" s="2" t="s">
        <v>2116</v>
      </c>
    </row>
    <row r="1333" spans="2:9" x14ac:dyDescent="0.3">
      <c r="B1333" s="2" t="s">
        <v>1339</v>
      </c>
      <c r="C1333" s="3">
        <v>45157</v>
      </c>
      <c r="D1333" s="2" t="s">
        <v>2012</v>
      </c>
      <c r="E1333" s="2" t="s">
        <v>2019</v>
      </c>
      <c r="F1333" s="4">
        <v>1121.1099999999999</v>
      </c>
      <c r="G1333" s="5">
        <v>181.2</v>
      </c>
      <c r="H1333" s="6">
        <v>13</v>
      </c>
      <c r="I1333" s="2" t="s">
        <v>2118</v>
      </c>
    </row>
    <row r="1334" spans="2:9" x14ac:dyDescent="0.3">
      <c r="B1334" s="2" t="s">
        <v>1340</v>
      </c>
      <c r="C1334" s="3">
        <v>43957</v>
      </c>
      <c r="D1334" s="2" t="s">
        <v>2009</v>
      </c>
      <c r="E1334" s="2" t="s">
        <v>2049</v>
      </c>
      <c r="F1334" s="4">
        <v>4338.03</v>
      </c>
      <c r="G1334" s="5">
        <v>899.2</v>
      </c>
      <c r="H1334" s="6">
        <v>12</v>
      </c>
      <c r="I1334" s="2" t="s">
        <v>2116</v>
      </c>
    </row>
    <row r="1335" spans="2:9" x14ac:dyDescent="0.3">
      <c r="B1335" s="2" t="s">
        <v>1341</v>
      </c>
      <c r="C1335" s="3">
        <v>44048</v>
      </c>
      <c r="D1335" s="2" t="s">
        <v>2012</v>
      </c>
      <c r="E1335" s="2" t="s">
        <v>2034</v>
      </c>
      <c r="F1335" s="4">
        <v>1176.3699999999999</v>
      </c>
      <c r="G1335" s="5">
        <v>311.56</v>
      </c>
      <c r="H1335" s="6">
        <v>20</v>
      </c>
      <c r="I1335" s="2" t="s">
        <v>2116</v>
      </c>
    </row>
    <row r="1336" spans="2:9" x14ac:dyDescent="0.3">
      <c r="B1336" s="2" t="s">
        <v>1342</v>
      </c>
      <c r="C1336" s="3">
        <v>44568</v>
      </c>
      <c r="D1336" s="2" t="s">
        <v>2009</v>
      </c>
      <c r="E1336" s="2" t="s">
        <v>2070</v>
      </c>
      <c r="F1336" s="4">
        <v>2027.46</v>
      </c>
      <c r="G1336" s="5">
        <v>67.78</v>
      </c>
      <c r="H1336" s="6">
        <v>3</v>
      </c>
      <c r="I1336" s="2" t="s">
        <v>2118</v>
      </c>
    </row>
    <row r="1337" spans="2:9" x14ac:dyDescent="0.3">
      <c r="B1337" s="2" t="s">
        <v>1343</v>
      </c>
      <c r="C1337" s="3">
        <v>44148</v>
      </c>
      <c r="D1337" s="2" t="s">
        <v>2012</v>
      </c>
      <c r="E1337" s="2" t="s">
        <v>2058</v>
      </c>
      <c r="F1337" s="4">
        <v>1938.15</v>
      </c>
      <c r="G1337" s="5">
        <v>245.1</v>
      </c>
      <c r="H1337" s="6">
        <v>14</v>
      </c>
      <c r="I1337" s="2" t="s">
        <v>2116</v>
      </c>
    </row>
    <row r="1338" spans="2:9" x14ac:dyDescent="0.3">
      <c r="B1338" s="2" t="s">
        <v>1344</v>
      </c>
      <c r="C1338" s="3">
        <v>44772</v>
      </c>
      <c r="D1338" s="2" t="s">
        <v>2012</v>
      </c>
      <c r="E1338" s="2" t="s">
        <v>2054</v>
      </c>
      <c r="F1338" s="4">
        <v>2090.92</v>
      </c>
      <c r="G1338" s="5">
        <v>132.41999999999999</v>
      </c>
      <c r="H1338" s="6">
        <v>10</v>
      </c>
      <c r="I1338" s="2" t="s">
        <v>2116</v>
      </c>
    </row>
    <row r="1339" spans="2:9" x14ac:dyDescent="0.3">
      <c r="B1339" s="2" t="s">
        <v>1345</v>
      </c>
      <c r="C1339" s="3">
        <v>44112</v>
      </c>
      <c r="D1339" s="2" t="s">
        <v>2010</v>
      </c>
      <c r="E1339" s="2" t="s">
        <v>2084</v>
      </c>
      <c r="F1339" s="4">
        <v>992.84</v>
      </c>
      <c r="G1339" s="5">
        <v>976.04</v>
      </c>
      <c r="H1339" s="6">
        <v>20</v>
      </c>
      <c r="I1339" s="2" t="s">
        <v>2118</v>
      </c>
    </row>
    <row r="1340" spans="2:9" x14ac:dyDescent="0.3">
      <c r="B1340" s="2" t="s">
        <v>1346</v>
      </c>
      <c r="C1340" s="3">
        <v>45350</v>
      </c>
      <c r="D1340" s="2" t="s">
        <v>2012</v>
      </c>
      <c r="E1340" s="2" t="s">
        <v>2049</v>
      </c>
      <c r="F1340" s="4">
        <v>2023.28</v>
      </c>
      <c r="G1340" s="5">
        <v>812.58</v>
      </c>
      <c r="H1340" s="6">
        <v>3</v>
      </c>
      <c r="I1340" s="2" t="s">
        <v>2117</v>
      </c>
    </row>
    <row r="1341" spans="2:9" x14ac:dyDescent="0.3">
      <c r="B1341" s="2" t="s">
        <v>1347</v>
      </c>
      <c r="C1341" s="3">
        <v>44340</v>
      </c>
      <c r="D1341" s="2" t="s">
        <v>2012</v>
      </c>
      <c r="E1341" s="2" t="s">
        <v>2019</v>
      </c>
      <c r="F1341" s="4">
        <v>1926.92</v>
      </c>
      <c r="G1341" s="5">
        <v>364.64</v>
      </c>
      <c r="H1341" s="6">
        <v>11</v>
      </c>
      <c r="I1341" s="2" t="s">
        <v>2118</v>
      </c>
    </row>
    <row r="1342" spans="2:9" x14ac:dyDescent="0.3">
      <c r="B1342" s="2" t="s">
        <v>1348</v>
      </c>
      <c r="C1342" s="3">
        <v>44388</v>
      </c>
      <c r="D1342" s="2" t="s">
        <v>2009</v>
      </c>
      <c r="E1342" s="2" t="s">
        <v>2057</v>
      </c>
      <c r="F1342" s="4">
        <v>3944.65</v>
      </c>
      <c r="G1342" s="5">
        <v>37.17</v>
      </c>
      <c r="H1342" s="6">
        <v>11</v>
      </c>
      <c r="I1342" s="2" t="s">
        <v>2116</v>
      </c>
    </row>
    <row r="1343" spans="2:9" x14ac:dyDescent="0.3">
      <c r="B1343" s="2" t="s">
        <v>1349</v>
      </c>
      <c r="C1343" s="3">
        <v>44718</v>
      </c>
      <c r="D1343" s="2" t="s">
        <v>2011</v>
      </c>
      <c r="E1343" s="2" t="s">
        <v>2060</v>
      </c>
      <c r="F1343" s="4">
        <v>859.81</v>
      </c>
      <c r="G1343" s="5">
        <v>542.14</v>
      </c>
      <c r="H1343" s="6">
        <v>20</v>
      </c>
      <c r="I1343" s="2" t="s">
        <v>2116</v>
      </c>
    </row>
    <row r="1344" spans="2:9" x14ac:dyDescent="0.3">
      <c r="B1344" s="2" t="s">
        <v>1350</v>
      </c>
      <c r="C1344" s="3">
        <v>45424</v>
      </c>
      <c r="D1344" s="2" t="s">
        <v>2010</v>
      </c>
      <c r="E1344" s="2" t="s">
        <v>2062</v>
      </c>
      <c r="F1344" s="4">
        <v>183.06</v>
      </c>
      <c r="G1344" s="5">
        <v>641.77</v>
      </c>
      <c r="H1344" s="6">
        <v>2</v>
      </c>
      <c r="I1344" s="2" t="s">
        <v>2117</v>
      </c>
    </row>
    <row r="1345" spans="2:9" x14ac:dyDescent="0.3">
      <c r="B1345" s="2" t="s">
        <v>1351</v>
      </c>
      <c r="C1345" s="3">
        <v>45045</v>
      </c>
      <c r="D1345" s="2" t="s">
        <v>2009</v>
      </c>
      <c r="E1345" s="2" t="s">
        <v>2019</v>
      </c>
      <c r="F1345" s="4">
        <v>2100.08</v>
      </c>
      <c r="G1345" s="5">
        <v>150.97</v>
      </c>
      <c r="H1345" s="6">
        <v>7</v>
      </c>
      <c r="I1345" s="2" t="s">
        <v>2116</v>
      </c>
    </row>
    <row r="1346" spans="2:9" x14ac:dyDescent="0.3">
      <c r="B1346" s="2" t="s">
        <v>1352</v>
      </c>
      <c r="C1346" s="3">
        <v>44315</v>
      </c>
      <c r="D1346" s="2" t="s">
        <v>2009</v>
      </c>
      <c r="E1346" s="2" t="s">
        <v>2110</v>
      </c>
      <c r="F1346" s="4">
        <v>1078.9100000000001</v>
      </c>
      <c r="G1346" s="5">
        <v>499.12</v>
      </c>
      <c r="H1346" s="6">
        <v>14</v>
      </c>
      <c r="I1346" s="2" t="s">
        <v>2118</v>
      </c>
    </row>
    <row r="1347" spans="2:9" x14ac:dyDescent="0.3">
      <c r="B1347" s="2" t="s">
        <v>1353</v>
      </c>
      <c r="C1347" s="3">
        <v>44433</v>
      </c>
      <c r="D1347" s="2" t="s">
        <v>2012</v>
      </c>
      <c r="E1347" s="2" t="s">
        <v>2086</v>
      </c>
      <c r="F1347" s="4">
        <v>4119.79</v>
      </c>
      <c r="G1347" s="5">
        <v>639.14</v>
      </c>
      <c r="H1347" s="6">
        <v>5</v>
      </c>
      <c r="I1347" s="2" t="s">
        <v>2118</v>
      </c>
    </row>
    <row r="1348" spans="2:9" x14ac:dyDescent="0.3">
      <c r="B1348" s="2" t="s">
        <v>1354</v>
      </c>
      <c r="C1348" s="3">
        <v>44543</v>
      </c>
      <c r="D1348" s="2" t="s">
        <v>2012</v>
      </c>
      <c r="E1348" s="2" t="s">
        <v>2090</v>
      </c>
      <c r="F1348" s="4">
        <v>2284.65</v>
      </c>
      <c r="G1348" s="5">
        <v>652.57000000000005</v>
      </c>
      <c r="H1348" s="6">
        <v>11</v>
      </c>
      <c r="I1348" s="2" t="s">
        <v>2118</v>
      </c>
    </row>
    <row r="1349" spans="2:9" x14ac:dyDescent="0.3">
      <c r="B1349" s="2" t="s">
        <v>1355</v>
      </c>
      <c r="C1349" s="3">
        <v>44921</v>
      </c>
      <c r="D1349" s="2" t="s">
        <v>2010</v>
      </c>
      <c r="E1349" s="2" t="s">
        <v>2101</v>
      </c>
      <c r="F1349" s="4">
        <v>1443.41</v>
      </c>
      <c r="G1349" s="5">
        <v>560.36</v>
      </c>
      <c r="H1349" s="6">
        <v>3</v>
      </c>
      <c r="I1349" s="2" t="s">
        <v>2116</v>
      </c>
    </row>
    <row r="1350" spans="2:9" x14ac:dyDescent="0.3">
      <c r="B1350" s="2" t="s">
        <v>1356</v>
      </c>
      <c r="C1350" s="3">
        <v>44765</v>
      </c>
      <c r="D1350" s="2" t="s">
        <v>2010</v>
      </c>
      <c r="E1350" s="2" t="s">
        <v>2103</v>
      </c>
      <c r="F1350" s="4">
        <v>1971.97</v>
      </c>
      <c r="G1350" s="5">
        <v>480.8</v>
      </c>
      <c r="H1350" s="6">
        <v>19</v>
      </c>
      <c r="I1350" s="2" t="s">
        <v>2118</v>
      </c>
    </row>
    <row r="1351" spans="2:9" x14ac:dyDescent="0.3">
      <c r="B1351" s="2" t="s">
        <v>1357</v>
      </c>
      <c r="C1351" s="3">
        <v>44519</v>
      </c>
      <c r="D1351" s="2" t="s">
        <v>2011</v>
      </c>
      <c r="E1351" s="2" t="s">
        <v>2043</v>
      </c>
      <c r="F1351" s="4">
        <v>2881.36</v>
      </c>
      <c r="G1351" s="5">
        <v>232</v>
      </c>
      <c r="H1351" s="6">
        <v>13</v>
      </c>
      <c r="I1351" s="2" t="s">
        <v>2116</v>
      </c>
    </row>
    <row r="1352" spans="2:9" x14ac:dyDescent="0.3">
      <c r="B1352" s="2" t="s">
        <v>1358</v>
      </c>
      <c r="C1352" s="3">
        <v>44091</v>
      </c>
      <c r="D1352" s="2" t="s">
        <v>2012</v>
      </c>
      <c r="E1352" s="2" t="s">
        <v>2028</v>
      </c>
      <c r="F1352" s="4">
        <v>966.65</v>
      </c>
      <c r="G1352" s="5">
        <v>406.27</v>
      </c>
      <c r="H1352" s="6">
        <v>13</v>
      </c>
      <c r="I1352" s="2" t="s">
        <v>2118</v>
      </c>
    </row>
    <row r="1353" spans="2:9" x14ac:dyDescent="0.3">
      <c r="B1353" s="2" t="s">
        <v>1359</v>
      </c>
      <c r="C1353" s="3">
        <v>44356</v>
      </c>
      <c r="D1353" s="2" t="s">
        <v>2012</v>
      </c>
      <c r="E1353" s="2" t="s">
        <v>2095</v>
      </c>
      <c r="F1353" s="4">
        <v>4592.4799999999996</v>
      </c>
      <c r="G1353" s="5">
        <v>212.78</v>
      </c>
      <c r="H1353" s="6">
        <v>13</v>
      </c>
      <c r="I1353" s="2" t="s">
        <v>2118</v>
      </c>
    </row>
    <row r="1354" spans="2:9" x14ac:dyDescent="0.3">
      <c r="B1354" s="2" t="s">
        <v>1360</v>
      </c>
      <c r="C1354" s="3">
        <v>44649</v>
      </c>
      <c r="D1354" s="2" t="s">
        <v>2009</v>
      </c>
      <c r="E1354" s="2" t="s">
        <v>2027</v>
      </c>
      <c r="F1354" s="4">
        <v>3729.33</v>
      </c>
      <c r="G1354" s="5">
        <v>845.56</v>
      </c>
      <c r="H1354" s="6">
        <v>19</v>
      </c>
      <c r="I1354" s="2" t="s">
        <v>2116</v>
      </c>
    </row>
    <row r="1355" spans="2:9" x14ac:dyDescent="0.3">
      <c r="B1355" s="2" t="s">
        <v>1361</v>
      </c>
      <c r="C1355" s="3">
        <v>44359</v>
      </c>
      <c r="D1355" s="2" t="s">
        <v>2012</v>
      </c>
      <c r="E1355" s="2" t="s">
        <v>2024</v>
      </c>
      <c r="F1355" s="4">
        <v>3645.76</v>
      </c>
      <c r="G1355" s="5">
        <v>216.55</v>
      </c>
      <c r="H1355" s="6">
        <v>15</v>
      </c>
      <c r="I1355" s="2" t="s">
        <v>2116</v>
      </c>
    </row>
    <row r="1356" spans="2:9" x14ac:dyDescent="0.3">
      <c r="B1356" s="2" t="s">
        <v>1362</v>
      </c>
      <c r="C1356" s="3">
        <v>43901</v>
      </c>
      <c r="D1356" s="2" t="s">
        <v>2010</v>
      </c>
      <c r="E1356" s="2" t="s">
        <v>2105</v>
      </c>
      <c r="F1356" s="4">
        <v>1407.9</v>
      </c>
      <c r="G1356" s="5">
        <v>172.68</v>
      </c>
      <c r="H1356" s="6">
        <v>10</v>
      </c>
      <c r="I1356" s="2" t="s">
        <v>2118</v>
      </c>
    </row>
    <row r="1357" spans="2:9" x14ac:dyDescent="0.3">
      <c r="B1357" s="2" t="s">
        <v>1363</v>
      </c>
      <c r="C1357" s="3">
        <v>45007</v>
      </c>
      <c r="D1357" s="2" t="s">
        <v>2012</v>
      </c>
      <c r="E1357" s="2" t="s">
        <v>2047</v>
      </c>
      <c r="F1357" s="4">
        <v>4039.12</v>
      </c>
      <c r="G1357" s="5">
        <v>724.84</v>
      </c>
      <c r="H1357" s="6">
        <v>8</v>
      </c>
      <c r="I1357" s="2" t="s">
        <v>2118</v>
      </c>
    </row>
    <row r="1358" spans="2:9" x14ac:dyDescent="0.3">
      <c r="B1358" s="2" t="s">
        <v>1364</v>
      </c>
      <c r="C1358" s="3">
        <v>44613</v>
      </c>
      <c r="D1358" s="2" t="s">
        <v>2011</v>
      </c>
      <c r="E1358" s="2" t="s">
        <v>2029</v>
      </c>
      <c r="F1358" s="4">
        <v>3406.72</v>
      </c>
      <c r="G1358" s="5">
        <v>952.99</v>
      </c>
      <c r="H1358" s="6">
        <v>17</v>
      </c>
      <c r="I1358" s="2" t="s">
        <v>2117</v>
      </c>
    </row>
    <row r="1359" spans="2:9" x14ac:dyDescent="0.3">
      <c r="B1359" s="2" t="s">
        <v>1365</v>
      </c>
      <c r="C1359" s="3">
        <v>44341</v>
      </c>
      <c r="D1359" s="2" t="s">
        <v>2011</v>
      </c>
      <c r="E1359" s="2" t="s">
        <v>2021</v>
      </c>
      <c r="F1359" s="4">
        <v>859.69</v>
      </c>
      <c r="G1359" s="5">
        <v>660.7</v>
      </c>
      <c r="H1359" s="6">
        <v>13</v>
      </c>
      <c r="I1359" s="2" t="s">
        <v>2118</v>
      </c>
    </row>
    <row r="1360" spans="2:9" x14ac:dyDescent="0.3">
      <c r="B1360" s="2" t="s">
        <v>1366</v>
      </c>
      <c r="C1360" s="3">
        <v>44524</v>
      </c>
      <c r="D1360" s="2" t="s">
        <v>2009</v>
      </c>
      <c r="E1360" s="2" t="s">
        <v>2096</v>
      </c>
      <c r="F1360" s="4">
        <v>3031.82</v>
      </c>
      <c r="G1360" s="5">
        <v>148.72999999999999</v>
      </c>
      <c r="H1360" s="6">
        <v>19</v>
      </c>
      <c r="I1360" s="2" t="s">
        <v>2117</v>
      </c>
    </row>
    <row r="1361" spans="2:9" x14ac:dyDescent="0.3">
      <c r="B1361" s="2" t="s">
        <v>1367</v>
      </c>
      <c r="C1361" s="3">
        <v>44141</v>
      </c>
      <c r="D1361" s="2" t="s">
        <v>2012</v>
      </c>
      <c r="E1361" s="2" t="s">
        <v>2110</v>
      </c>
      <c r="F1361" s="4">
        <v>3037.35</v>
      </c>
      <c r="G1361" s="5">
        <v>47.62</v>
      </c>
      <c r="H1361" s="6">
        <v>3</v>
      </c>
      <c r="I1361" s="2" t="s">
        <v>2118</v>
      </c>
    </row>
    <row r="1362" spans="2:9" x14ac:dyDescent="0.3">
      <c r="B1362" s="2" t="s">
        <v>1368</v>
      </c>
      <c r="C1362" s="3">
        <v>44078</v>
      </c>
      <c r="D1362" s="2" t="s">
        <v>2010</v>
      </c>
      <c r="E1362" s="2" t="s">
        <v>2032</v>
      </c>
      <c r="F1362" s="4">
        <v>3131.87</v>
      </c>
      <c r="G1362" s="5">
        <v>676.26</v>
      </c>
      <c r="H1362" s="6">
        <v>9</v>
      </c>
      <c r="I1362" s="2" t="s">
        <v>2117</v>
      </c>
    </row>
    <row r="1363" spans="2:9" x14ac:dyDescent="0.3">
      <c r="B1363" s="2" t="s">
        <v>1369</v>
      </c>
      <c r="C1363" s="3">
        <v>44384</v>
      </c>
      <c r="D1363" s="2" t="s">
        <v>2010</v>
      </c>
      <c r="E1363" s="2" t="s">
        <v>2083</v>
      </c>
      <c r="F1363" s="4">
        <v>311.18</v>
      </c>
      <c r="G1363" s="5">
        <v>233.43</v>
      </c>
      <c r="H1363" s="6">
        <v>5</v>
      </c>
      <c r="I1363" s="2" t="s">
        <v>2117</v>
      </c>
    </row>
    <row r="1364" spans="2:9" x14ac:dyDescent="0.3">
      <c r="B1364" s="2" t="s">
        <v>1370</v>
      </c>
      <c r="C1364" s="3">
        <v>44339</v>
      </c>
      <c r="D1364" s="2" t="s">
        <v>2009</v>
      </c>
      <c r="E1364" s="2" t="s">
        <v>2032</v>
      </c>
      <c r="F1364" s="4">
        <v>2901.15</v>
      </c>
      <c r="G1364" s="5">
        <v>627.32000000000005</v>
      </c>
      <c r="H1364" s="6">
        <v>1</v>
      </c>
      <c r="I1364" s="2" t="s">
        <v>2118</v>
      </c>
    </row>
    <row r="1365" spans="2:9" x14ac:dyDescent="0.3">
      <c r="B1365" s="2" t="s">
        <v>1371</v>
      </c>
      <c r="C1365" s="3">
        <v>44163</v>
      </c>
      <c r="D1365" s="2" t="s">
        <v>2011</v>
      </c>
      <c r="E1365" s="2" t="s">
        <v>2033</v>
      </c>
      <c r="F1365" s="4">
        <v>1148.96</v>
      </c>
      <c r="G1365" s="5">
        <v>371.25</v>
      </c>
      <c r="H1365" s="6">
        <v>4</v>
      </c>
      <c r="I1365" s="2" t="s">
        <v>2118</v>
      </c>
    </row>
    <row r="1366" spans="2:9" x14ac:dyDescent="0.3">
      <c r="B1366" s="2" t="s">
        <v>1372</v>
      </c>
      <c r="C1366" s="3">
        <v>44247</v>
      </c>
      <c r="D1366" s="2" t="s">
        <v>2011</v>
      </c>
      <c r="E1366" s="2" t="s">
        <v>2042</v>
      </c>
      <c r="F1366" s="4">
        <v>2102.0500000000002</v>
      </c>
      <c r="G1366" s="5">
        <v>708.6</v>
      </c>
      <c r="H1366" s="6">
        <v>11</v>
      </c>
      <c r="I1366" s="2" t="s">
        <v>2117</v>
      </c>
    </row>
    <row r="1367" spans="2:9" x14ac:dyDescent="0.3">
      <c r="B1367" s="2" t="s">
        <v>1373</v>
      </c>
      <c r="C1367" s="3">
        <v>44319</v>
      </c>
      <c r="D1367" s="2" t="s">
        <v>2012</v>
      </c>
      <c r="E1367" s="2" t="s">
        <v>2029</v>
      </c>
      <c r="F1367" s="4">
        <v>1817.07</v>
      </c>
      <c r="G1367" s="5">
        <v>64.790000000000006</v>
      </c>
      <c r="H1367" s="6">
        <v>9</v>
      </c>
      <c r="I1367" s="2" t="s">
        <v>2118</v>
      </c>
    </row>
    <row r="1368" spans="2:9" x14ac:dyDescent="0.3">
      <c r="B1368" s="2" t="s">
        <v>1374</v>
      </c>
      <c r="C1368" s="3">
        <v>44735</v>
      </c>
      <c r="D1368" s="2" t="s">
        <v>2012</v>
      </c>
      <c r="E1368" s="2" t="s">
        <v>2051</v>
      </c>
      <c r="F1368" s="4">
        <v>564.37</v>
      </c>
      <c r="G1368" s="5">
        <v>994.45</v>
      </c>
      <c r="H1368" s="6">
        <v>8</v>
      </c>
      <c r="I1368" s="2" t="s">
        <v>2116</v>
      </c>
    </row>
    <row r="1369" spans="2:9" x14ac:dyDescent="0.3">
      <c r="B1369" s="2" t="s">
        <v>1375</v>
      </c>
      <c r="C1369" s="3">
        <v>45502</v>
      </c>
      <c r="D1369" s="2" t="s">
        <v>2012</v>
      </c>
      <c r="E1369" s="2" t="s">
        <v>2018</v>
      </c>
      <c r="F1369" s="4">
        <v>1129.1300000000001</v>
      </c>
      <c r="G1369" s="5">
        <v>549.04999999999995</v>
      </c>
      <c r="H1369" s="6">
        <v>7</v>
      </c>
      <c r="I1369" s="2" t="s">
        <v>2117</v>
      </c>
    </row>
    <row r="1370" spans="2:9" x14ac:dyDescent="0.3">
      <c r="B1370" s="2" t="s">
        <v>1376</v>
      </c>
      <c r="C1370" s="3">
        <v>45113</v>
      </c>
      <c r="D1370" s="2" t="s">
        <v>2010</v>
      </c>
      <c r="E1370" s="2" t="s">
        <v>2111</v>
      </c>
      <c r="F1370" s="4">
        <v>1130.76</v>
      </c>
      <c r="G1370" s="5">
        <v>865.49</v>
      </c>
      <c r="H1370" s="6">
        <v>16</v>
      </c>
      <c r="I1370" s="2" t="s">
        <v>2118</v>
      </c>
    </row>
    <row r="1371" spans="2:9" x14ac:dyDescent="0.3">
      <c r="B1371" s="2" t="s">
        <v>1377</v>
      </c>
      <c r="C1371" s="3">
        <v>44526</v>
      </c>
      <c r="D1371" s="2" t="s">
        <v>2009</v>
      </c>
      <c r="E1371" s="2" t="s">
        <v>2031</v>
      </c>
      <c r="F1371" s="4">
        <v>3069.11</v>
      </c>
      <c r="G1371" s="5">
        <v>509.53</v>
      </c>
      <c r="H1371" s="6">
        <v>3</v>
      </c>
      <c r="I1371" s="2" t="s">
        <v>2118</v>
      </c>
    </row>
    <row r="1372" spans="2:9" x14ac:dyDescent="0.3">
      <c r="B1372" s="2" t="s">
        <v>1378</v>
      </c>
      <c r="C1372" s="3">
        <v>43950</v>
      </c>
      <c r="D1372" s="2" t="s">
        <v>2012</v>
      </c>
      <c r="E1372" s="2" t="s">
        <v>2038</v>
      </c>
      <c r="F1372" s="4">
        <v>4793.29</v>
      </c>
      <c r="G1372" s="5">
        <v>719.41</v>
      </c>
      <c r="H1372" s="6">
        <v>9</v>
      </c>
      <c r="I1372" s="2" t="s">
        <v>2116</v>
      </c>
    </row>
    <row r="1373" spans="2:9" x14ac:dyDescent="0.3">
      <c r="B1373" s="2" t="s">
        <v>1379</v>
      </c>
      <c r="C1373" s="3">
        <v>44914</v>
      </c>
      <c r="D1373" s="2" t="s">
        <v>2011</v>
      </c>
      <c r="E1373" s="2" t="s">
        <v>2024</v>
      </c>
      <c r="F1373" s="4">
        <v>3337.8</v>
      </c>
      <c r="G1373" s="5">
        <v>142.08000000000001</v>
      </c>
      <c r="H1373" s="6">
        <v>17</v>
      </c>
      <c r="I1373" s="2" t="s">
        <v>2117</v>
      </c>
    </row>
    <row r="1374" spans="2:9" x14ac:dyDescent="0.3">
      <c r="B1374" s="2" t="s">
        <v>1380</v>
      </c>
      <c r="C1374" s="3">
        <v>45128</v>
      </c>
      <c r="D1374" s="2" t="s">
        <v>2012</v>
      </c>
      <c r="E1374" s="2" t="s">
        <v>2051</v>
      </c>
      <c r="F1374" s="4">
        <v>3708.92</v>
      </c>
      <c r="G1374" s="5">
        <v>879.24</v>
      </c>
      <c r="H1374" s="6">
        <v>16</v>
      </c>
      <c r="I1374" s="2" t="s">
        <v>2118</v>
      </c>
    </row>
    <row r="1375" spans="2:9" x14ac:dyDescent="0.3">
      <c r="B1375" s="2" t="s">
        <v>1381</v>
      </c>
      <c r="C1375" s="3">
        <v>43860</v>
      </c>
      <c r="D1375" s="2" t="s">
        <v>2011</v>
      </c>
      <c r="E1375" s="2" t="s">
        <v>2062</v>
      </c>
      <c r="F1375" s="4">
        <v>669.11</v>
      </c>
      <c r="G1375" s="5">
        <v>946.53</v>
      </c>
      <c r="H1375" s="6">
        <v>10</v>
      </c>
      <c r="I1375" s="2" t="s">
        <v>2117</v>
      </c>
    </row>
    <row r="1376" spans="2:9" x14ac:dyDescent="0.3">
      <c r="B1376" s="2" t="s">
        <v>1382</v>
      </c>
      <c r="C1376" s="3">
        <v>44576</v>
      </c>
      <c r="D1376" s="2" t="s">
        <v>2010</v>
      </c>
      <c r="E1376" s="2" t="s">
        <v>2070</v>
      </c>
      <c r="F1376" s="4">
        <v>920.12</v>
      </c>
      <c r="G1376" s="5">
        <v>656.34</v>
      </c>
      <c r="H1376" s="6">
        <v>11</v>
      </c>
      <c r="I1376" s="2" t="s">
        <v>2117</v>
      </c>
    </row>
    <row r="1377" spans="2:9" x14ac:dyDescent="0.3">
      <c r="B1377" s="2" t="s">
        <v>1383</v>
      </c>
      <c r="C1377" s="3">
        <v>44523</v>
      </c>
      <c r="D1377" s="2" t="s">
        <v>2009</v>
      </c>
      <c r="E1377" s="2" t="s">
        <v>2100</v>
      </c>
      <c r="F1377" s="4">
        <v>2937.25</v>
      </c>
      <c r="G1377" s="5">
        <v>214.67</v>
      </c>
      <c r="H1377" s="6">
        <v>1</v>
      </c>
      <c r="I1377" s="2" t="s">
        <v>2117</v>
      </c>
    </row>
    <row r="1378" spans="2:9" x14ac:dyDescent="0.3">
      <c r="B1378" s="2" t="s">
        <v>1384</v>
      </c>
      <c r="C1378" s="3">
        <v>45524</v>
      </c>
      <c r="D1378" s="2" t="s">
        <v>2010</v>
      </c>
      <c r="E1378" s="2" t="s">
        <v>2096</v>
      </c>
      <c r="F1378" s="4">
        <v>476.61</v>
      </c>
      <c r="G1378" s="5">
        <v>809.42</v>
      </c>
      <c r="H1378" s="6">
        <v>17</v>
      </c>
      <c r="I1378" s="2" t="s">
        <v>2117</v>
      </c>
    </row>
    <row r="1379" spans="2:9" x14ac:dyDescent="0.3">
      <c r="B1379" s="2" t="s">
        <v>1385</v>
      </c>
      <c r="C1379" s="3">
        <v>44030</v>
      </c>
      <c r="D1379" s="2" t="s">
        <v>2011</v>
      </c>
      <c r="E1379" s="2" t="s">
        <v>2067</v>
      </c>
      <c r="F1379" s="4">
        <v>2349.23</v>
      </c>
      <c r="G1379" s="5">
        <v>30.3</v>
      </c>
      <c r="H1379" s="6">
        <v>19</v>
      </c>
      <c r="I1379" s="2" t="s">
        <v>2116</v>
      </c>
    </row>
    <row r="1380" spans="2:9" x14ac:dyDescent="0.3">
      <c r="B1380" s="2" t="s">
        <v>1386</v>
      </c>
      <c r="C1380" s="3">
        <v>45290</v>
      </c>
      <c r="D1380" s="2" t="s">
        <v>2012</v>
      </c>
      <c r="E1380" s="2" t="s">
        <v>2022</v>
      </c>
      <c r="F1380" s="4">
        <v>3750.88</v>
      </c>
      <c r="G1380" s="5">
        <v>501.57</v>
      </c>
      <c r="H1380" s="6">
        <v>6</v>
      </c>
      <c r="I1380" s="2" t="s">
        <v>2118</v>
      </c>
    </row>
    <row r="1381" spans="2:9" x14ac:dyDescent="0.3">
      <c r="B1381" s="2" t="s">
        <v>1387</v>
      </c>
      <c r="C1381" s="3">
        <v>44463</v>
      </c>
      <c r="D1381" s="2" t="s">
        <v>2010</v>
      </c>
      <c r="E1381" s="2" t="s">
        <v>2029</v>
      </c>
      <c r="F1381" s="4">
        <v>212.18</v>
      </c>
      <c r="G1381" s="5">
        <v>549.30999999999995</v>
      </c>
      <c r="H1381" s="6">
        <v>2</v>
      </c>
      <c r="I1381" s="2" t="s">
        <v>2116</v>
      </c>
    </row>
    <row r="1382" spans="2:9" x14ac:dyDescent="0.3">
      <c r="B1382" s="2" t="s">
        <v>1388</v>
      </c>
      <c r="C1382" s="3">
        <v>45031</v>
      </c>
      <c r="D1382" s="2" t="s">
        <v>2012</v>
      </c>
      <c r="E1382" s="2" t="s">
        <v>2022</v>
      </c>
      <c r="F1382" s="4">
        <v>4307.2299999999996</v>
      </c>
      <c r="G1382" s="5">
        <v>36.020000000000003</v>
      </c>
      <c r="H1382" s="6">
        <v>18</v>
      </c>
      <c r="I1382" s="2" t="s">
        <v>2117</v>
      </c>
    </row>
    <row r="1383" spans="2:9" x14ac:dyDescent="0.3">
      <c r="B1383" s="2" t="s">
        <v>1389</v>
      </c>
      <c r="C1383" s="3">
        <v>44694</v>
      </c>
      <c r="D1383" s="2" t="s">
        <v>2009</v>
      </c>
      <c r="E1383" s="2" t="s">
        <v>2031</v>
      </c>
      <c r="F1383" s="4">
        <v>2023.5</v>
      </c>
      <c r="G1383" s="5">
        <v>205.38</v>
      </c>
      <c r="H1383" s="6">
        <v>3</v>
      </c>
      <c r="I1383" s="2" t="s">
        <v>2118</v>
      </c>
    </row>
    <row r="1384" spans="2:9" x14ac:dyDescent="0.3">
      <c r="B1384" s="2" t="s">
        <v>1390</v>
      </c>
      <c r="C1384" s="3">
        <v>44614</v>
      </c>
      <c r="D1384" s="2" t="s">
        <v>2009</v>
      </c>
      <c r="E1384" s="2" t="s">
        <v>2070</v>
      </c>
      <c r="F1384" s="4">
        <v>766.37</v>
      </c>
      <c r="G1384" s="5">
        <v>889.45</v>
      </c>
      <c r="H1384" s="6">
        <v>5</v>
      </c>
      <c r="I1384" s="2" t="s">
        <v>2117</v>
      </c>
    </row>
    <row r="1385" spans="2:9" x14ac:dyDescent="0.3">
      <c r="B1385" s="2" t="s">
        <v>1391</v>
      </c>
      <c r="C1385" s="3">
        <v>45562</v>
      </c>
      <c r="D1385" s="2" t="s">
        <v>2009</v>
      </c>
      <c r="E1385" s="2" t="s">
        <v>2059</v>
      </c>
      <c r="F1385" s="4">
        <v>1080.8900000000001</v>
      </c>
      <c r="G1385" s="5">
        <v>330.59</v>
      </c>
      <c r="H1385" s="6">
        <v>4</v>
      </c>
      <c r="I1385" s="2" t="s">
        <v>2117</v>
      </c>
    </row>
    <row r="1386" spans="2:9" x14ac:dyDescent="0.3">
      <c r="B1386" s="2" t="s">
        <v>1392</v>
      </c>
      <c r="C1386" s="3">
        <v>44871</v>
      </c>
      <c r="D1386" s="2" t="s">
        <v>2009</v>
      </c>
      <c r="E1386" s="2" t="s">
        <v>2071</v>
      </c>
      <c r="F1386" s="4">
        <v>2057.41</v>
      </c>
      <c r="G1386" s="5">
        <v>100.66</v>
      </c>
      <c r="H1386" s="6">
        <v>18</v>
      </c>
      <c r="I1386" s="2" t="s">
        <v>2116</v>
      </c>
    </row>
    <row r="1387" spans="2:9" x14ac:dyDescent="0.3">
      <c r="B1387" s="2" t="s">
        <v>1393</v>
      </c>
      <c r="C1387" s="3">
        <v>44273</v>
      </c>
      <c r="D1387" s="2" t="s">
        <v>2012</v>
      </c>
      <c r="E1387" s="2" t="s">
        <v>2022</v>
      </c>
      <c r="F1387" s="4">
        <v>3494.79</v>
      </c>
      <c r="G1387" s="5">
        <v>512.88</v>
      </c>
      <c r="H1387" s="6">
        <v>20</v>
      </c>
      <c r="I1387" s="2" t="s">
        <v>2116</v>
      </c>
    </row>
    <row r="1388" spans="2:9" x14ac:dyDescent="0.3">
      <c r="B1388" s="2" t="s">
        <v>1394</v>
      </c>
      <c r="C1388" s="3">
        <v>45420</v>
      </c>
      <c r="D1388" s="2" t="s">
        <v>2011</v>
      </c>
      <c r="E1388" s="2" t="s">
        <v>2112</v>
      </c>
      <c r="F1388" s="4">
        <v>2304.9</v>
      </c>
      <c r="G1388" s="5">
        <v>495.22</v>
      </c>
      <c r="H1388" s="6">
        <v>18</v>
      </c>
      <c r="I1388" s="2" t="s">
        <v>2118</v>
      </c>
    </row>
    <row r="1389" spans="2:9" x14ac:dyDescent="0.3">
      <c r="B1389" s="2" t="s">
        <v>1395</v>
      </c>
      <c r="C1389" s="3">
        <v>44476</v>
      </c>
      <c r="D1389" s="2" t="s">
        <v>2012</v>
      </c>
      <c r="E1389" s="2" t="s">
        <v>2086</v>
      </c>
      <c r="F1389" s="4">
        <v>623.28</v>
      </c>
      <c r="G1389" s="5">
        <v>165.95</v>
      </c>
      <c r="H1389" s="6">
        <v>18</v>
      </c>
      <c r="I1389" s="2" t="s">
        <v>2116</v>
      </c>
    </row>
    <row r="1390" spans="2:9" x14ac:dyDescent="0.3">
      <c r="B1390" s="2" t="s">
        <v>1396</v>
      </c>
      <c r="C1390" s="3">
        <v>44800</v>
      </c>
      <c r="D1390" s="2" t="s">
        <v>2010</v>
      </c>
      <c r="E1390" s="2" t="s">
        <v>2081</v>
      </c>
      <c r="F1390" s="4">
        <v>4912.3599999999997</v>
      </c>
      <c r="G1390" s="5">
        <v>450.12</v>
      </c>
      <c r="H1390" s="6">
        <v>5</v>
      </c>
      <c r="I1390" s="2" t="s">
        <v>2118</v>
      </c>
    </row>
    <row r="1391" spans="2:9" x14ac:dyDescent="0.3">
      <c r="B1391" s="2" t="s">
        <v>1397</v>
      </c>
      <c r="C1391" s="3">
        <v>44655</v>
      </c>
      <c r="D1391" s="2" t="s">
        <v>2011</v>
      </c>
      <c r="E1391" s="2" t="s">
        <v>2082</v>
      </c>
      <c r="F1391" s="4">
        <v>2361.15</v>
      </c>
      <c r="G1391" s="5">
        <v>642.51</v>
      </c>
      <c r="H1391" s="6">
        <v>20</v>
      </c>
      <c r="I1391" s="2" t="s">
        <v>2118</v>
      </c>
    </row>
    <row r="1392" spans="2:9" x14ac:dyDescent="0.3">
      <c r="B1392" s="2" t="s">
        <v>1398</v>
      </c>
      <c r="C1392" s="3">
        <v>45419</v>
      </c>
      <c r="D1392" s="2" t="s">
        <v>2012</v>
      </c>
      <c r="E1392" s="2" t="s">
        <v>2016</v>
      </c>
      <c r="F1392" s="4">
        <v>1841.69</v>
      </c>
      <c r="G1392" s="5">
        <v>675.7</v>
      </c>
      <c r="H1392" s="6">
        <v>20</v>
      </c>
      <c r="I1392" s="2" t="s">
        <v>2118</v>
      </c>
    </row>
    <row r="1393" spans="2:9" x14ac:dyDescent="0.3">
      <c r="B1393" s="2" t="s">
        <v>1399</v>
      </c>
      <c r="C1393" s="3">
        <v>44812</v>
      </c>
      <c r="D1393" s="2" t="s">
        <v>2009</v>
      </c>
      <c r="E1393" s="2" t="s">
        <v>2074</v>
      </c>
      <c r="F1393" s="4">
        <v>1624.44</v>
      </c>
      <c r="G1393" s="5">
        <v>737.44</v>
      </c>
      <c r="H1393" s="6">
        <v>1</v>
      </c>
      <c r="I1393" s="2" t="s">
        <v>2116</v>
      </c>
    </row>
    <row r="1394" spans="2:9" x14ac:dyDescent="0.3">
      <c r="B1394" s="2" t="s">
        <v>1400</v>
      </c>
      <c r="C1394" s="3">
        <v>45001</v>
      </c>
      <c r="D1394" s="2" t="s">
        <v>2012</v>
      </c>
      <c r="E1394" s="2" t="s">
        <v>2112</v>
      </c>
      <c r="F1394" s="4">
        <v>2348.63</v>
      </c>
      <c r="G1394" s="5">
        <v>197.51</v>
      </c>
      <c r="H1394" s="6">
        <v>20</v>
      </c>
      <c r="I1394" s="2" t="s">
        <v>2117</v>
      </c>
    </row>
    <row r="1395" spans="2:9" x14ac:dyDescent="0.3">
      <c r="B1395" s="2" t="s">
        <v>1401</v>
      </c>
      <c r="C1395" s="3">
        <v>45248</v>
      </c>
      <c r="D1395" s="2" t="s">
        <v>2009</v>
      </c>
      <c r="E1395" s="2" t="s">
        <v>2066</v>
      </c>
      <c r="F1395" s="4">
        <v>2230.69</v>
      </c>
      <c r="G1395" s="5">
        <v>512.6</v>
      </c>
      <c r="H1395" s="6">
        <v>5</v>
      </c>
      <c r="I1395" s="2" t="s">
        <v>2118</v>
      </c>
    </row>
    <row r="1396" spans="2:9" x14ac:dyDescent="0.3">
      <c r="B1396" s="2" t="s">
        <v>1402</v>
      </c>
      <c r="C1396" s="3">
        <v>44178</v>
      </c>
      <c r="D1396" s="2" t="s">
        <v>2012</v>
      </c>
      <c r="E1396" s="2" t="s">
        <v>2061</v>
      </c>
      <c r="F1396" s="4">
        <v>1664.15</v>
      </c>
      <c r="G1396" s="5">
        <v>845.95</v>
      </c>
      <c r="H1396" s="6">
        <v>8</v>
      </c>
      <c r="I1396" s="2" t="s">
        <v>2117</v>
      </c>
    </row>
    <row r="1397" spans="2:9" x14ac:dyDescent="0.3">
      <c r="B1397" s="2" t="s">
        <v>1403</v>
      </c>
      <c r="C1397" s="3">
        <v>44527</v>
      </c>
      <c r="D1397" s="2" t="s">
        <v>2011</v>
      </c>
      <c r="E1397" s="2" t="s">
        <v>2029</v>
      </c>
      <c r="F1397" s="4">
        <v>3475.78</v>
      </c>
      <c r="G1397" s="5">
        <v>116.84</v>
      </c>
      <c r="H1397" s="6">
        <v>12</v>
      </c>
      <c r="I1397" s="2" t="s">
        <v>2118</v>
      </c>
    </row>
    <row r="1398" spans="2:9" x14ac:dyDescent="0.3">
      <c r="B1398" s="2" t="s">
        <v>1404</v>
      </c>
      <c r="C1398" s="3">
        <v>45309</v>
      </c>
      <c r="D1398" s="2" t="s">
        <v>2011</v>
      </c>
      <c r="E1398" s="2" t="s">
        <v>2031</v>
      </c>
      <c r="F1398" s="4">
        <v>3623.29</v>
      </c>
      <c r="G1398" s="5">
        <v>617.15</v>
      </c>
      <c r="H1398" s="6">
        <v>19</v>
      </c>
      <c r="I1398" s="2" t="s">
        <v>2118</v>
      </c>
    </row>
    <row r="1399" spans="2:9" x14ac:dyDescent="0.3">
      <c r="B1399" s="2" t="s">
        <v>1405</v>
      </c>
      <c r="C1399" s="3">
        <v>44015</v>
      </c>
      <c r="D1399" s="2" t="s">
        <v>2010</v>
      </c>
      <c r="E1399" s="2" t="s">
        <v>2048</v>
      </c>
      <c r="F1399" s="4">
        <v>431.21</v>
      </c>
      <c r="G1399" s="5">
        <v>819.69</v>
      </c>
      <c r="H1399" s="6">
        <v>4</v>
      </c>
      <c r="I1399" s="2" t="s">
        <v>2116</v>
      </c>
    </row>
    <row r="1400" spans="2:9" x14ac:dyDescent="0.3">
      <c r="B1400" s="2" t="s">
        <v>1406</v>
      </c>
      <c r="C1400" s="3">
        <v>44168</v>
      </c>
      <c r="D1400" s="2" t="s">
        <v>2010</v>
      </c>
      <c r="E1400" s="2" t="s">
        <v>2105</v>
      </c>
      <c r="F1400" s="4">
        <v>80.47</v>
      </c>
      <c r="G1400" s="5">
        <v>796.29</v>
      </c>
      <c r="H1400" s="6">
        <v>9</v>
      </c>
      <c r="I1400" s="2" t="s">
        <v>2118</v>
      </c>
    </row>
    <row r="1401" spans="2:9" x14ac:dyDescent="0.3">
      <c r="B1401" s="2" t="s">
        <v>1407</v>
      </c>
      <c r="C1401" s="3">
        <v>44720</v>
      </c>
      <c r="D1401" s="2" t="s">
        <v>2009</v>
      </c>
      <c r="E1401" s="2" t="s">
        <v>2109</v>
      </c>
      <c r="F1401" s="4">
        <v>4938.63</v>
      </c>
      <c r="G1401" s="5">
        <v>85.63</v>
      </c>
      <c r="H1401" s="6">
        <v>4</v>
      </c>
      <c r="I1401" s="2" t="s">
        <v>2116</v>
      </c>
    </row>
    <row r="1402" spans="2:9" x14ac:dyDescent="0.3">
      <c r="B1402" s="2" t="s">
        <v>1408</v>
      </c>
      <c r="C1402" s="3">
        <v>44393</v>
      </c>
      <c r="D1402" s="2" t="s">
        <v>2012</v>
      </c>
      <c r="E1402" s="2" t="s">
        <v>2102</v>
      </c>
      <c r="F1402" s="4">
        <v>2051.7800000000002</v>
      </c>
      <c r="G1402" s="5">
        <v>794.5</v>
      </c>
      <c r="H1402" s="6">
        <v>8</v>
      </c>
      <c r="I1402" s="2" t="s">
        <v>2118</v>
      </c>
    </row>
    <row r="1403" spans="2:9" x14ac:dyDescent="0.3">
      <c r="B1403" s="2" t="s">
        <v>1409</v>
      </c>
      <c r="C1403" s="3">
        <v>44823</v>
      </c>
      <c r="D1403" s="2" t="s">
        <v>2010</v>
      </c>
      <c r="E1403" s="2" t="s">
        <v>2073</v>
      </c>
      <c r="F1403" s="4">
        <v>175.7</v>
      </c>
      <c r="G1403" s="5">
        <v>92.18</v>
      </c>
      <c r="H1403" s="6">
        <v>20</v>
      </c>
      <c r="I1403" s="2" t="s">
        <v>2118</v>
      </c>
    </row>
    <row r="1404" spans="2:9" x14ac:dyDescent="0.3">
      <c r="B1404" s="2" t="s">
        <v>1410</v>
      </c>
      <c r="C1404" s="3">
        <v>44498</v>
      </c>
      <c r="D1404" s="2" t="s">
        <v>2011</v>
      </c>
      <c r="E1404" s="2" t="s">
        <v>2075</v>
      </c>
      <c r="F1404" s="4">
        <v>4798.67</v>
      </c>
      <c r="G1404" s="5">
        <v>781.87</v>
      </c>
      <c r="H1404" s="6">
        <v>19</v>
      </c>
      <c r="I1404" s="2" t="s">
        <v>2116</v>
      </c>
    </row>
    <row r="1405" spans="2:9" x14ac:dyDescent="0.3">
      <c r="B1405" s="2" t="s">
        <v>1411</v>
      </c>
      <c r="C1405" s="3">
        <v>44921</v>
      </c>
      <c r="D1405" s="2" t="s">
        <v>2012</v>
      </c>
      <c r="E1405" s="2" t="s">
        <v>2056</v>
      </c>
      <c r="F1405" s="4">
        <v>4553.41</v>
      </c>
      <c r="G1405" s="5">
        <v>271.06</v>
      </c>
      <c r="H1405" s="6">
        <v>15</v>
      </c>
      <c r="I1405" s="2" t="s">
        <v>2116</v>
      </c>
    </row>
    <row r="1406" spans="2:9" x14ac:dyDescent="0.3">
      <c r="B1406" s="2" t="s">
        <v>1412</v>
      </c>
      <c r="C1406" s="3">
        <v>44218</v>
      </c>
      <c r="D1406" s="2" t="s">
        <v>2011</v>
      </c>
      <c r="E1406" s="2" t="s">
        <v>2109</v>
      </c>
      <c r="F1406" s="4">
        <v>4736.92</v>
      </c>
      <c r="G1406" s="5">
        <v>446.46</v>
      </c>
      <c r="H1406" s="6">
        <v>7</v>
      </c>
      <c r="I1406" s="2" t="s">
        <v>2118</v>
      </c>
    </row>
    <row r="1407" spans="2:9" x14ac:dyDescent="0.3">
      <c r="B1407" s="2" t="s">
        <v>1413</v>
      </c>
      <c r="C1407" s="3">
        <v>44485</v>
      </c>
      <c r="D1407" s="2" t="s">
        <v>2011</v>
      </c>
      <c r="E1407" s="2" t="s">
        <v>2110</v>
      </c>
      <c r="F1407" s="4">
        <v>585.94000000000005</v>
      </c>
      <c r="G1407" s="5">
        <v>437.74</v>
      </c>
      <c r="H1407" s="6">
        <v>19</v>
      </c>
      <c r="I1407" s="2" t="s">
        <v>2118</v>
      </c>
    </row>
    <row r="1408" spans="2:9" x14ac:dyDescent="0.3">
      <c r="B1408" s="2" t="s">
        <v>1414</v>
      </c>
      <c r="C1408" s="3">
        <v>44142</v>
      </c>
      <c r="D1408" s="2" t="s">
        <v>2010</v>
      </c>
      <c r="E1408" s="2" t="s">
        <v>2083</v>
      </c>
      <c r="F1408" s="4">
        <v>2596.06</v>
      </c>
      <c r="G1408" s="5">
        <v>956.82</v>
      </c>
      <c r="H1408" s="6">
        <v>14</v>
      </c>
      <c r="I1408" s="2" t="s">
        <v>2117</v>
      </c>
    </row>
    <row r="1409" spans="2:9" x14ac:dyDescent="0.3">
      <c r="B1409" s="2" t="s">
        <v>1415</v>
      </c>
      <c r="C1409" s="3">
        <v>45050</v>
      </c>
      <c r="D1409" s="2" t="s">
        <v>2012</v>
      </c>
      <c r="E1409" s="2" t="s">
        <v>2037</v>
      </c>
      <c r="F1409" s="4">
        <v>1025.02</v>
      </c>
      <c r="G1409" s="5">
        <v>345.52</v>
      </c>
      <c r="H1409" s="6">
        <v>4</v>
      </c>
      <c r="I1409" s="2" t="s">
        <v>2118</v>
      </c>
    </row>
    <row r="1410" spans="2:9" x14ac:dyDescent="0.3">
      <c r="B1410" s="2" t="s">
        <v>1416</v>
      </c>
      <c r="C1410" s="3">
        <v>45602</v>
      </c>
      <c r="D1410" s="2" t="s">
        <v>2011</v>
      </c>
      <c r="E1410" s="2" t="s">
        <v>2074</v>
      </c>
      <c r="F1410" s="4">
        <v>1548.83</v>
      </c>
      <c r="G1410" s="5">
        <v>519.46</v>
      </c>
      <c r="H1410" s="6">
        <v>4</v>
      </c>
      <c r="I1410" s="2" t="s">
        <v>2117</v>
      </c>
    </row>
    <row r="1411" spans="2:9" x14ac:dyDescent="0.3">
      <c r="B1411" s="2" t="s">
        <v>1417</v>
      </c>
      <c r="C1411" s="3">
        <v>44419</v>
      </c>
      <c r="D1411" s="2" t="s">
        <v>2010</v>
      </c>
      <c r="E1411" s="2" t="s">
        <v>2026</v>
      </c>
      <c r="F1411" s="4">
        <v>1990.52</v>
      </c>
      <c r="G1411" s="5">
        <v>167.36</v>
      </c>
      <c r="H1411" s="6">
        <v>2</v>
      </c>
      <c r="I1411" s="2" t="s">
        <v>2118</v>
      </c>
    </row>
    <row r="1412" spans="2:9" x14ac:dyDescent="0.3">
      <c r="B1412" s="2" t="s">
        <v>1418</v>
      </c>
      <c r="C1412" s="3">
        <v>44841</v>
      </c>
      <c r="D1412" s="2" t="s">
        <v>2009</v>
      </c>
      <c r="E1412" s="2" t="s">
        <v>2105</v>
      </c>
      <c r="F1412" s="4">
        <v>2422.85</v>
      </c>
      <c r="G1412" s="5">
        <v>701.04</v>
      </c>
      <c r="H1412" s="6">
        <v>9</v>
      </c>
      <c r="I1412" s="2" t="s">
        <v>2118</v>
      </c>
    </row>
    <row r="1413" spans="2:9" x14ac:dyDescent="0.3">
      <c r="B1413" s="2" t="s">
        <v>1419</v>
      </c>
      <c r="C1413" s="3">
        <v>45573</v>
      </c>
      <c r="D1413" s="2" t="s">
        <v>2010</v>
      </c>
      <c r="E1413" s="2" t="s">
        <v>2065</v>
      </c>
      <c r="F1413" s="4">
        <v>3916.02</v>
      </c>
      <c r="G1413" s="5">
        <v>944.89</v>
      </c>
      <c r="H1413" s="6">
        <v>19</v>
      </c>
      <c r="I1413" s="2" t="s">
        <v>2116</v>
      </c>
    </row>
    <row r="1414" spans="2:9" x14ac:dyDescent="0.3">
      <c r="B1414" s="2" t="s">
        <v>1420</v>
      </c>
      <c r="C1414" s="3">
        <v>45377</v>
      </c>
      <c r="D1414" s="2" t="s">
        <v>2012</v>
      </c>
      <c r="E1414" s="2" t="s">
        <v>2102</v>
      </c>
      <c r="F1414" s="4">
        <v>372.23</v>
      </c>
      <c r="G1414" s="5">
        <v>900.58</v>
      </c>
      <c r="H1414" s="6">
        <v>3</v>
      </c>
      <c r="I1414" s="2" t="s">
        <v>2117</v>
      </c>
    </row>
    <row r="1415" spans="2:9" x14ac:dyDescent="0.3">
      <c r="B1415" s="2" t="s">
        <v>1421</v>
      </c>
      <c r="C1415" s="3">
        <v>45256</v>
      </c>
      <c r="D1415" s="2" t="s">
        <v>2010</v>
      </c>
      <c r="E1415" s="2" t="s">
        <v>2068</v>
      </c>
      <c r="F1415" s="4">
        <v>4289.6499999999996</v>
      </c>
      <c r="G1415" s="5">
        <v>188.33</v>
      </c>
      <c r="H1415" s="6">
        <v>12</v>
      </c>
      <c r="I1415" s="2" t="s">
        <v>2116</v>
      </c>
    </row>
    <row r="1416" spans="2:9" x14ac:dyDescent="0.3">
      <c r="B1416" s="2" t="s">
        <v>1422</v>
      </c>
      <c r="C1416" s="3">
        <v>44908</v>
      </c>
      <c r="D1416" s="2" t="s">
        <v>2012</v>
      </c>
      <c r="E1416" s="2" t="s">
        <v>2091</v>
      </c>
      <c r="F1416" s="4">
        <v>336.6</v>
      </c>
      <c r="G1416" s="5">
        <v>495.22</v>
      </c>
      <c r="H1416" s="6">
        <v>16</v>
      </c>
      <c r="I1416" s="2" t="s">
        <v>2117</v>
      </c>
    </row>
    <row r="1417" spans="2:9" x14ac:dyDescent="0.3">
      <c r="B1417" s="2" t="s">
        <v>1423</v>
      </c>
      <c r="C1417" s="3">
        <v>45593</v>
      </c>
      <c r="D1417" s="2" t="s">
        <v>2009</v>
      </c>
      <c r="E1417" s="2" t="s">
        <v>2047</v>
      </c>
      <c r="F1417" s="4">
        <v>3026.9</v>
      </c>
      <c r="G1417" s="5">
        <v>688.49</v>
      </c>
      <c r="H1417" s="6">
        <v>18</v>
      </c>
      <c r="I1417" s="2" t="s">
        <v>2118</v>
      </c>
    </row>
    <row r="1418" spans="2:9" x14ac:dyDescent="0.3">
      <c r="B1418" s="2" t="s">
        <v>1424</v>
      </c>
      <c r="C1418" s="3">
        <v>45219</v>
      </c>
      <c r="D1418" s="2" t="s">
        <v>2010</v>
      </c>
      <c r="E1418" s="2" t="s">
        <v>2092</v>
      </c>
      <c r="F1418" s="4">
        <v>935.86</v>
      </c>
      <c r="G1418" s="5">
        <v>900.06</v>
      </c>
      <c r="H1418" s="6">
        <v>10</v>
      </c>
      <c r="I1418" s="2" t="s">
        <v>2116</v>
      </c>
    </row>
    <row r="1419" spans="2:9" x14ac:dyDescent="0.3">
      <c r="B1419" s="2" t="s">
        <v>1425</v>
      </c>
      <c r="C1419" s="3">
        <v>44107</v>
      </c>
      <c r="D1419" s="2" t="s">
        <v>2009</v>
      </c>
      <c r="E1419" s="2" t="s">
        <v>2070</v>
      </c>
      <c r="F1419" s="4">
        <v>194.03</v>
      </c>
      <c r="G1419" s="5">
        <v>800.34</v>
      </c>
      <c r="H1419" s="6">
        <v>11</v>
      </c>
      <c r="I1419" s="2" t="s">
        <v>2117</v>
      </c>
    </row>
    <row r="1420" spans="2:9" x14ac:dyDescent="0.3">
      <c r="B1420" s="2" t="s">
        <v>1426</v>
      </c>
      <c r="C1420" s="3">
        <v>44276</v>
      </c>
      <c r="D1420" s="2" t="s">
        <v>2010</v>
      </c>
      <c r="E1420" s="2" t="s">
        <v>2046</v>
      </c>
      <c r="F1420" s="4">
        <v>2370.9</v>
      </c>
      <c r="G1420" s="5">
        <v>450.45</v>
      </c>
      <c r="H1420" s="6">
        <v>4</v>
      </c>
      <c r="I1420" s="2" t="s">
        <v>2116</v>
      </c>
    </row>
    <row r="1421" spans="2:9" x14ac:dyDescent="0.3">
      <c r="B1421" s="2" t="s">
        <v>1427</v>
      </c>
      <c r="C1421" s="3">
        <v>45388</v>
      </c>
      <c r="D1421" s="2" t="s">
        <v>2011</v>
      </c>
      <c r="E1421" s="2" t="s">
        <v>2104</v>
      </c>
      <c r="F1421" s="4">
        <v>3898.83</v>
      </c>
      <c r="G1421" s="5">
        <v>485.1</v>
      </c>
      <c r="H1421" s="6">
        <v>18</v>
      </c>
      <c r="I1421" s="2" t="s">
        <v>2116</v>
      </c>
    </row>
    <row r="1422" spans="2:9" x14ac:dyDescent="0.3">
      <c r="B1422" s="2" t="s">
        <v>1428</v>
      </c>
      <c r="C1422" s="3">
        <v>45594</v>
      </c>
      <c r="D1422" s="2" t="s">
        <v>2012</v>
      </c>
      <c r="E1422" s="2" t="s">
        <v>2030</v>
      </c>
      <c r="F1422" s="4">
        <v>373.48</v>
      </c>
      <c r="G1422" s="5">
        <v>466.23</v>
      </c>
      <c r="H1422" s="6">
        <v>4</v>
      </c>
      <c r="I1422" s="2" t="s">
        <v>2117</v>
      </c>
    </row>
    <row r="1423" spans="2:9" x14ac:dyDescent="0.3">
      <c r="B1423" s="2" t="s">
        <v>1429</v>
      </c>
      <c r="C1423" s="3">
        <v>44319</v>
      </c>
      <c r="D1423" s="2" t="s">
        <v>2010</v>
      </c>
      <c r="E1423" s="2" t="s">
        <v>2110</v>
      </c>
      <c r="F1423" s="4">
        <v>1439.2</v>
      </c>
      <c r="G1423" s="5">
        <v>952.84</v>
      </c>
      <c r="H1423" s="6">
        <v>10</v>
      </c>
      <c r="I1423" s="2" t="s">
        <v>2117</v>
      </c>
    </row>
    <row r="1424" spans="2:9" x14ac:dyDescent="0.3">
      <c r="B1424" s="2" t="s">
        <v>1430</v>
      </c>
      <c r="C1424" s="3">
        <v>44427</v>
      </c>
      <c r="D1424" s="2" t="s">
        <v>2012</v>
      </c>
      <c r="E1424" s="2" t="s">
        <v>2108</v>
      </c>
      <c r="F1424" s="4">
        <v>4398.62</v>
      </c>
      <c r="G1424" s="5">
        <v>313.14999999999998</v>
      </c>
      <c r="H1424" s="6">
        <v>7</v>
      </c>
      <c r="I1424" s="2" t="s">
        <v>2118</v>
      </c>
    </row>
    <row r="1425" spans="2:9" x14ac:dyDescent="0.3">
      <c r="B1425" s="2" t="s">
        <v>1431</v>
      </c>
      <c r="C1425" s="3">
        <v>44529</v>
      </c>
      <c r="D1425" s="2" t="s">
        <v>2009</v>
      </c>
      <c r="E1425" s="2" t="s">
        <v>2072</v>
      </c>
      <c r="F1425" s="4">
        <v>4601.7700000000004</v>
      </c>
      <c r="G1425" s="5">
        <v>713.05</v>
      </c>
      <c r="H1425" s="6">
        <v>4</v>
      </c>
      <c r="I1425" s="2" t="s">
        <v>2116</v>
      </c>
    </row>
    <row r="1426" spans="2:9" x14ac:dyDescent="0.3">
      <c r="B1426" s="2" t="s">
        <v>1432</v>
      </c>
      <c r="C1426" s="3">
        <v>45530</v>
      </c>
      <c r="D1426" s="2" t="s">
        <v>2012</v>
      </c>
      <c r="E1426" s="2" t="s">
        <v>2035</v>
      </c>
      <c r="F1426" s="4">
        <v>4455.24</v>
      </c>
      <c r="G1426" s="5">
        <v>695.63</v>
      </c>
      <c r="H1426" s="6">
        <v>8</v>
      </c>
      <c r="I1426" s="2" t="s">
        <v>2118</v>
      </c>
    </row>
    <row r="1427" spans="2:9" x14ac:dyDescent="0.3">
      <c r="B1427" s="2" t="s">
        <v>1433</v>
      </c>
      <c r="C1427" s="3">
        <v>44018</v>
      </c>
      <c r="D1427" s="2" t="s">
        <v>2011</v>
      </c>
      <c r="E1427" s="2" t="s">
        <v>2056</v>
      </c>
      <c r="F1427" s="4">
        <v>4987.5</v>
      </c>
      <c r="G1427" s="5">
        <v>889.71</v>
      </c>
      <c r="H1427" s="6">
        <v>16</v>
      </c>
      <c r="I1427" s="2" t="s">
        <v>2117</v>
      </c>
    </row>
    <row r="1428" spans="2:9" x14ac:dyDescent="0.3">
      <c r="B1428" s="2" t="s">
        <v>1434</v>
      </c>
      <c r="C1428" s="3">
        <v>44695</v>
      </c>
      <c r="D1428" s="2" t="s">
        <v>2010</v>
      </c>
      <c r="E1428" s="2" t="s">
        <v>2108</v>
      </c>
      <c r="F1428" s="4">
        <v>4996.41</v>
      </c>
      <c r="G1428" s="5">
        <v>15.8</v>
      </c>
      <c r="H1428" s="6">
        <v>12</v>
      </c>
      <c r="I1428" s="2" t="s">
        <v>2118</v>
      </c>
    </row>
    <row r="1429" spans="2:9" x14ac:dyDescent="0.3">
      <c r="B1429" s="2" t="s">
        <v>1435</v>
      </c>
      <c r="C1429" s="3">
        <v>44893</v>
      </c>
      <c r="D1429" s="2" t="s">
        <v>2010</v>
      </c>
      <c r="E1429" s="2" t="s">
        <v>2040</v>
      </c>
      <c r="F1429" s="4">
        <v>131.29</v>
      </c>
      <c r="G1429" s="5">
        <v>734.71</v>
      </c>
      <c r="H1429" s="6">
        <v>20</v>
      </c>
      <c r="I1429" s="2" t="s">
        <v>2118</v>
      </c>
    </row>
    <row r="1430" spans="2:9" x14ac:dyDescent="0.3">
      <c r="B1430" s="2" t="s">
        <v>1436</v>
      </c>
      <c r="C1430" s="3">
        <v>45435</v>
      </c>
      <c r="D1430" s="2" t="s">
        <v>2012</v>
      </c>
      <c r="E1430" s="2" t="s">
        <v>2048</v>
      </c>
      <c r="F1430" s="4">
        <v>4012.06</v>
      </c>
      <c r="G1430" s="5">
        <v>396.19</v>
      </c>
      <c r="H1430" s="6">
        <v>13</v>
      </c>
      <c r="I1430" s="2" t="s">
        <v>2118</v>
      </c>
    </row>
    <row r="1431" spans="2:9" x14ac:dyDescent="0.3">
      <c r="B1431" s="2" t="s">
        <v>1437</v>
      </c>
      <c r="C1431" s="3">
        <v>44785</v>
      </c>
      <c r="D1431" s="2" t="s">
        <v>2010</v>
      </c>
      <c r="E1431" s="2" t="s">
        <v>2023</v>
      </c>
      <c r="F1431" s="4">
        <v>3433.17</v>
      </c>
      <c r="G1431" s="5">
        <v>948.52</v>
      </c>
      <c r="H1431" s="6">
        <v>4</v>
      </c>
      <c r="I1431" s="2" t="s">
        <v>2117</v>
      </c>
    </row>
    <row r="1432" spans="2:9" x14ac:dyDescent="0.3">
      <c r="B1432" s="2" t="s">
        <v>1438</v>
      </c>
      <c r="C1432" s="3">
        <v>43890</v>
      </c>
      <c r="D1432" s="2" t="s">
        <v>2011</v>
      </c>
      <c r="E1432" s="2" t="s">
        <v>2029</v>
      </c>
      <c r="F1432" s="4">
        <v>2793.96</v>
      </c>
      <c r="G1432" s="5">
        <v>372.96</v>
      </c>
      <c r="H1432" s="6">
        <v>11</v>
      </c>
      <c r="I1432" s="2" t="s">
        <v>2118</v>
      </c>
    </row>
    <row r="1433" spans="2:9" x14ac:dyDescent="0.3">
      <c r="B1433" s="2" t="s">
        <v>1439</v>
      </c>
      <c r="C1433" s="3">
        <v>45467</v>
      </c>
      <c r="D1433" s="2" t="s">
        <v>2010</v>
      </c>
      <c r="E1433" s="2" t="s">
        <v>2050</v>
      </c>
      <c r="F1433" s="4">
        <v>3503.89</v>
      </c>
      <c r="G1433" s="5">
        <v>633.85</v>
      </c>
      <c r="H1433" s="6">
        <v>14</v>
      </c>
      <c r="I1433" s="2" t="s">
        <v>2116</v>
      </c>
    </row>
    <row r="1434" spans="2:9" x14ac:dyDescent="0.3">
      <c r="B1434" s="2" t="s">
        <v>1440</v>
      </c>
      <c r="C1434" s="3">
        <v>44333</v>
      </c>
      <c r="D1434" s="2" t="s">
        <v>2009</v>
      </c>
      <c r="E1434" s="2" t="s">
        <v>2052</v>
      </c>
      <c r="F1434" s="4">
        <v>3241.85</v>
      </c>
      <c r="G1434" s="5">
        <v>147.76</v>
      </c>
      <c r="H1434" s="6">
        <v>11</v>
      </c>
      <c r="I1434" s="2" t="s">
        <v>2118</v>
      </c>
    </row>
    <row r="1435" spans="2:9" x14ac:dyDescent="0.3">
      <c r="B1435" s="2" t="s">
        <v>1441</v>
      </c>
      <c r="C1435" s="3">
        <v>45090</v>
      </c>
      <c r="D1435" s="2" t="s">
        <v>2012</v>
      </c>
      <c r="E1435" s="2" t="s">
        <v>2013</v>
      </c>
      <c r="F1435" s="4">
        <v>3796.49</v>
      </c>
      <c r="G1435" s="5">
        <v>444.83</v>
      </c>
      <c r="H1435" s="6">
        <v>20</v>
      </c>
      <c r="I1435" s="2" t="s">
        <v>2117</v>
      </c>
    </row>
    <row r="1436" spans="2:9" x14ac:dyDescent="0.3">
      <c r="B1436" s="2" t="s">
        <v>1442</v>
      </c>
      <c r="C1436" s="3">
        <v>45238</v>
      </c>
      <c r="D1436" s="2" t="s">
        <v>2009</v>
      </c>
      <c r="E1436" s="2" t="s">
        <v>2080</v>
      </c>
      <c r="F1436" s="4">
        <v>2098.58</v>
      </c>
      <c r="G1436" s="5">
        <v>641.79999999999995</v>
      </c>
      <c r="H1436" s="6">
        <v>15</v>
      </c>
      <c r="I1436" s="2" t="s">
        <v>2118</v>
      </c>
    </row>
    <row r="1437" spans="2:9" x14ac:dyDescent="0.3">
      <c r="B1437" s="2" t="s">
        <v>1443</v>
      </c>
      <c r="C1437" s="3">
        <v>44897</v>
      </c>
      <c r="D1437" s="2" t="s">
        <v>2009</v>
      </c>
      <c r="E1437" s="2" t="s">
        <v>2018</v>
      </c>
      <c r="F1437" s="4">
        <v>2930.57</v>
      </c>
      <c r="G1437" s="5">
        <v>846.9</v>
      </c>
      <c r="H1437" s="6">
        <v>12</v>
      </c>
      <c r="I1437" s="2" t="s">
        <v>2116</v>
      </c>
    </row>
    <row r="1438" spans="2:9" x14ac:dyDescent="0.3">
      <c r="B1438" s="2" t="s">
        <v>1444</v>
      </c>
      <c r="C1438" s="3">
        <v>44289</v>
      </c>
      <c r="D1438" s="2" t="s">
        <v>2010</v>
      </c>
      <c r="E1438" s="2" t="s">
        <v>2088</v>
      </c>
      <c r="F1438" s="4">
        <v>2557.2800000000002</v>
      </c>
      <c r="G1438" s="5">
        <v>792.31</v>
      </c>
      <c r="H1438" s="6">
        <v>2</v>
      </c>
      <c r="I1438" s="2" t="s">
        <v>2118</v>
      </c>
    </row>
    <row r="1439" spans="2:9" x14ac:dyDescent="0.3">
      <c r="B1439" s="2" t="s">
        <v>1445</v>
      </c>
      <c r="C1439" s="3">
        <v>44244</v>
      </c>
      <c r="D1439" s="2" t="s">
        <v>2010</v>
      </c>
      <c r="E1439" s="2" t="s">
        <v>2031</v>
      </c>
      <c r="F1439" s="4">
        <v>1481.22</v>
      </c>
      <c r="G1439" s="5">
        <v>189.43</v>
      </c>
      <c r="H1439" s="6">
        <v>13</v>
      </c>
      <c r="I1439" s="2" t="s">
        <v>2116</v>
      </c>
    </row>
    <row r="1440" spans="2:9" x14ac:dyDescent="0.3">
      <c r="B1440" s="2" t="s">
        <v>1446</v>
      </c>
      <c r="C1440" s="3">
        <v>44615</v>
      </c>
      <c r="D1440" s="2" t="s">
        <v>2011</v>
      </c>
      <c r="E1440" s="2" t="s">
        <v>2053</v>
      </c>
      <c r="F1440" s="4">
        <v>3421.01</v>
      </c>
      <c r="G1440" s="5">
        <v>536.62</v>
      </c>
      <c r="H1440" s="6">
        <v>12</v>
      </c>
      <c r="I1440" s="2" t="s">
        <v>2116</v>
      </c>
    </row>
    <row r="1441" spans="2:9" x14ac:dyDescent="0.3">
      <c r="B1441" s="2" t="s">
        <v>1447</v>
      </c>
      <c r="C1441" s="3">
        <v>44773</v>
      </c>
      <c r="D1441" s="2" t="s">
        <v>2012</v>
      </c>
      <c r="E1441" s="2" t="s">
        <v>2109</v>
      </c>
      <c r="F1441" s="4">
        <v>2185.29</v>
      </c>
      <c r="G1441" s="5">
        <v>375.36</v>
      </c>
      <c r="H1441" s="6">
        <v>17</v>
      </c>
      <c r="I1441" s="2" t="s">
        <v>2118</v>
      </c>
    </row>
    <row r="1442" spans="2:9" x14ac:dyDescent="0.3">
      <c r="B1442" s="2" t="s">
        <v>1448</v>
      </c>
      <c r="C1442" s="3">
        <v>44306</v>
      </c>
      <c r="D1442" s="2" t="s">
        <v>2010</v>
      </c>
      <c r="E1442" s="2" t="s">
        <v>2015</v>
      </c>
      <c r="F1442" s="4">
        <v>1661.37</v>
      </c>
      <c r="G1442" s="5">
        <v>360.38</v>
      </c>
      <c r="H1442" s="6">
        <v>1</v>
      </c>
      <c r="I1442" s="2" t="s">
        <v>2117</v>
      </c>
    </row>
    <row r="1443" spans="2:9" x14ac:dyDescent="0.3">
      <c r="B1443" s="2" t="s">
        <v>1449</v>
      </c>
      <c r="C1443" s="3">
        <v>44109</v>
      </c>
      <c r="D1443" s="2" t="s">
        <v>2010</v>
      </c>
      <c r="E1443" s="2" t="s">
        <v>2044</v>
      </c>
      <c r="F1443" s="4">
        <v>745.78</v>
      </c>
      <c r="G1443" s="5">
        <v>466.42</v>
      </c>
      <c r="H1443" s="6">
        <v>6</v>
      </c>
      <c r="I1443" s="2" t="s">
        <v>2117</v>
      </c>
    </row>
    <row r="1444" spans="2:9" x14ac:dyDescent="0.3">
      <c r="B1444" s="2" t="s">
        <v>1450</v>
      </c>
      <c r="C1444" s="3">
        <v>44721</v>
      </c>
      <c r="D1444" s="2" t="s">
        <v>2011</v>
      </c>
      <c r="E1444" s="2" t="s">
        <v>2038</v>
      </c>
      <c r="F1444" s="4">
        <v>3411.92</v>
      </c>
      <c r="G1444" s="5">
        <v>504.86</v>
      </c>
      <c r="H1444" s="6">
        <v>2</v>
      </c>
      <c r="I1444" s="2" t="s">
        <v>2118</v>
      </c>
    </row>
    <row r="1445" spans="2:9" x14ac:dyDescent="0.3">
      <c r="B1445" s="2" t="s">
        <v>1451</v>
      </c>
      <c r="C1445" s="3">
        <v>44910</v>
      </c>
      <c r="D1445" s="2" t="s">
        <v>2011</v>
      </c>
      <c r="E1445" s="2" t="s">
        <v>2027</v>
      </c>
      <c r="F1445" s="4">
        <v>3206.22</v>
      </c>
      <c r="G1445" s="5">
        <v>164.18</v>
      </c>
      <c r="H1445" s="6">
        <v>14</v>
      </c>
      <c r="I1445" s="2" t="s">
        <v>2117</v>
      </c>
    </row>
    <row r="1446" spans="2:9" x14ac:dyDescent="0.3">
      <c r="B1446" s="2" t="s">
        <v>1452</v>
      </c>
      <c r="C1446" s="3">
        <v>44013</v>
      </c>
      <c r="D1446" s="2" t="s">
        <v>2010</v>
      </c>
      <c r="E1446" s="2" t="s">
        <v>2076</v>
      </c>
      <c r="F1446" s="4">
        <v>4947.76</v>
      </c>
      <c r="G1446" s="5">
        <v>656.2</v>
      </c>
      <c r="H1446" s="6">
        <v>19</v>
      </c>
      <c r="I1446" s="2" t="s">
        <v>2116</v>
      </c>
    </row>
    <row r="1447" spans="2:9" x14ac:dyDescent="0.3">
      <c r="B1447" s="2" t="s">
        <v>1453</v>
      </c>
      <c r="C1447" s="3">
        <v>43895</v>
      </c>
      <c r="D1447" s="2" t="s">
        <v>2010</v>
      </c>
      <c r="E1447" s="2" t="s">
        <v>2075</v>
      </c>
      <c r="F1447" s="4">
        <v>156.04</v>
      </c>
      <c r="G1447" s="5">
        <v>948.37</v>
      </c>
      <c r="H1447" s="6">
        <v>17</v>
      </c>
      <c r="I1447" s="2" t="s">
        <v>2117</v>
      </c>
    </row>
    <row r="1448" spans="2:9" x14ac:dyDescent="0.3">
      <c r="B1448" s="2" t="s">
        <v>1454</v>
      </c>
      <c r="C1448" s="3">
        <v>45169</v>
      </c>
      <c r="D1448" s="2" t="s">
        <v>2010</v>
      </c>
      <c r="E1448" s="2" t="s">
        <v>2071</v>
      </c>
      <c r="F1448" s="4">
        <v>283.54000000000002</v>
      </c>
      <c r="G1448" s="5">
        <v>114.21</v>
      </c>
      <c r="H1448" s="6">
        <v>10</v>
      </c>
      <c r="I1448" s="2" t="s">
        <v>2116</v>
      </c>
    </row>
    <row r="1449" spans="2:9" x14ac:dyDescent="0.3">
      <c r="B1449" s="2" t="s">
        <v>1455</v>
      </c>
      <c r="C1449" s="3">
        <v>43949</v>
      </c>
      <c r="D1449" s="2" t="s">
        <v>2012</v>
      </c>
      <c r="E1449" s="2" t="s">
        <v>2045</v>
      </c>
      <c r="F1449" s="4">
        <v>4251.58</v>
      </c>
      <c r="G1449" s="5">
        <v>344.63</v>
      </c>
      <c r="H1449" s="6">
        <v>2</v>
      </c>
      <c r="I1449" s="2" t="s">
        <v>2118</v>
      </c>
    </row>
    <row r="1450" spans="2:9" x14ac:dyDescent="0.3">
      <c r="B1450" s="2" t="s">
        <v>1456</v>
      </c>
      <c r="C1450" s="3">
        <v>44246</v>
      </c>
      <c r="D1450" s="2" t="s">
        <v>2011</v>
      </c>
      <c r="E1450" s="2" t="s">
        <v>2036</v>
      </c>
      <c r="F1450" s="4">
        <v>601.79999999999995</v>
      </c>
      <c r="G1450" s="5">
        <v>91.92</v>
      </c>
      <c r="H1450" s="6">
        <v>4</v>
      </c>
      <c r="I1450" s="2" t="s">
        <v>2118</v>
      </c>
    </row>
    <row r="1451" spans="2:9" x14ac:dyDescent="0.3">
      <c r="B1451" s="2" t="s">
        <v>1457</v>
      </c>
      <c r="C1451" s="3">
        <v>44500</v>
      </c>
      <c r="D1451" s="2" t="s">
        <v>2010</v>
      </c>
      <c r="E1451" s="2" t="s">
        <v>2101</v>
      </c>
      <c r="F1451" s="4">
        <v>2642.85</v>
      </c>
      <c r="G1451" s="5">
        <v>776.36</v>
      </c>
      <c r="H1451" s="6">
        <v>7</v>
      </c>
      <c r="I1451" s="2" t="s">
        <v>2117</v>
      </c>
    </row>
    <row r="1452" spans="2:9" x14ac:dyDescent="0.3">
      <c r="B1452" s="2" t="s">
        <v>1458</v>
      </c>
      <c r="C1452" s="3">
        <v>44366</v>
      </c>
      <c r="D1452" s="2" t="s">
        <v>2011</v>
      </c>
      <c r="E1452" s="2" t="s">
        <v>2020</v>
      </c>
      <c r="F1452" s="4">
        <v>3299.25</v>
      </c>
      <c r="G1452" s="5">
        <v>811.05</v>
      </c>
      <c r="H1452" s="6">
        <v>18</v>
      </c>
      <c r="I1452" s="2" t="s">
        <v>2118</v>
      </c>
    </row>
    <row r="1453" spans="2:9" x14ac:dyDescent="0.3">
      <c r="B1453" s="2" t="s">
        <v>1459</v>
      </c>
      <c r="C1453" s="3">
        <v>44862</v>
      </c>
      <c r="D1453" s="2" t="s">
        <v>2011</v>
      </c>
      <c r="E1453" s="2" t="s">
        <v>2013</v>
      </c>
      <c r="F1453" s="4">
        <v>1053.92</v>
      </c>
      <c r="G1453" s="5">
        <v>404.33</v>
      </c>
      <c r="H1453" s="6">
        <v>12</v>
      </c>
      <c r="I1453" s="2" t="s">
        <v>2117</v>
      </c>
    </row>
    <row r="1454" spans="2:9" x14ac:dyDescent="0.3">
      <c r="B1454" s="2" t="s">
        <v>1460</v>
      </c>
      <c r="C1454" s="3">
        <v>44626</v>
      </c>
      <c r="D1454" s="2" t="s">
        <v>2012</v>
      </c>
      <c r="E1454" s="2" t="s">
        <v>2085</v>
      </c>
      <c r="F1454" s="4">
        <v>2499.44</v>
      </c>
      <c r="G1454" s="5">
        <v>913.02</v>
      </c>
      <c r="H1454" s="6">
        <v>8</v>
      </c>
      <c r="I1454" s="2" t="s">
        <v>2116</v>
      </c>
    </row>
    <row r="1455" spans="2:9" x14ac:dyDescent="0.3">
      <c r="B1455" s="2" t="s">
        <v>1461</v>
      </c>
      <c r="C1455" s="3">
        <v>44390</v>
      </c>
      <c r="D1455" s="2" t="s">
        <v>2011</v>
      </c>
      <c r="E1455" s="2" t="s">
        <v>2040</v>
      </c>
      <c r="F1455" s="4">
        <v>2303.6999999999998</v>
      </c>
      <c r="G1455" s="5">
        <v>982.7</v>
      </c>
      <c r="H1455" s="6">
        <v>20</v>
      </c>
      <c r="I1455" s="2" t="s">
        <v>2118</v>
      </c>
    </row>
    <row r="1456" spans="2:9" x14ac:dyDescent="0.3">
      <c r="B1456" s="2" t="s">
        <v>1462</v>
      </c>
      <c r="C1456" s="3">
        <v>44997</v>
      </c>
      <c r="D1456" s="2" t="s">
        <v>2009</v>
      </c>
      <c r="E1456" s="2" t="s">
        <v>2020</v>
      </c>
      <c r="F1456" s="4">
        <v>1737.99</v>
      </c>
      <c r="G1456" s="5">
        <v>661.17</v>
      </c>
      <c r="H1456" s="6">
        <v>9</v>
      </c>
      <c r="I1456" s="2" t="s">
        <v>2118</v>
      </c>
    </row>
    <row r="1457" spans="2:9" x14ac:dyDescent="0.3">
      <c r="B1457" s="2" t="s">
        <v>1463</v>
      </c>
      <c r="C1457" s="3">
        <v>45243</v>
      </c>
      <c r="D1457" s="2" t="s">
        <v>2011</v>
      </c>
      <c r="E1457" s="2" t="s">
        <v>2077</v>
      </c>
      <c r="F1457" s="4">
        <v>4481.2700000000004</v>
      </c>
      <c r="G1457" s="5">
        <v>47.48</v>
      </c>
      <c r="H1457" s="6">
        <v>17</v>
      </c>
      <c r="I1457" s="2" t="s">
        <v>2118</v>
      </c>
    </row>
    <row r="1458" spans="2:9" x14ac:dyDescent="0.3">
      <c r="B1458" s="2" t="s">
        <v>1464</v>
      </c>
      <c r="C1458" s="3">
        <v>44666</v>
      </c>
      <c r="D1458" s="2" t="s">
        <v>2012</v>
      </c>
      <c r="E1458" s="2" t="s">
        <v>2077</v>
      </c>
      <c r="F1458" s="4">
        <v>1129.42</v>
      </c>
      <c r="G1458" s="5">
        <v>858.97</v>
      </c>
      <c r="H1458" s="6">
        <v>14</v>
      </c>
      <c r="I1458" s="2" t="s">
        <v>2117</v>
      </c>
    </row>
    <row r="1459" spans="2:9" x14ac:dyDescent="0.3">
      <c r="B1459" s="2" t="s">
        <v>1465</v>
      </c>
      <c r="C1459" s="3">
        <v>44879</v>
      </c>
      <c r="D1459" s="2" t="s">
        <v>2009</v>
      </c>
      <c r="E1459" s="2" t="s">
        <v>2039</v>
      </c>
      <c r="F1459" s="4">
        <v>4889.49</v>
      </c>
      <c r="G1459" s="5">
        <v>692.67</v>
      </c>
      <c r="H1459" s="6">
        <v>7</v>
      </c>
      <c r="I1459" s="2" t="s">
        <v>2117</v>
      </c>
    </row>
    <row r="1460" spans="2:9" x14ac:dyDescent="0.3">
      <c r="B1460" s="2" t="s">
        <v>1466</v>
      </c>
      <c r="C1460" s="3">
        <v>45032</v>
      </c>
      <c r="D1460" s="2" t="s">
        <v>2009</v>
      </c>
      <c r="E1460" s="2" t="s">
        <v>2022</v>
      </c>
      <c r="F1460" s="4">
        <v>4914.41</v>
      </c>
      <c r="G1460" s="5">
        <v>132.91999999999999</v>
      </c>
      <c r="H1460" s="6">
        <v>18</v>
      </c>
      <c r="I1460" s="2" t="s">
        <v>2118</v>
      </c>
    </row>
    <row r="1461" spans="2:9" x14ac:dyDescent="0.3">
      <c r="B1461" s="2" t="s">
        <v>1467</v>
      </c>
      <c r="C1461" s="3">
        <v>44121</v>
      </c>
      <c r="D1461" s="2" t="s">
        <v>2009</v>
      </c>
      <c r="E1461" s="2" t="s">
        <v>2064</v>
      </c>
      <c r="F1461" s="4">
        <v>1461.9</v>
      </c>
      <c r="G1461" s="5">
        <v>842.71</v>
      </c>
      <c r="H1461" s="6">
        <v>6</v>
      </c>
      <c r="I1461" s="2" t="s">
        <v>2118</v>
      </c>
    </row>
    <row r="1462" spans="2:9" x14ac:dyDescent="0.3">
      <c r="B1462" s="2" t="s">
        <v>1468</v>
      </c>
      <c r="C1462" s="3">
        <v>44352</v>
      </c>
      <c r="D1462" s="2" t="s">
        <v>2010</v>
      </c>
      <c r="E1462" s="2" t="s">
        <v>2062</v>
      </c>
      <c r="F1462" s="4">
        <v>4420.88</v>
      </c>
      <c r="G1462" s="5">
        <v>632.05999999999995</v>
      </c>
      <c r="H1462" s="6">
        <v>12</v>
      </c>
      <c r="I1462" s="2" t="s">
        <v>2116</v>
      </c>
    </row>
    <row r="1463" spans="2:9" x14ac:dyDescent="0.3">
      <c r="B1463" s="2" t="s">
        <v>1469</v>
      </c>
      <c r="C1463" s="3">
        <v>43871</v>
      </c>
      <c r="D1463" s="2" t="s">
        <v>2010</v>
      </c>
      <c r="E1463" s="2" t="s">
        <v>2063</v>
      </c>
      <c r="F1463" s="4">
        <v>2910.68</v>
      </c>
      <c r="G1463" s="5">
        <v>346.75</v>
      </c>
      <c r="H1463" s="6">
        <v>3</v>
      </c>
      <c r="I1463" s="2" t="s">
        <v>2116</v>
      </c>
    </row>
    <row r="1464" spans="2:9" x14ac:dyDescent="0.3">
      <c r="B1464" s="2" t="s">
        <v>1470</v>
      </c>
      <c r="C1464" s="3">
        <v>44615</v>
      </c>
      <c r="D1464" s="2" t="s">
        <v>2010</v>
      </c>
      <c r="E1464" s="2" t="s">
        <v>2098</v>
      </c>
      <c r="F1464" s="4">
        <v>3441.03</v>
      </c>
      <c r="G1464" s="5">
        <v>320.76</v>
      </c>
      <c r="H1464" s="6">
        <v>19</v>
      </c>
      <c r="I1464" s="2" t="s">
        <v>2116</v>
      </c>
    </row>
    <row r="1465" spans="2:9" x14ac:dyDescent="0.3">
      <c r="B1465" s="2" t="s">
        <v>1471</v>
      </c>
      <c r="C1465" s="3">
        <v>44858</v>
      </c>
      <c r="D1465" s="2" t="s">
        <v>2012</v>
      </c>
      <c r="E1465" s="2" t="s">
        <v>2029</v>
      </c>
      <c r="F1465" s="4">
        <v>1764.26</v>
      </c>
      <c r="G1465" s="5">
        <v>300.52</v>
      </c>
      <c r="H1465" s="6">
        <v>19</v>
      </c>
      <c r="I1465" s="2" t="s">
        <v>2116</v>
      </c>
    </row>
    <row r="1466" spans="2:9" x14ac:dyDescent="0.3">
      <c r="B1466" s="2" t="s">
        <v>1472</v>
      </c>
      <c r="C1466" s="3">
        <v>43900</v>
      </c>
      <c r="D1466" s="2" t="s">
        <v>2009</v>
      </c>
      <c r="E1466" s="2" t="s">
        <v>2039</v>
      </c>
      <c r="F1466" s="4">
        <v>4151.6499999999996</v>
      </c>
      <c r="G1466" s="5">
        <v>15.77</v>
      </c>
      <c r="H1466" s="6">
        <v>5</v>
      </c>
      <c r="I1466" s="2" t="s">
        <v>2118</v>
      </c>
    </row>
    <row r="1467" spans="2:9" x14ac:dyDescent="0.3">
      <c r="B1467" s="2" t="s">
        <v>1473</v>
      </c>
      <c r="C1467" s="3">
        <v>44585</v>
      </c>
      <c r="D1467" s="2" t="s">
        <v>2012</v>
      </c>
      <c r="E1467" s="2" t="s">
        <v>2066</v>
      </c>
      <c r="F1467" s="4">
        <v>2104.94</v>
      </c>
      <c r="G1467" s="5">
        <v>250.61</v>
      </c>
      <c r="H1467" s="6">
        <v>3</v>
      </c>
      <c r="I1467" s="2" t="s">
        <v>2116</v>
      </c>
    </row>
    <row r="1468" spans="2:9" x14ac:dyDescent="0.3">
      <c r="B1468" s="2" t="s">
        <v>1474</v>
      </c>
      <c r="C1468" s="3">
        <v>44470</v>
      </c>
      <c r="D1468" s="2" t="s">
        <v>2012</v>
      </c>
      <c r="E1468" s="2" t="s">
        <v>2098</v>
      </c>
      <c r="F1468" s="4">
        <v>3464.68</v>
      </c>
      <c r="G1468" s="5">
        <v>105.22</v>
      </c>
      <c r="H1468" s="6">
        <v>11</v>
      </c>
      <c r="I1468" s="2" t="s">
        <v>2118</v>
      </c>
    </row>
    <row r="1469" spans="2:9" x14ac:dyDescent="0.3">
      <c r="B1469" s="2" t="s">
        <v>1475</v>
      </c>
      <c r="C1469" s="3">
        <v>44712</v>
      </c>
      <c r="D1469" s="2" t="s">
        <v>2010</v>
      </c>
      <c r="E1469" s="2" t="s">
        <v>2027</v>
      </c>
      <c r="F1469" s="4">
        <v>1702.79</v>
      </c>
      <c r="G1469" s="5">
        <v>616.91999999999996</v>
      </c>
      <c r="H1469" s="6">
        <v>10</v>
      </c>
      <c r="I1469" s="2" t="s">
        <v>2116</v>
      </c>
    </row>
    <row r="1470" spans="2:9" x14ac:dyDescent="0.3">
      <c r="B1470" s="2" t="s">
        <v>1476</v>
      </c>
      <c r="C1470" s="3">
        <v>45366</v>
      </c>
      <c r="D1470" s="2" t="s">
        <v>2012</v>
      </c>
      <c r="E1470" s="2" t="s">
        <v>2069</v>
      </c>
      <c r="F1470" s="4">
        <v>313.83</v>
      </c>
      <c r="G1470" s="5">
        <v>531.13</v>
      </c>
      <c r="H1470" s="6">
        <v>5</v>
      </c>
      <c r="I1470" s="2" t="s">
        <v>2116</v>
      </c>
    </row>
    <row r="1471" spans="2:9" x14ac:dyDescent="0.3">
      <c r="B1471" s="2" t="s">
        <v>1477</v>
      </c>
      <c r="C1471" s="3">
        <v>44110</v>
      </c>
      <c r="D1471" s="2" t="s">
        <v>2010</v>
      </c>
      <c r="E1471" s="2" t="s">
        <v>2029</v>
      </c>
      <c r="F1471" s="4">
        <v>1187.52</v>
      </c>
      <c r="G1471" s="5">
        <v>806.89</v>
      </c>
      <c r="H1471" s="6">
        <v>18</v>
      </c>
      <c r="I1471" s="2" t="s">
        <v>2118</v>
      </c>
    </row>
    <row r="1472" spans="2:9" x14ac:dyDescent="0.3">
      <c r="B1472" s="2" t="s">
        <v>1478</v>
      </c>
      <c r="C1472" s="3">
        <v>45300</v>
      </c>
      <c r="D1472" s="2" t="s">
        <v>2009</v>
      </c>
      <c r="E1472" s="2" t="s">
        <v>2099</v>
      </c>
      <c r="F1472" s="4">
        <v>477.01</v>
      </c>
      <c r="G1472" s="5">
        <v>814.94</v>
      </c>
      <c r="H1472" s="6">
        <v>6</v>
      </c>
      <c r="I1472" s="2" t="s">
        <v>2117</v>
      </c>
    </row>
    <row r="1473" spans="2:9" x14ac:dyDescent="0.3">
      <c r="B1473" s="2" t="s">
        <v>1479</v>
      </c>
      <c r="C1473" s="3">
        <v>45174</v>
      </c>
      <c r="D1473" s="2" t="s">
        <v>2009</v>
      </c>
      <c r="E1473" s="2" t="s">
        <v>2042</v>
      </c>
      <c r="F1473" s="4">
        <v>2210.8200000000002</v>
      </c>
      <c r="G1473" s="5">
        <v>658.97</v>
      </c>
      <c r="H1473" s="6">
        <v>4</v>
      </c>
      <c r="I1473" s="2" t="s">
        <v>2117</v>
      </c>
    </row>
    <row r="1474" spans="2:9" x14ac:dyDescent="0.3">
      <c r="B1474" s="2" t="s">
        <v>1480</v>
      </c>
      <c r="C1474" s="3">
        <v>44625</v>
      </c>
      <c r="D1474" s="2" t="s">
        <v>2012</v>
      </c>
      <c r="E1474" s="2" t="s">
        <v>2037</v>
      </c>
      <c r="F1474" s="4">
        <v>4942.01</v>
      </c>
      <c r="G1474" s="5">
        <v>619.16999999999996</v>
      </c>
      <c r="H1474" s="6">
        <v>5</v>
      </c>
      <c r="I1474" s="2" t="s">
        <v>2116</v>
      </c>
    </row>
    <row r="1475" spans="2:9" x14ac:dyDescent="0.3">
      <c r="B1475" s="2" t="s">
        <v>1481</v>
      </c>
      <c r="C1475" s="3">
        <v>44332</v>
      </c>
      <c r="D1475" s="2" t="s">
        <v>2012</v>
      </c>
      <c r="E1475" s="2" t="s">
        <v>2094</v>
      </c>
      <c r="F1475" s="4">
        <v>2688.5</v>
      </c>
      <c r="G1475" s="5">
        <v>181.31</v>
      </c>
      <c r="H1475" s="6">
        <v>14</v>
      </c>
      <c r="I1475" s="2" t="s">
        <v>2117</v>
      </c>
    </row>
    <row r="1476" spans="2:9" x14ac:dyDescent="0.3">
      <c r="B1476" s="2" t="s">
        <v>1482</v>
      </c>
      <c r="C1476" s="3">
        <v>44585</v>
      </c>
      <c r="D1476" s="2" t="s">
        <v>2011</v>
      </c>
      <c r="E1476" s="2" t="s">
        <v>2096</v>
      </c>
      <c r="F1476" s="4">
        <v>2427.8200000000002</v>
      </c>
      <c r="G1476" s="5">
        <v>509.1</v>
      </c>
      <c r="H1476" s="6">
        <v>12</v>
      </c>
      <c r="I1476" s="2" t="s">
        <v>2117</v>
      </c>
    </row>
    <row r="1477" spans="2:9" x14ac:dyDescent="0.3">
      <c r="B1477" s="2" t="s">
        <v>1483</v>
      </c>
      <c r="C1477" s="3">
        <v>44365</v>
      </c>
      <c r="D1477" s="2" t="s">
        <v>2012</v>
      </c>
      <c r="E1477" s="2" t="s">
        <v>2111</v>
      </c>
      <c r="F1477" s="4">
        <v>3127.87</v>
      </c>
      <c r="G1477" s="5">
        <v>456.36</v>
      </c>
      <c r="H1477" s="6">
        <v>3</v>
      </c>
      <c r="I1477" s="2" t="s">
        <v>2117</v>
      </c>
    </row>
    <row r="1478" spans="2:9" x14ac:dyDescent="0.3">
      <c r="B1478" s="2" t="s">
        <v>1484</v>
      </c>
      <c r="C1478" s="3">
        <v>44312</v>
      </c>
      <c r="D1478" s="2" t="s">
        <v>2010</v>
      </c>
      <c r="E1478" s="2" t="s">
        <v>2015</v>
      </c>
      <c r="F1478" s="4">
        <v>1727.88</v>
      </c>
      <c r="G1478" s="5">
        <v>794.76</v>
      </c>
      <c r="H1478" s="6">
        <v>12</v>
      </c>
      <c r="I1478" s="2" t="s">
        <v>2118</v>
      </c>
    </row>
    <row r="1479" spans="2:9" x14ac:dyDescent="0.3">
      <c r="B1479" s="2" t="s">
        <v>1485</v>
      </c>
      <c r="C1479" s="3">
        <v>45447</v>
      </c>
      <c r="D1479" s="2" t="s">
        <v>2012</v>
      </c>
      <c r="E1479" s="2" t="s">
        <v>2059</v>
      </c>
      <c r="F1479" s="4">
        <v>3037.03</v>
      </c>
      <c r="G1479" s="5">
        <v>805.65</v>
      </c>
      <c r="H1479" s="6">
        <v>16</v>
      </c>
      <c r="I1479" s="2" t="s">
        <v>2117</v>
      </c>
    </row>
    <row r="1480" spans="2:9" x14ac:dyDescent="0.3">
      <c r="B1480" s="2" t="s">
        <v>1486</v>
      </c>
      <c r="C1480" s="3">
        <v>44811</v>
      </c>
      <c r="D1480" s="2" t="s">
        <v>2010</v>
      </c>
      <c r="E1480" s="2" t="s">
        <v>2032</v>
      </c>
      <c r="F1480" s="4">
        <v>528.20000000000005</v>
      </c>
      <c r="G1480" s="5">
        <v>645.54999999999995</v>
      </c>
      <c r="H1480" s="6">
        <v>18</v>
      </c>
      <c r="I1480" s="2" t="s">
        <v>2117</v>
      </c>
    </row>
    <row r="1481" spans="2:9" x14ac:dyDescent="0.3">
      <c r="B1481" s="2" t="s">
        <v>1487</v>
      </c>
      <c r="C1481" s="3">
        <v>45035</v>
      </c>
      <c r="D1481" s="2" t="s">
        <v>2011</v>
      </c>
      <c r="E1481" s="2" t="s">
        <v>2086</v>
      </c>
      <c r="F1481" s="4">
        <v>3856.01</v>
      </c>
      <c r="G1481" s="5">
        <v>697.4</v>
      </c>
      <c r="H1481" s="6">
        <v>6</v>
      </c>
      <c r="I1481" s="2" t="s">
        <v>2117</v>
      </c>
    </row>
    <row r="1482" spans="2:9" x14ac:dyDescent="0.3">
      <c r="B1482" s="2" t="s">
        <v>1488</v>
      </c>
      <c r="C1482" s="3">
        <v>45099</v>
      </c>
      <c r="D1482" s="2" t="s">
        <v>2010</v>
      </c>
      <c r="E1482" s="2" t="s">
        <v>2068</v>
      </c>
      <c r="F1482" s="4">
        <v>167.89</v>
      </c>
      <c r="G1482" s="5">
        <v>505.57</v>
      </c>
      <c r="H1482" s="6">
        <v>8</v>
      </c>
      <c r="I1482" s="2" t="s">
        <v>2117</v>
      </c>
    </row>
    <row r="1483" spans="2:9" x14ac:dyDescent="0.3">
      <c r="B1483" s="2" t="s">
        <v>1489</v>
      </c>
      <c r="C1483" s="3">
        <v>44915</v>
      </c>
      <c r="D1483" s="2" t="s">
        <v>2009</v>
      </c>
      <c r="E1483" s="2" t="s">
        <v>2073</v>
      </c>
      <c r="F1483" s="4">
        <v>4360.66</v>
      </c>
      <c r="G1483" s="5">
        <v>773.54</v>
      </c>
      <c r="H1483" s="6">
        <v>15</v>
      </c>
      <c r="I1483" s="2" t="s">
        <v>2117</v>
      </c>
    </row>
    <row r="1484" spans="2:9" x14ac:dyDescent="0.3">
      <c r="B1484" s="2" t="s">
        <v>1490</v>
      </c>
      <c r="C1484" s="3">
        <v>45221</v>
      </c>
      <c r="D1484" s="2" t="s">
        <v>2011</v>
      </c>
      <c r="E1484" s="2" t="s">
        <v>2090</v>
      </c>
      <c r="F1484" s="4">
        <v>4227.76</v>
      </c>
      <c r="G1484" s="5">
        <v>648.34</v>
      </c>
      <c r="H1484" s="6">
        <v>10</v>
      </c>
      <c r="I1484" s="2" t="s">
        <v>2117</v>
      </c>
    </row>
    <row r="1485" spans="2:9" x14ac:dyDescent="0.3">
      <c r="B1485" s="2" t="s">
        <v>1491</v>
      </c>
      <c r="C1485" s="3">
        <v>45359</v>
      </c>
      <c r="D1485" s="2" t="s">
        <v>2009</v>
      </c>
      <c r="E1485" s="2" t="s">
        <v>2112</v>
      </c>
      <c r="F1485" s="4">
        <v>4864.29</v>
      </c>
      <c r="G1485" s="5">
        <v>686.79</v>
      </c>
      <c r="H1485" s="6">
        <v>17</v>
      </c>
      <c r="I1485" s="2" t="s">
        <v>2116</v>
      </c>
    </row>
    <row r="1486" spans="2:9" x14ac:dyDescent="0.3">
      <c r="B1486" s="2" t="s">
        <v>1492</v>
      </c>
      <c r="C1486" s="3">
        <v>43926</v>
      </c>
      <c r="D1486" s="2" t="s">
        <v>2009</v>
      </c>
      <c r="E1486" s="2" t="s">
        <v>2101</v>
      </c>
      <c r="F1486" s="4">
        <v>3037.31</v>
      </c>
      <c r="G1486" s="5">
        <v>422.45</v>
      </c>
      <c r="H1486" s="6">
        <v>14</v>
      </c>
      <c r="I1486" s="2" t="s">
        <v>2118</v>
      </c>
    </row>
    <row r="1487" spans="2:9" x14ac:dyDescent="0.3">
      <c r="B1487" s="2" t="s">
        <v>1493</v>
      </c>
      <c r="C1487" s="3">
        <v>45095</v>
      </c>
      <c r="D1487" s="2" t="s">
        <v>2012</v>
      </c>
      <c r="E1487" s="2" t="s">
        <v>2036</v>
      </c>
      <c r="F1487" s="4">
        <v>2639.62</v>
      </c>
      <c r="G1487" s="5">
        <v>923.18</v>
      </c>
      <c r="H1487" s="6">
        <v>3</v>
      </c>
      <c r="I1487" s="2" t="s">
        <v>2118</v>
      </c>
    </row>
    <row r="1488" spans="2:9" x14ac:dyDescent="0.3">
      <c r="B1488" s="2" t="s">
        <v>1494</v>
      </c>
      <c r="C1488" s="3">
        <v>43895</v>
      </c>
      <c r="D1488" s="2" t="s">
        <v>2010</v>
      </c>
      <c r="E1488" s="2" t="s">
        <v>2055</v>
      </c>
      <c r="F1488" s="4">
        <v>3853.22</v>
      </c>
      <c r="G1488" s="5">
        <v>851.68</v>
      </c>
      <c r="H1488" s="6">
        <v>4</v>
      </c>
      <c r="I1488" s="2" t="s">
        <v>2116</v>
      </c>
    </row>
    <row r="1489" spans="2:9" x14ac:dyDescent="0.3">
      <c r="B1489" s="2" t="s">
        <v>1495</v>
      </c>
      <c r="C1489" s="3">
        <v>44267</v>
      </c>
      <c r="D1489" s="2" t="s">
        <v>2012</v>
      </c>
      <c r="E1489" s="2" t="s">
        <v>2109</v>
      </c>
      <c r="F1489" s="4">
        <v>1907.94</v>
      </c>
      <c r="G1489" s="5">
        <v>984.85</v>
      </c>
      <c r="H1489" s="6">
        <v>18</v>
      </c>
      <c r="I1489" s="2" t="s">
        <v>2117</v>
      </c>
    </row>
    <row r="1490" spans="2:9" x14ac:dyDescent="0.3">
      <c r="B1490" s="2" t="s">
        <v>1496</v>
      </c>
      <c r="C1490" s="3">
        <v>43926</v>
      </c>
      <c r="D1490" s="2" t="s">
        <v>2011</v>
      </c>
      <c r="E1490" s="2" t="s">
        <v>2093</v>
      </c>
      <c r="F1490" s="4">
        <v>2838.34</v>
      </c>
      <c r="G1490" s="5">
        <v>609.39</v>
      </c>
      <c r="H1490" s="6">
        <v>9</v>
      </c>
      <c r="I1490" s="2" t="s">
        <v>2117</v>
      </c>
    </row>
    <row r="1491" spans="2:9" x14ac:dyDescent="0.3">
      <c r="B1491" s="2" t="s">
        <v>1497</v>
      </c>
      <c r="C1491" s="3">
        <v>45483</v>
      </c>
      <c r="D1491" s="2" t="s">
        <v>2012</v>
      </c>
      <c r="E1491" s="2" t="s">
        <v>2089</v>
      </c>
      <c r="F1491" s="4">
        <v>3953.69</v>
      </c>
      <c r="G1491" s="5">
        <v>966.66</v>
      </c>
      <c r="H1491" s="6">
        <v>3</v>
      </c>
      <c r="I1491" s="2" t="s">
        <v>2117</v>
      </c>
    </row>
    <row r="1492" spans="2:9" x14ac:dyDescent="0.3">
      <c r="B1492" s="2" t="s">
        <v>1498</v>
      </c>
      <c r="C1492" s="3">
        <v>45589</v>
      </c>
      <c r="D1492" s="2" t="s">
        <v>2009</v>
      </c>
      <c r="E1492" s="2" t="s">
        <v>2041</v>
      </c>
      <c r="F1492" s="4">
        <v>4643.3500000000004</v>
      </c>
      <c r="G1492" s="5">
        <v>781.42</v>
      </c>
      <c r="H1492" s="6">
        <v>17</v>
      </c>
      <c r="I1492" s="2" t="s">
        <v>2116</v>
      </c>
    </row>
    <row r="1493" spans="2:9" x14ac:dyDescent="0.3">
      <c r="B1493" s="2" t="s">
        <v>1499</v>
      </c>
      <c r="C1493" s="3">
        <v>44076</v>
      </c>
      <c r="D1493" s="2" t="s">
        <v>2012</v>
      </c>
      <c r="E1493" s="2" t="s">
        <v>2038</v>
      </c>
      <c r="F1493" s="4">
        <v>109.72</v>
      </c>
      <c r="G1493" s="5">
        <v>879.28</v>
      </c>
      <c r="H1493" s="6">
        <v>12</v>
      </c>
      <c r="I1493" s="2" t="s">
        <v>2116</v>
      </c>
    </row>
    <row r="1494" spans="2:9" x14ac:dyDescent="0.3">
      <c r="B1494" s="2" t="s">
        <v>1500</v>
      </c>
      <c r="C1494" s="3">
        <v>44845</v>
      </c>
      <c r="D1494" s="2" t="s">
        <v>2012</v>
      </c>
      <c r="E1494" s="2" t="s">
        <v>2077</v>
      </c>
      <c r="F1494" s="4">
        <v>4834.57</v>
      </c>
      <c r="G1494" s="5">
        <v>61.6</v>
      </c>
      <c r="H1494" s="6">
        <v>16</v>
      </c>
      <c r="I1494" s="2" t="s">
        <v>2116</v>
      </c>
    </row>
    <row r="1495" spans="2:9" x14ac:dyDescent="0.3">
      <c r="B1495" s="2" t="s">
        <v>1501</v>
      </c>
      <c r="C1495" s="3">
        <v>44816</v>
      </c>
      <c r="D1495" s="2" t="s">
        <v>2012</v>
      </c>
      <c r="E1495" s="2" t="s">
        <v>2085</v>
      </c>
      <c r="F1495" s="4">
        <v>4870.43</v>
      </c>
      <c r="G1495" s="5">
        <v>343.28</v>
      </c>
      <c r="H1495" s="6">
        <v>8</v>
      </c>
      <c r="I1495" s="2" t="s">
        <v>2116</v>
      </c>
    </row>
    <row r="1496" spans="2:9" x14ac:dyDescent="0.3">
      <c r="B1496" s="2" t="s">
        <v>1502</v>
      </c>
      <c r="C1496" s="3">
        <v>44887</v>
      </c>
      <c r="D1496" s="2" t="s">
        <v>2009</v>
      </c>
      <c r="E1496" s="2" t="s">
        <v>2076</v>
      </c>
      <c r="F1496" s="4">
        <v>4704.21</v>
      </c>
      <c r="G1496" s="5">
        <v>679.78</v>
      </c>
      <c r="H1496" s="6">
        <v>20</v>
      </c>
      <c r="I1496" s="2" t="s">
        <v>2118</v>
      </c>
    </row>
    <row r="1497" spans="2:9" x14ac:dyDescent="0.3">
      <c r="B1497" s="2" t="s">
        <v>1503</v>
      </c>
      <c r="C1497" s="3">
        <v>44381</v>
      </c>
      <c r="D1497" s="2" t="s">
        <v>2010</v>
      </c>
      <c r="E1497" s="2" t="s">
        <v>2066</v>
      </c>
      <c r="F1497" s="4">
        <v>2616.7199999999998</v>
      </c>
      <c r="G1497" s="5">
        <v>409.45</v>
      </c>
      <c r="H1497" s="6">
        <v>7</v>
      </c>
      <c r="I1497" s="2" t="s">
        <v>2117</v>
      </c>
    </row>
    <row r="1498" spans="2:9" x14ac:dyDescent="0.3">
      <c r="B1498" s="2" t="s">
        <v>1504</v>
      </c>
      <c r="C1498" s="3">
        <v>44194</v>
      </c>
      <c r="D1498" s="2" t="s">
        <v>2009</v>
      </c>
      <c r="E1498" s="2" t="s">
        <v>2016</v>
      </c>
      <c r="F1498" s="4">
        <v>3780.64</v>
      </c>
      <c r="G1498" s="5">
        <v>511.29</v>
      </c>
      <c r="H1498" s="6">
        <v>3</v>
      </c>
      <c r="I1498" s="2" t="s">
        <v>2118</v>
      </c>
    </row>
    <row r="1499" spans="2:9" x14ac:dyDescent="0.3">
      <c r="B1499" s="2" t="s">
        <v>1505</v>
      </c>
      <c r="C1499" s="3">
        <v>44831</v>
      </c>
      <c r="D1499" s="2" t="s">
        <v>2010</v>
      </c>
      <c r="E1499" s="2" t="s">
        <v>2067</v>
      </c>
      <c r="F1499" s="4">
        <v>1821.65</v>
      </c>
      <c r="G1499" s="5">
        <v>104.35</v>
      </c>
      <c r="H1499" s="6">
        <v>9</v>
      </c>
      <c r="I1499" s="2" t="s">
        <v>2116</v>
      </c>
    </row>
    <row r="1500" spans="2:9" x14ac:dyDescent="0.3">
      <c r="B1500" s="2" t="s">
        <v>1506</v>
      </c>
      <c r="C1500" s="3">
        <v>45331</v>
      </c>
      <c r="D1500" s="2" t="s">
        <v>2011</v>
      </c>
      <c r="E1500" s="2" t="s">
        <v>2054</v>
      </c>
      <c r="F1500" s="4">
        <v>3984.89</v>
      </c>
      <c r="G1500" s="5">
        <v>800.38</v>
      </c>
      <c r="H1500" s="6">
        <v>11</v>
      </c>
      <c r="I1500" s="2" t="s">
        <v>2118</v>
      </c>
    </row>
    <row r="1501" spans="2:9" x14ac:dyDescent="0.3">
      <c r="B1501" s="2" t="s">
        <v>1507</v>
      </c>
      <c r="C1501" s="3">
        <v>45339</v>
      </c>
      <c r="D1501" s="2" t="s">
        <v>2009</v>
      </c>
      <c r="E1501" s="2" t="s">
        <v>2083</v>
      </c>
      <c r="F1501" s="4">
        <v>984.2</v>
      </c>
      <c r="G1501" s="5">
        <v>546.08000000000004</v>
      </c>
      <c r="H1501" s="6">
        <v>7</v>
      </c>
      <c r="I1501" s="2" t="s">
        <v>2117</v>
      </c>
    </row>
    <row r="1502" spans="2:9" x14ac:dyDescent="0.3">
      <c r="B1502" s="2" t="s">
        <v>1508</v>
      </c>
      <c r="C1502" s="3">
        <v>44788</v>
      </c>
      <c r="D1502" s="2" t="s">
        <v>2009</v>
      </c>
      <c r="E1502" s="2" t="s">
        <v>2056</v>
      </c>
      <c r="F1502" s="4">
        <v>551.79</v>
      </c>
      <c r="G1502" s="5">
        <v>399.67</v>
      </c>
      <c r="H1502" s="6">
        <v>3</v>
      </c>
      <c r="I1502" s="2" t="s">
        <v>2117</v>
      </c>
    </row>
    <row r="1503" spans="2:9" x14ac:dyDescent="0.3">
      <c r="B1503" s="2" t="s">
        <v>1509</v>
      </c>
      <c r="C1503" s="3">
        <v>44451</v>
      </c>
      <c r="D1503" s="2" t="s">
        <v>2012</v>
      </c>
      <c r="E1503" s="2" t="s">
        <v>2039</v>
      </c>
      <c r="F1503" s="4">
        <v>2302.3200000000002</v>
      </c>
      <c r="G1503" s="5">
        <v>18.28</v>
      </c>
      <c r="H1503" s="6">
        <v>9</v>
      </c>
      <c r="I1503" s="2" t="s">
        <v>2117</v>
      </c>
    </row>
    <row r="1504" spans="2:9" x14ac:dyDescent="0.3">
      <c r="B1504" s="2" t="s">
        <v>1510</v>
      </c>
      <c r="C1504" s="3">
        <v>44333</v>
      </c>
      <c r="D1504" s="2" t="s">
        <v>2010</v>
      </c>
      <c r="E1504" s="2" t="s">
        <v>2071</v>
      </c>
      <c r="F1504" s="4">
        <v>2095.5500000000002</v>
      </c>
      <c r="G1504" s="5">
        <v>676.8</v>
      </c>
      <c r="H1504" s="6">
        <v>14</v>
      </c>
      <c r="I1504" s="2" t="s">
        <v>2116</v>
      </c>
    </row>
    <row r="1505" spans="2:9" x14ac:dyDescent="0.3">
      <c r="B1505" s="2" t="s">
        <v>1511</v>
      </c>
      <c r="C1505" s="3">
        <v>45009</v>
      </c>
      <c r="D1505" s="2" t="s">
        <v>2010</v>
      </c>
      <c r="E1505" s="2" t="s">
        <v>2061</v>
      </c>
      <c r="F1505" s="4">
        <v>1647.4</v>
      </c>
      <c r="G1505" s="5">
        <v>569.24</v>
      </c>
      <c r="H1505" s="6">
        <v>20</v>
      </c>
      <c r="I1505" s="2" t="s">
        <v>2118</v>
      </c>
    </row>
    <row r="1506" spans="2:9" x14ac:dyDescent="0.3">
      <c r="B1506" s="2" t="s">
        <v>1512</v>
      </c>
      <c r="C1506" s="3">
        <v>45192</v>
      </c>
      <c r="D1506" s="2" t="s">
        <v>2010</v>
      </c>
      <c r="E1506" s="2" t="s">
        <v>2054</v>
      </c>
      <c r="F1506" s="4">
        <v>4241.49</v>
      </c>
      <c r="G1506" s="5">
        <v>281.37</v>
      </c>
      <c r="H1506" s="6">
        <v>1</v>
      </c>
      <c r="I1506" s="2" t="s">
        <v>2116</v>
      </c>
    </row>
    <row r="1507" spans="2:9" x14ac:dyDescent="0.3">
      <c r="B1507" s="2" t="s">
        <v>1513</v>
      </c>
      <c r="C1507" s="3">
        <v>44895</v>
      </c>
      <c r="D1507" s="2" t="s">
        <v>2011</v>
      </c>
      <c r="E1507" s="2" t="s">
        <v>2024</v>
      </c>
      <c r="F1507" s="4">
        <v>4413.0600000000004</v>
      </c>
      <c r="G1507" s="5">
        <v>460.48</v>
      </c>
      <c r="H1507" s="6">
        <v>20</v>
      </c>
      <c r="I1507" s="2" t="s">
        <v>2116</v>
      </c>
    </row>
    <row r="1508" spans="2:9" x14ac:dyDescent="0.3">
      <c r="B1508" s="2" t="s">
        <v>1514</v>
      </c>
      <c r="C1508" s="3">
        <v>44183</v>
      </c>
      <c r="D1508" s="2" t="s">
        <v>2011</v>
      </c>
      <c r="E1508" s="2" t="s">
        <v>2076</v>
      </c>
      <c r="F1508" s="4">
        <v>622.29999999999995</v>
      </c>
      <c r="G1508" s="5">
        <v>674.2</v>
      </c>
      <c r="H1508" s="6">
        <v>20</v>
      </c>
      <c r="I1508" s="2" t="s">
        <v>2116</v>
      </c>
    </row>
    <row r="1509" spans="2:9" x14ac:dyDescent="0.3">
      <c r="B1509" s="2" t="s">
        <v>1515</v>
      </c>
      <c r="C1509" s="3">
        <v>44367</v>
      </c>
      <c r="D1509" s="2" t="s">
        <v>2010</v>
      </c>
      <c r="E1509" s="2" t="s">
        <v>2078</v>
      </c>
      <c r="F1509" s="4">
        <v>3830.76</v>
      </c>
      <c r="G1509" s="5">
        <v>295.99</v>
      </c>
      <c r="H1509" s="6">
        <v>19</v>
      </c>
      <c r="I1509" s="2" t="s">
        <v>2117</v>
      </c>
    </row>
    <row r="1510" spans="2:9" x14ac:dyDescent="0.3">
      <c r="B1510" s="2" t="s">
        <v>1516</v>
      </c>
      <c r="C1510" s="3">
        <v>44829</v>
      </c>
      <c r="D1510" s="2" t="s">
        <v>2009</v>
      </c>
      <c r="E1510" s="2" t="s">
        <v>2017</v>
      </c>
      <c r="F1510" s="4">
        <v>312.74</v>
      </c>
      <c r="G1510" s="5">
        <v>705.83</v>
      </c>
      <c r="H1510" s="6">
        <v>8</v>
      </c>
      <c r="I1510" s="2" t="s">
        <v>2117</v>
      </c>
    </row>
    <row r="1511" spans="2:9" x14ac:dyDescent="0.3">
      <c r="B1511" s="2" t="s">
        <v>1517</v>
      </c>
      <c r="C1511" s="3">
        <v>45116</v>
      </c>
      <c r="D1511" s="2" t="s">
        <v>2010</v>
      </c>
      <c r="E1511" s="2" t="s">
        <v>2076</v>
      </c>
      <c r="F1511" s="4">
        <v>3571.75</v>
      </c>
      <c r="G1511" s="5">
        <v>570.14</v>
      </c>
      <c r="H1511" s="6">
        <v>13</v>
      </c>
      <c r="I1511" s="2" t="s">
        <v>2116</v>
      </c>
    </row>
    <row r="1512" spans="2:9" x14ac:dyDescent="0.3">
      <c r="B1512" s="2" t="s">
        <v>1518</v>
      </c>
      <c r="C1512" s="3">
        <v>44583</v>
      </c>
      <c r="D1512" s="2" t="s">
        <v>2010</v>
      </c>
      <c r="E1512" s="2" t="s">
        <v>2076</v>
      </c>
      <c r="F1512" s="4">
        <v>4105.55</v>
      </c>
      <c r="G1512" s="5">
        <v>281.39999999999998</v>
      </c>
      <c r="H1512" s="6">
        <v>17</v>
      </c>
      <c r="I1512" s="2" t="s">
        <v>2116</v>
      </c>
    </row>
    <row r="1513" spans="2:9" x14ac:dyDescent="0.3">
      <c r="B1513" s="2" t="s">
        <v>1519</v>
      </c>
      <c r="C1513" s="3">
        <v>44559</v>
      </c>
      <c r="D1513" s="2" t="s">
        <v>2009</v>
      </c>
      <c r="E1513" s="2" t="s">
        <v>2106</v>
      </c>
      <c r="F1513" s="4">
        <v>3099.15</v>
      </c>
      <c r="G1513" s="5">
        <v>57.35</v>
      </c>
      <c r="H1513" s="6">
        <v>18</v>
      </c>
      <c r="I1513" s="2" t="s">
        <v>2118</v>
      </c>
    </row>
    <row r="1514" spans="2:9" x14ac:dyDescent="0.3">
      <c r="B1514" s="2" t="s">
        <v>1520</v>
      </c>
      <c r="C1514" s="3">
        <v>45403</v>
      </c>
      <c r="D1514" s="2" t="s">
        <v>2011</v>
      </c>
      <c r="E1514" s="2" t="s">
        <v>2040</v>
      </c>
      <c r="F1514" s="4">
        <v>1741.65</v>
      </c>
      <c r="G1514" s="5">
        <v>512.38</v>
      </c>
      <c r="H1514" s="6">
        <v>17</v>
      </c>
      <c r="I1514" s="2" t="s">
        <v>2118</v>
      </c>
    </row>
    <row r="1515" spans="2:9" x14ac:dyDescent="0.3">
      <c r="B1515" s="2" t="s">
        <v>1521</v>
      </c>
      <c r="C1515" s="3">
        <v>45013</v>
      </c>
      <c r="D1515" s="2" t="s">
        <v>2011</v>
      </c>
      <c r="E1515" s="2" t="s">
        <v>2065</v>
      </c>
      <c r="F1515" s="4">
        <v>1630.57</v>
      </c>
      <c r="G1515" s="5">
        <v>278.62</v>
      </c>
      <c r="H1515" s="6">
        <v>4</v>
      </c>
      <c r="I1515" s="2" t="s">
        <v>2118</v>
      </c>
    </row>
    <row r="1516" spans="2:9" x14ac:dyDescent="0.3">
      <c r="B1516" s="2" t="s">
        <v>1522</v>
      </c>
      <c r="C1516" s="3">
        <v>45038</v>
      </c>
      <c r="D1516" s="2" t="s">
        <v>2012</v>
      </c>
      <c r="E1516" s="2" t="s">
        <v>2053</v>
      </c>
      <c r="F1516" s="4">
        <v>2554.46</v>
      </c>
      <c r="G1516" s="5">
        <v>323.64999999999998</v>
      </c>
      <c r="H1516" s="6">
        <v>13</v>
      </c>
      <c r="I1516" s="2" t="s">
        <v>2117</v>
      </c>
    </row>
    <row r="1517" spans="2:9" x14ac:dyDescent="0.3">
      <c r="B1517" s="2" t="s">
        <v>1523</v>
      </c>
      <c r="C1517" s="3">
        <v>44623</v>
      </c>
      <c r="D1517" s="2" t="s">
        <v>2011</v>
      </c>
      <c r="E1517" s="2" t="s">
        <v>2065</v>
      </c>
      <c r="F1517" s="4">
        <v>3237.64</v>
      </c>
      <c r="G1517" s="5">
        <v>134.52000000000001</v>
      </c>
      <c r="H1517" s="6">
        <v>12</v>
      </c>
      <c r="I1517" s="2" t="s">
        <v>2116</v>
      </c>
    </row>
    <row r="1518" spans="2:9" x14ac:dyDescent="0.3">
      <c r="B1518" s="2" t="s">
        <v>1524</v>
      </c>
      <c r="C1518" s="3">
        <v>44247</v>
      </c>
      <c r="D1518" s="2" t="s">
        <v>2010</v>
      </c>
      <c r="E1518" s="2" t="s">
        <v>2103</v>
      </c>
      <c r="F1518" s="4">
        <v>763.42</v>
      </c>
      <c r="G1518" s="5">
        <v>191.72</v>
      </c>
      <c r="H1518" s="6">
        <v>7</v>
      </c>
      <c r="I1518" s="2" t="s">
        <v>2118</v>
      </c>
    </row>
    <row r="1519" spans="2:9" x14ac:dyDescent="0.3">
      <c r="B1519" s="2" t="s">
        <v>1525</v>
      </c>
      <c r="C1519" s="3">
        <v>45095</v>
      </c>
      <c r="D1519" s="2" t="s">
        <v>2012</v>
      </c>
      <c r="E1519" s="2" t="s">
        <v>2073</v>
      </c>
      <c r="F1519" s="4">
        <v>1377.49</v>
      </c>
      <c r="G1519" s="5">
        <v>382.38</v>
      </c>
      <c r="H1519" s="6">
        <v>9</v>
      </c>
      <c r="I1519" s="2" t="s">
        <v>2118</v>
      </c>
    </row>
    <row r="1520" spans="2:9" x14ac:dyDescent="0.3">
      <c r="B1520" s="2" t="s">
        <v>1526</v>
      </c>
      <c r="C1520" s="3">
        <v>45545</v>
      </c>
      <c r="D1520" s="2" t="s">
        <v>2009</v>
      </c>
      <c r="E1520" s="2" t="s">
        <v>2094</v>
      </c>
      <c r="F1520" s="4">
        <v>1856.69</v>
      </c>
      <c r="G1520" s="5">
        <v>993.73</v>
      </c>
      <c r="H1520" s="6">
        <v>14</v>
      </c>
      <c r="I1520" s="2" t="s">
        <v>2118</v>
      </c>
    </row>
    <row r="1521" spans="2:9" x14ac:dyDescent="0.3">
      <c r="B1521" s="2" t="s">
        <v>1527</v>
      </c>
      <c r="C1521" s="3">
        <v>44836</v>
      </c>
      <c r="D1521" s="2" t="s">
        <v>2011</v>
      </c>
      <c r="E1521" s="2" t="s">
        <v>2049</v>
      </c>
      <c r="F1521" s="4">
        <v>581.61</v>
      </c>
      <c r="G1521" s="5">
        <v>249.66</v>
      </c>
      <c r="H1521" s="6">
        <v>5</v>
      </c>
      <c r="I1521" s="2" t="s">
        <v>2116</v>
      </c>
    </row>
    <row r="1522" spans="2:9" x14ac:dyDescent="0.3">
      <c r="B1522" s="2" t="s">
        <v>1528</v>
      </c>
      <c r="C1522" s="3">
        <v>45425</v>
      </c>
      <c r="D1522" s="2" t="s">
        <v>2012</v>
      </c>
      <c r="E1522" s="2" t="s">
        <v>2048</v>
      </c>
      <c r="F1522" s="4">
        <v>3577.73</v>
      </c>
      <c r="G1522" s="5">
        <v>944.48</v>
      </c>
      <c r="H1522" s="6">
        <v>8</v>
      </c>
      <c r="I1522" s="2" t="s">
        <v>2118</v>
      </c>
    </row>
    <row r="1523" spans="2:9" x14ac:dyDescent="0.3">
      <c r="B1523" s="2" t="s">
        <v>1529</v>
      </c>
      <c r="C1523" s="3">
        <v>44466</v>
      </c>
      <c r="D1523" s="2" t="s">
        <v>2009</v>
      </c>
      <c r="E1523" s="2" t="s">
        <v>2022</v>
      </c>
      <c r="F1523" s="4">
        <v>4267.91</v>
      </c>
      <c r="G1523" s="5">
        <v>770.31</v>
      </c>
      <c r="H1523" s="6">
        <v>16</v>
      </c>
      <c r="I1523" s="2" t="s">
        <v>2116</v>
      </c>
    </row>
    <row r="1524" spans="2:9" x14ac:dyDescent="0.3">
      <c r="B1524" s="2" t="s">
        <v>1530</v>
      </c>
      <c r="C1524" s="3">
        <v>44353</v>
      </c>
      <c r="D1524" s="2" t="s">
        <v>2012</v>
      </c>
      <c r="E1524" s="2" t="s">
        <v>2058</v>
      </c>
      <c r="F1524" s="4">
        <v>3769.37</v>
      </c>
      <c r="G1524" s="5">
        <v>311.89999999999998</v>
      </c>
      <c r="H1524" s="6">
        <v>12</v>
      </c>
      <c r="I1524" s="2" t="s">
        <v>2117</v>
      </c>
    </row>
    <row r="1525" spans="2:9" x14ac:dyDescent="0.3">
      <c r="B1525" s="2" t="s">
        <v>1531</v>
      </c>
      <c r="C1525" s="3">
        <v>45533</v>
      </c>
      <c r="D1525" s="2" t="s">
        <v>2010</v>
      </c>
      <c r="E1525" s="2" t="s">
        <v>2081</v>
      </c>
      <c r="F1525" s="4">
        <v>1890.62</v>
      </c>
      <c r="G1525" s="5">
        <v>319.49</v>
      </c>
      <c r="H1525" s="6">
        <v>9</v>
      </c>
      <c r="I1525" s="2" t="s">
        <v>2116</v>
      </c>
    </row>
    <row r="1526" spans="2:9" x14ac:dyDescent="0.3">
      <c r="B1526" s="2" t="s">
        <v>1532</v>
      </c>
      <c r="C1526" s="3">
        <v>44638</v>
      </c>
      <c r="D1526" s="2" t="s">
        <v>2009</v>
      </c>
      <c r="E1526" s="2" t="s">
        <v>2013</v>
      </c>
      <c r="F1526" s="4">
        <v>4830.42</v>
      </c>
      <c r="G1526" s="5">
        <v>895.6</v>
      </c>
      <c r="H1526" s="6">
        <v>6</v>
      </c>
      <c r="I1526" s="2" t="s">
        <v>2117</v>
      </c>
    </row>
    <row r="1527" spans="2:9" x14ac:dyDescent="0.3">
      <c r="B1527" s="2" t="s">
        <v>1533</v>
      </c>
      <c r="C1527" s="3">
        <v>45009</v>
      </c>
      <c r="D1527" s="2" t="s">
        <v>2011</v>
      </c>
      <c r="E1527" s="2" t="s">
        <v>2044</v>
      </c>
      <c r="F1527" s="4">
        <v>1642.55</v>
      </c>
      <c r="G1527" s="5">
        <v>699.09</v>
      </c>
      <c r="H1527" s="6">
        <v>4</v>
      </c>
      <c r="I1527" s="2" t="s">
        <v>2117</v>
      </c>
    </row>
    <row r="1528" spans="2:9" x14ac:dyDescent="0.3">
      <c r="B1528" s="2" t="s">
        <v>1534</v>
      </c>
      <c r="C1528" s="3">
        <v>44007</v>
      </c>
      <c r="D1528" s="2" t="s">
        <v>2011</v>
      </c>
      <c r="E1528" s="2" t="s">
        <v>2045</v>
      </c>
      <c r="F1528" s="4">
        <v>4138.8999999999996</v>
      </c>
      <c r="G1528" s="5">
        <v>463.07</v>
      </c>
      <c r="H1528" s="6">
        <v>2</v>
      </c>
      <c r="I1528" s="2" t="s">
        <v>2118</v>
      </c>
    </row>
    <row r="1529" spans="2:9" x14ac:dyDescent="0.3">
      <c r="B1529" s="2" t="s">
        <v>1535</v>
      </c>
      <c r="C1529" s="3">
        <v>44325</v>
      </c>
      <c r="D1529" s="2" t="s">
        <v>2009</v>
      </c>
      <c r="E1529" s="2" t="s">
        <v>2065</v>
      </c>
      <c r="F1529" s="4">
        <v>4746.08</v>
      </c>
      <c r="G1529" s="5">
        <v>570.6</v>
      </c>
      <c r="H1529" s="6">
        <v>19</v>
      </c>
      <c r="I1529" s="2" t="s">
        <v>2118</v>
      </c>
    </row>
    <row r="1530" spans="2:9" x14ac:dyDescent="0.3">
      <c r="B1530" s="2" t="s">
        <v>1536</v>
      </c>
      <c r="C1530" s="3">
        <v>45502</v>
      </c>
      <c r="D1530" s="2" t="s">
        <v>2011</v>
      </c>
      <c r="E1530" s="2" t="s">
        <v>2013</v>
      </c>
      <c r="F1530" s="4">
        <v>2311.9899999999998</v>
      </c>
      <c r="G1530" s="5">
        <v>820.05</v>
      </c>
      <c r="H1530" s="6">
        <v>5</v>
      </c>
      <c r="I1530" s="2" t="s">
        <v>2116</v>
      </c>
    </row>
    <row r="1531" spans="2:9" x14ac:dyDescent="0.3">
      <c r="B1531" s="2" t="s">
        <v>1537</v>
      </c>
      <c r="C1531" s="3">
        <v>44595</v>
      </c>
      <c r="D1531" s="2" t="s">
        <v>2011</v>
      </c>
      <c r="E1531" s="2" t="s">
        <v>2101</v>
      </c>
      <c r="F1531" s="4">
        <v>510.8</v>
      </c>
      <c r="G1531" s="5">
        <v>722.1</v>
      </c>
      <c r="H1531" s="6">
        <v>14</v>
      </c>
      <c r="I1531" s="2" t="s">
        <v>2117</v>
      </c>
    </row>
    <row r="1532" spans="2:9" x14ac:dyDescent="0.3">
      <c r="B1532" s="2" t="s">
        <v>1538</v>
      </c>
      <c r="C1532" s="3">
        <v>43940</v>
      </c>
      <c r="D1532" s="2" t="s">
        <v>2010</v>
      </c>
      <c r="E1532" s="2" t="s">
        <v>2056</v>
      </c>
      <c r="F1532" s="4">
        <v>4167.83</v>
      </c>
      <c r="G1532" s="5">
        <v>708.73</v>
      </c>
      <c r="H1532" s="6">
        <v>11</v>
      </c>
      <c r="I1532" s="2" t="s">
        <v>2116</v>
      </c>
    </row>
    <row r="1533" spans="2:9" x14ac:dyDescent="0.3">
      <c r="B1533" s="2" t="s">
        <v>1539</v>
      </c>
      <c r="C1533" s="3">
        <v>43995</v>
      </c>
      <c r="D1533" s="2" t="s">
        <v>2012</v>
      </c>
      <c r="E1533" s="2" t="s">
        <v>2068</v>
      </c>
      <c r="F1533" s="4">
        <v>4082.83</v>
      </c>
      <c r="G1533" s="5">
        <v>354.05</v>
      </c>
      <c r="H1533" s="6">
        <v>2</v>
      </c>
      <c r="I1533" s="2" t="s">
        <v>2117</v>
      </c>
    </row>
    <row r="1534" spans="2:9" x14ac:dyDescent="0.3">
      <c r="B1534" s="2" t="s">
        <v>1540</v>
      </c>
      <c r="C1534" s="3">
        <v>44242</v>
      </c>
      <c r="D1534" s="2" t="s">
        <v>2011</v>
      </c>
      <c r="E1534" s="2" t="s">
        <v>2090</v>
      </c>
      <c r="F1534" s="4">
        <v>2466.98</v>
      </c>
      <c r="G1534" s="5">
        <v>941.14</v>
      </c>
      <c r="H1534" s="6">
        <v>16</v>
      </c>
      <c r="I1534" s="2" t="s">
        <v>2118</v>
      </c>
    </row>
    <row r="1535" spans="2:9" x14ac:dyDescent="0.3">
      <c r="B1535" s="2" t="s">
        <v>1541</v>
      </c>
      <c r="C1535" s="3">
        <v>45402</v>
      </c>
      <c r="D1535" s="2" t="s">
        <v>2012</v>
      </c>
      <c r="E1535" s="2" t="s">
        <v>2088</v>
      </c>
      <c r="F1535" s="4">
        <v>4254.4399999999996</v>
      </c>
      <c r="G1535" s="5">
        <v>515.71</v>
      </c>
      <c r="H1535" s="6">
        <v>4</v>
      </c>
      <c r="I1535" s="2" t="s">
        <v>2118</v>
      </c>
    </row>
    <row r="1536" spans="2:9" x14ac:dyDescent="0.3">
      <c r="B1536" s="2" t="s">
        <v>1542</v>
      </c>
      <c r="C1536" s="3">
        <v>44726</v>
      </c>
      <c r="D1536" s="2" t="s">
        <v>2009</v>
      </c>
      <c r="E1536" s="2" t="s">
        <v>2036</v>
      </c>
      <c r="F1536" s="4">
        <v>186.82</v>
      </c>
      <c r="G1536" s="5">
        <v>611.65</v>
      </c>
      <c r="H1536" s="6">
        <v>9</v>
      </c>
      <c r="I1536" s="2" t="s">
        <v>2116</v>
      </c>
    </row>
    <row r="1537" spans="2:9" x14ac:dyDescent="0.3">
      <c r="B1537" s="2" t="s">
        <v>1543</v>
      </c>
      <c r="C1537" s="3">
        <v>44488</v>
      </c>
      <c r="D1537" s="2" t="s">
        <v>2011</v>
      </c>
      <c r="E1537" s="2" t="s">
        <v>2037</v>
      </c>
      <c r="F1537" s="4">
        <v>2048.3200000000002</v>
      </c>
      <c r="G1537" s="5">
        <v>893.96</v>
      </c>
      <c r="H1537" s="6">
        <v>1</v>
      </c>
      <c r="I1537" s="2" t="s">
        <v>2118</v>
      </c>
    </row>
    <row r="1538" spans="2:9" x14ac:dyDescent="0.3">
      <c r="B1538" s="2" t="s">
        <v>1544</v>
      </c>
      <c r="C1538" s="3">
        <v>44127</v>
      </c>
      <c r="D1538" s="2" t="s">
        <v>2009</v>
      </c>
      <c r="E1538" s="2" t="s">
        <v>2072</v>
      </c>
      <c r="F1538" s="4">
        <v>4336.4799999999996</v>
      </c>
      <c r="G1538" s="5">
        <v>492.11</v>
      </c>
      <c r="H1538" s="6">
        <v>16</v>
      </c>
      <c r="I1538" s="2" t="s">
        <v>2117</v>
      </c>
    </row>
    <row r="1539" spans="2:9" x14ac:dyDescent="0.3">
      <c r="B1539" s="2" t="s">
        <v>1545</v>
      </c>
      <c r="C1539" s="3">
        <v>45445</v>
      </c>
      <c r="D1539" s="2" t="s">
        <v>2009</v>
      </c>
      <c r="E1539" s="2" t="s">
        <v>2043</v>
      </c>
      <c r="F1539" s="4">
        <v>452.73</v>
      </c>
      <c r="G1539" s="5">
        <v>16.22</v>
      </c>
      <c r="H1539" s="6">
        <v>8</v>
      </c>
      <c r="I1539" s="2" t="s">
        <v>2118</v>
      </c>
    </row>
    <row r="1540" spans="2:9" x14ac:dyDescent="0.3">
      <c r="B1540" s="2" t="s">
        <v>1546</v>
      </c>
      <c r="C1540" s="3">
        <v>45123</v>
      </c>
      <c r="D1540" s="2" t="s">
        <v>2010</v>
      </c>
      <c r="E1540" s="2" t="s">
        <v>2058</v>
      </c>
      <c r="F1540" s="4">
        <v>1742.62</v>
      </c>
      <c r="G1540" s="5">
        <v>29.98</v>
      </c>
      <c r="H1540" s="6">
        <v>7</v>
      </c>
      <c r="I1540" s="2" t="s">
        <v>2118</v>
      </c>
    </row>
    <row r="1541" spans="2:9" x14ac:dyDescent="0.3">
      <c r="B1541" s="2" t="s">
        <v>1547</v>
      </c>
      <c r="C1541" s="3">
        <v>44310</v>
      </c>
      <c r="D1541" s="2" t="s">
        <v>2012</v>
      </c>
      <c r="E1541" s="2" t="s">
        <v>2050</v>
      </c>
      <c r="F1541" s="4">
        <v>113.15</v>
      </c>
      <c r="G1541" s="5">
        <v>332.85</v>
      </c>
      <c r="H1541" s="6">
        <v>18</v>
      </c>
      <c r="I1541" s="2" t="s">
        <v>2117</v>
      </c>
    </row>
    <row r="1542" spans="2:9" x14ac:dyDescent="0.3">
      <c r="B1542" s="2" t="s">
        <v>1548</v>
      </c>
      <c r="C1542" s="3">
        <v>44394</v>
      </c>
      <c r="D1542" s="2" t="s">
        <v>2010</v>
      </c>
      <c r="E1542" s="2" t="s">
        <v>2036</v>
      </c>
      <c r="F1542" s="4">
        <v>4893.62</v>
      </c>
      <c r="G1542" s="5">
        <v>506.1</v>
      </c>
      <c r="H1542" s="6">
        <v>1</v>
      </c>
      <c r="I1542" s="2" t="s">
        <v>2118</v>
      </c>
    </row>
    <row r="1543" spans="2:9" x14ac:dyDescent="0.3">
      <c r="B1543" s="2" t="s">
        <v>1549</v>
      </c>
      <c r="C1543" s="3">
        <v>43966</v>
      </c>
      <c r="D1543" s="2" t="s">
        <v>2011</v>
      </c>
      <c r="E1543" s="2" t="s">
        <v>2098</v>
      </c>
      <c r="F1543" s="4">
        <v>1730.23</v>
      </c>
      <c r="G1543" s="5">
        <v>475.44</v>
      </c>
      <c r="H1543" s="6">
        <v>6</v>
      </c>
      <c r="I1543" s="2" t="s">
        <v>2118</v>
      </c>
    </row>
    <row r="1544" spans="2:9" x14ac:dyDescent="0.3">
      <c r="B1544" s="2" t="s">
        <v>1550</v>
      </c>
      <c r="C1544" s="3">
        <v>44328</v>
      </c>
      <c r="D1544" s="2" t="s">
        <v>2009</v>
      </c>
      <c r="E1544" s="2" t="s">
        <v>2104</v>
      </c>
      <c r="F1544" s="4">
        <v>2274.1999999999998</v>
      </c>
      <c r="G1544" s="5">
        <v>78.790000000000006</v>
      </c>
      <c r="H1544" s="6">
        <v>4</v>
      </c>
      <c r="I1544" s="2" t="s">
        <v>2117</v>
      </c>
    </row>
    <row r="1545" spans="2:9" x14ac:dyDescent="0.3">
      <c r="B1545" s="2" t="s">
        <v>1551</v>
      </c>
      <c r="C1545" s="3">
        <v>44755</v>
      </c>
      <c r="D1545" s="2" t="s">
        <v>2010</v>
      </c>
      <c r="E1545" s="2" t="s">
        <v>2097</v>
      </c>
      <c r="F1545" s="4">
        <v>4886.74</v>
      </c>
      <c r="G1545" s="5">
        <v>706.34</v>
      </c>
      <c r="H1545" s="6">
        <v>19</v>
      </c>
      <c r="I1545" s="2" t="s">
        <v>2118</v>
      </c>
    </row>
    <row r="1546" spans="2:9" x14ac:dyDescent="0.3">
      <c r="B1546" s="2" t="s">
        <v>1552</v>
      </c>
      <c r="C1546" s="3">
        <v>44082</v>
      </c>
      <c r="D1546" s="2" t="s">
        <v>2010</v>
      </c>
      <c r="E1546" s="2" t="s">
        <v>2014</v>
      </c>
      <c r="F1546" s="4">
        <v>4805.16</v>
      </c>
      <c r="G1546" s="5">
        <v>723.74</v>
      </c>
      <c r="H1546" s="6">
        <v>10</v>
      </c>
      <c r="I1546" s="2" t="s">
        <v>2117</v>
      </c>
    </row>
    <row r="1547" spans="2:9" x14ac:dyDescent="0.3">
      <c r="B1547" s="2" t="s">
        <v>1553</v>
      </c>
      <c r="C1547" s="3">
        <v>45201</v>
      </c>
      <c r="D1547" s="2" t="s">
        <v>2009</v>
      </c>
      <c r="E1547" s="2" t="s">
        <v>2106</v>
      </c>
      <c r="F1547" s="4">
        <v>2370.75</v>
      </c>
      <c r="G1547" s="5">
        <v>462.82</v>
      </c>
      <c r="H1547" s="6">
        <v>2</v>
      </c>
      <c r="I1547" s="2" t="s">
        <v>2118</v>
      </c>
    </row>
    <row r="1548" spans="2:9" x14ac:dyDescent="0.3">
      <c r="B1548" s="2" t="s">
        <v>1554</v>
      </c>
      <c r="C1548" s="3">
        <v>44804</v>
      </c>
      <c r="D1548" s="2" t="s">
        <v>2011</v>
      </c>
      <c r="E1548" s="2" t="s">
        <v>2057</v>
      </c>
      <c r="F1548" s="4">
        <v>4047.4</v>
      </c>
      <c r="G1548" s="5">
        <v>404.82</v>
      </c>
      <c r="H1548" s="6">
        <v>1</v>
      </c>
      <c r="I1548" s="2" t="s">
        <v>2117</v>
      </c>
    </row>
    <row r="1549" spans="2:9" x14ac:dyDescent="0.3">
      <c r="B1549" s="2" t="s">
        <v>1555</v>
      </c>
      <c r="C1549" s="3">
        <v>45032</v>
      </c>
      <c r="D1549" s="2" t="s">
        <v>2010</v>
      </c>
      <c r="E1549" s="2" t="s">
        <v>2013</v>
      </c>
      <c r="F1549" s="4">
        <v>1372.52</v>
      </c>
      <c r="G1549" s="5">
        <v>848.08</v>
      </c>
      <c r="H1549" s="6">
        <v>16</v>
      </c>
      <c r="I1549" s="2" t="s">
        <v>2116</v>
      </c>
    </row>
    <row r="1550" spans="2:9" x14ac:dyDescent="0.3">
      <c r="B1550" s="2" t="s">
        <v>1556</v>
      </c>
      <c r="C1550" s="3">
        <v>44993</v>
      </c>
      <c r="D1550" s="2" t="s">
        <v>2009</v>
      </c>
      <c r="E1550" s="2" t="s">
        <v>2036</v>
      </c>
      <c r="F1550" s="4">
        <v>3131.61</v>
      </c>
      <c r="G1550" s="5">
        <v>186.67</v>
      </c>
      <c r="H1550" s="6">
        <v>2</v>
      </c>
      <c r="I1550" s="2" t="s">
        <v>2117</v>
      </c>
    </row>
    <row r="1551" spans="2:9" x14ac:dyDescent="0.3">
      <c r="B1551" s="2" t="s">
        <v>1557</v>
      </c>
      <c r="C1551" s="3">
        <v>43957</v>
      </c>
      <c r="D1551" s="2" t="s">
        <v>2012</v>
      </c>
      <c r="E1551" s="2" t="s">
        <v>2019</v>
      </c>
      <c r="F1551" s="4">
        <v>4668.43</v>
      </c>
      <c r="G1551" s="5">
        <v>221.57</v>
      </c>
      <c r="H1551" s="6">
        <v>20</v>
      </c>
      <c r="I1551" s="2" t="s">
        <v>2118</v>
      </c>
    </row>
    <row r="1552" spans="2:9" x14ac:dyDescent="0.3">
      <c r="B1552" s="2" t="s">
        <v>1558</v>
      </c>
      <c r="C1552" s="3">
        <v>45286</v>
      </c>
      <c r="D1552" s="2" t="s">
        <v>2009</v>
      </c>
      <c r="E1552" s="2" t="s">
        <v>2024</v>
      </c>
      <c r="F1552" s="4">
        <v>782.53</v>
      </c>
      <c r="G1552" s="5">
        <v>961.87</v>
      </c>
      <c r="H1552" s="6">
        <v>13</v>
      </c>
      <c r="I1552" s="2" t="s">
        <v>2118</v>
      </c>
    </row>
    <row r="1553" spans="2:9" x14ac:dyDescent="0.3">
      <c r="B1553" s="2" t="s">
        <v>1559</v>
      </c>
      <c r="C1553" s="3">
        <v>45252</v>
      </c>
      <c r="D1553" s="2" t="s">
        <v>2010</v>
      </c>
      <c r="E1553" s="2" t="s">
        <v>2097</v>
      </c>
      <c r="F1553" s="4">
        <v>1434.21</v>
      </c>
      <c r="G1553" s="5">
        <v>422.15</v>
      </c>
      <c r="H1553" s="6">
        <v>6</v>
      </c>
      <c r="I1553" s="2" t="s">
        <v>2117</v>
      </c>
    </row>
    <row r="1554" spans="2:9" x14ac:dyDescent="0.3">
      <c r="B1554" s="2" t="s">
        <v>1560</v>
      </c>
      <c r="C1554" s="3">
        <v>44079</v>
      </c>
      <c r="D1554" s="2" t="s">
        <v>2010</v>
      </c>
      <c r="E1554" s="2" t="s">
        <v>2053</v>
      </c>
      <c r="F1554" s="4">
        <v>678.6</v>
      </c>
      <c r="G1554" s="5">
        <v>321.58999999999997</v>
      </c>
      <c r="H1554" s="6">
        <v>12</v>
      </c>
      <c r="I1554" s="2" t="s">
        <v>2118</v>
      </c>
    </row>
    <row r="1555" spans="2:9" x14ac:dyDescent="0.3">
      <c r="B1555" s="2" t="s">
        <v>1561</v>
      </c>
      <c r="C1555" s="3">
        <v>43949</v>
      </c>
      <c r="D1555" s="2" t="s">
        <v>2011</v>
      </c>
      <c r="E1555" s="2" t="s">
        <v>2061</v>
      </c>
      <c r="F1555" s="4">
        <v>3102.5</v>
      </c>
      <c r="G1555" s="5">
        <v>72.27</v>
      </c>
      <c r="H1555" s="6">
        <v>9</v>
      </c>
      <c r="I1555" s="2" t="s">
        <v>2118</v>
      </c>
    </row>
    <row r="1556" spans="2:9" x14ac:dyDescent="0.3">
      <c r="B1556" s="2" t="s">
        <v>1562</v>
      </c>
      <c r="C1556" s="3">
        <v>44656</v>
      </c>
      <c r="D1556" s="2" t="s">
        <v>2010</v>
      </c>
      <c r="E1556" s="2" t="s">
        <v>2108</v>
      </c>
      <c r="F1556" s="4">
        <v>1052.95</v>
      </c>
      <c r="G1556" s="5">
        <v>718.43</v>
      </c>
      <c r="H1556" s="6">
        <v>8</v>
      </c>
      <c r="I1556" s="2" t="s">
        <v>2117</v>
      </c>
    </row>
    <row r="1557" spans="2:9" x14ac:dyDescent="0.3">
      <c r="B1557" s="2" t="s">
        <v>1563</v>
      </c>
      <c r="C1557" s="3">
        <v>44571</v>
      </c>
      <c r="D1557" s="2" t="s">
        <v>2009</v>
      </c>
      <c r="E1557" s="2" t="s">
        <v>2035</v>
      </c>
      <c r="F1557" s="4">
        <v>3514.04</v>
      </c>
      <c r="G1557" s="5">
        <v>129.04</v>
      </c>
      <c r="H1557" s="6">
        <v>9</v>
      </c>
      <c r="I1557" s="2" t="s">
        <v>2118</v>
      </c>
    </row>
    <row r="1558" spans="2:9" x14ac:dyDescent="0.3">
      <c r="B1558" s="2" t="s">
        <v>1564</v>
      </c>
      <c r="C1558" s="3">
        <v>44465</v>
      </c>
      <c r="D1558" s="2" t="s">
        <v>2009</v>
      </c>
      <c r="E1558" s="2" t="s">
        <v>2092</v>
      </c>
      <c r="F1558" s="4">
        <v>2124.58</v>
      </c>
      <c r="G1558" s="5">
        <v>319.24</v>
      </c>
      <c r="H1558" s="6">
        <v>12</v>
      </c>
      <c r="I1558" s="2" t="s">
        <v>2118</v>
      </c>
    </row>
    <row r="1559" spans="2:9" x14ac:dyDescent="0.3">
      <c r="B1559" s="2" t="s">
        <v>1565</v>
      </c>
      <c r="C1559" s="3">
        <v>44608</v>
      </c>
      <c r="D1559" s="2" t="s">
        <v>2011</v>
      </c>
      <c r="E1559" s="2" t="s">
        <v>2089</v>
      </c>
      <c r="F1559" s="4">
        <v>244.03</v>
      </c>
      <c r="G1559" s="5">
        <v>977.44</v>
      </c>
      <c r="H1559" s="6">
        <v>14</v>
      </c>
      <c r="I1559" s="2" t="s">
        <v>2118</v>
      </c>
    </row>
    <row r="1560" spans="2:9" x14ac:dyDescent="0.3">
      <c r="B1560" s="2" t="s">
        <v>1566</v>
      </c>
      <c r="C1560" s="3">
        <v>45513</v>
      </c>
      <c r="D1560" s="2" t="s">
        <v>2011</v>
      </c>
      <c r="E1560" s="2" t="s">
        <v>2040</v>
      </c>
      <c r="F1560" s="4">
        <v>2715.21</v>
      </c>
      <c r="G1560" s="5">
        <v>743.98</v>
      </c>
      <c r="H1560" s="6">
        <v>15</v>
      </c>
      <c r="I1560" s="2" t="s">
        <v>2117</v>
      </c>
    </row>
    <row r="1561" spans="2:9" x14ac:dyDescent="0.3">
      <c r="B1561" s="2" t="s">
        <v>1567</v>
      </c>
      <c r="C1561" s="3">
        <v>45248</v>
      </c>
      <c r="D1561" s="2" t="s">
        <v>2010</v>
      </c>
      <c r="E1561" s="2" t="s">
        <v>2072</v>
      </c>
      <c r="F1561" s="4">
        <v>3957.65</v>
      </c>
      <c r="G1561" s="5">
        <v>211.53</v>
      </c>
      <c r="H1561" s="6">
        <v>12</v>
      </c>
      <c r="I1561" s="2" t="s">
        <v>2116</v>
      </c>
    </row>
    <row r="1562" spans="2:9" x14ac:dyDescent="0.3">
      <c r="B1562" s="2" t="s">
        <v>1568</v>
      </c>
      <c r="C1562" s="3">
        <v>44390</v>
      </c>
      <c r="D1562" s="2" t="s">
        <v>2009</v>
      </c>
      <c r="E1562" s="2" t="s">
        <v>2031</v>
      </c>
      <c r="F1562" s="4">
        <v>1507.33</v>
      </c>
      <c r="G1562" s="5">
        <v>805.01</v>
      </c>
      <c r="H1562" s="6">
        <v>2</v>
      </c>
      <c r="I1562" s="2" t="s">
        <v>2118</v>
      </c>
    </row>
    <row r="1563" spans="2:9" x14ac:dyDescent="0.3">
      <c r="B1563" s="2" t="s">
        <v>1569</v>
      </c>
      <c r="C1563" s="3">
        <v>44398</v>
      </c>
      <c r="D1563" s="2" t="s">
        <v>2009</v>
      </c>
      <c r="E1563" s="2" t="s">
        <v>2070</v>
      </c>
      <c r="F1563" s="4">
        <v>3562.34</v>
      </c>
      <c r="G1563" s="5">
        <v>799.22</v>
      </c>
      <c r="H1563" s="6">
        <v>14</v>
      </c>
      <c r="I1563" s="2" t="s">
        <v>2116</v>
      </c>
    </row>
    <row r="1564" spans="2:9" x14ac:dyDescent="0.3">
      <c r="B1564" s="2" t="s">
        <v>1570</v>
      </c>
      <c r="C1564" s="3">
        <v>45532</v>
      </c>
      <c r="D1564" s="2" t="s">
        <v>2010</v>
      </c>
      <c r="E1564" s="2" t="s">
        <v>2065</v>
      </c>
      <c r="F1564" s="4">
        <v>1036.51</v>
      </c>
      <c r="G1564" s="5">
        <v>884.33</v>
      </c>
      <c r="H1564" s="6">
        <v>6</v>
      </c>
      <c r="I1564" s="2" t="s">
        <v>2118</v>
      </c>
    </row>
    <row r="1565" spans="2:9" x14ac:dyDescent="0.3">
      <c r="B1565" s="2" t="s">
        <v>1571</v>
      </c>
      <c r="C1565" s="3">
        <v>43838</v>
      </c>
      <c r="D1565" s="2" t="s">
        <v>2012</v>
      </c>
      <c r="E1565" s="2" t="s">
        <v>2034</v>
      </c>
      <c r="F1565" s="4">
        <v>408.33</v>
      </c>
      <c r="G1565" s="5">
        <v>430.54</v>
      </c>
      <c r="H1565" s="6">
        <v>7</v>
      </c>
      <c r="I1565" s="2" t="s">
        <v>2116</v>
      </c>
    </row>
    <row r="1566" spans="2:9" x14ac:dyDescent="0.3">
      <c r="B1566" s="2" t="s">
        <v>1572</v>
      </c>
      <c r="C1566" s="3">
        <v>44891</v>
      </c>
      <c r="D1566" s="2" t="s">
        <v>2009</v>
      </c>
      <c r="E1566" s="2" t="s">
        <v>2026</v>
      </c>
      <c r="F1566" s="4">
        <v>2161.29</v>
      </c>
      <c r="G1566" s="5">
        <v>84.96</v>
      </c>
      <c r="H1566" s="6">
        <v>7</v>
      </c>
      <c r="I1566" s="2" t="s">
        <v>2116</v>
      </c>
    </row>
    <row r="1567" spans="2:9" x14ac:dyDescent="0.3">
      <c r="B1567" s="2" t="s">
        <v>1573</v>
      </c>
      <c r="C1567" s="3">
        <v>43891</v>
      </c>
      <c r="D1567" s="2" t="s">
        <v>2012</v>
      </c>
      <c r="E1567" s="2" t="s">
        <v>2084</v>
      </c>
      <c r="F1567" s="4">
        <v>3138.39</v>
      </c>
      <c r="G1567" s="5">
        <v>163.05000000000001</v>
      </c>
      <c r="H1567" s="6">
        <v>18</v>
      </c>
      <c r="I1567" s="2" t="s">
        <v>2118</v>
      </c>
    </row>
    <row r="1568" spans="2:9" x14ac:dyDescent="0.3">
      <c r="B1568" s="2" t="s">
        <v>1574</v>
      </c>
      <c r="C1568" s="3">
        <v>44073</v>
      </c>
      <c r="D1568" s="2" t="s">
        <v>2009</v>
      </c>
      <c r="E1568" s="2" t="s">
        <v>2106</v>
      </c>
      <c r="F1568" s="4">
        <v>4169.3</v>
      </c>
      <c r="G1568" s="5">
        <v>93.25</v>
      </c>
      <c r="H1568" s="6">
        <v>17</v>
      </c>
      <c r="I1568" s="2" t="s">
        <v>2117</v>
      </c>
    </row>
    <row r="1569" spans="2:9" x14ac:dyDescent="0.3">
      <c r="B1569" s="2" t="s">
        <v>1575</v>
      </c>
      <c r="C1569" s="3">
        <v>44206</v>
      </c>
      <c r="D1569" s="2" t="s">
        <v>2011</v>
      </c>
      <c r="E1569" s="2" t="s">
        <v>2035</v>
      </c>
      <c r="F1569" s="4">
        <v>868.23</v>
      </c>
      <c r="G1569" s="5">
        <v>693.09</v>
      </c>
      <c r="H1569" s="6">
        <v>1</v>
      </c>
      <c r="I1569" s="2" t="s">
        <v>2117</v>
      </c>
    </row>
    <row r="1570" spans="2:9" x14ac:dyDescent="0.3">
      <c r="B1570" s="2" t="s">
        <v>1576</v>
      </c>
      <c r="C1570" s="3">
        <v>44317</v>
      </c>
      <c r="D1570" s="2" t="s">
        <v>2010</v>
      </c>
      <c r="E1570" s="2" t="s">
        <v>2112</v>
      </c>
      <c r="F1570" s="4">
        <v>1529.87</v>
      </c>
      <c r="G1570" s="5">
        <v>32.340000000000003</v>
      </c>
      <c r="H1570" s="6">
        <v>8</v>
      </c>
      <c r="I1570" s="2" t="s">
        <v>2118</v>
      </c>
    </row>
    <row r="1571" spans="2:9" x14ac:dyDescent="0.3">
      <c r="B1571" s="2" t="s">
        <v>1577</v>
      </c>
      <c r="C1571" s="3">
        <v>44953</v>
      </c>
      <c r="D1571" s="2" t="s">
        <v>2011</v>
      </c>
      <c r="E1571" s="2" t="s">
        <v>2028</v>
      </c>
      <c r="F1571" s="4">
        <v>1096.3499999999999</v>
      </c>
      <c r="G1571" s="5">
        <v>766.25</v>
      </c>
      <c r="H1571" s="6">
        <v>19</v>
      </c>
      <c r="I1571" s="2" t="s">
        <v>2118</v>
      </c>
    </row>
    <row r="1572" spans="2:9" x14ac:dyDescent="0.3">
      <c r="B1572" s="2" t="s">
        <v>1578</v>
      </c>
      <c r="C1572" s="3">
        <v>45003</v>
      </c>
      <c r="D1572" s="2" t="s">
        <v>2009</v>
      </c>
      <c r="E1572" s="2" t="s">
        <v>2111</v>
      </c>
      <c r="F1572" s="4">
        <v>2029.03</v>
      </c>
      <c r="G1572" s="5">
        <v>612.91</v>
      </c>
      <c r="H1572" s="6">
        <v>8</v>
      </c>
      <c r="I1572" s="2" t="s">
        <v>2118</v>
      </c>
    </row>
    <row r="1573" spans="2:9" x14ac:dyDescent="0.3">
      <c r="B1573" s="2" t="s">
        <v>1579</v>
      </c>
      <c r="C1573" s="3">
        <v>44381</v>
      </c>
      <c r="D1573" s="2" t="s">
        <v>2009</v>
      </c>
      <c r="E1573" s="2" t="s">
        <v>2075</v>
      </c>
      <c r="F1573" s="4">
        <v>4630.04</v>
      </c>
      <c r="G1573" s="5">
        <v>489.32</v>
      </c>
      <c r="H1573" s="6">
        <v>2</v>
      </c>
      <c r="I1573" s="2" t="s">
        <v>2116</v>
      </c>
    </row>
    <row r="1574" spans="2:9" x14ac:dyDescent="0.3">
      <c r="B1574" s="2" t="s">
        <v>1580</v>
      </c>
      <c r="C1574" s="3">
        <v>43854</v>
      </c>
      <c r="D1574" s="2" t="s">
        <v>2011</v>
      </c>
      <c r="E1574" s="2" t="s">
        <v>2027</v>
      </c>
      <c r="F1574" s="4">
        <v>1379.48</v>
      </c>
      <c r="G1574" s="5">
        <v>367.59</v>
      </c>
      <c r="H1574" s="6">
        <v>1</v>
      </c>
      <c r="I1574" s="2" t="s">
        <v>2117</v>
      </c>
    </row>
    <row r="1575" spans="2:9" x14ac:dyDescent="0.3">
      <c r="B1575" s="2" t="s">
        <v>1581</v>
      </c>
      <c r="C1575" s="3">
        <v>45142</v>
      </c>
      <c r="D1575" s="2" t="s">
        <v>2010</v>
      </c>
      <c r="E1575" s="2" t="s">
        <v>2067</v>
      </c>
      <c r="F1575" s="4">
        <v>4052.38</v>
      </c>
      <c r="G1575" s="5">
        <v>514.04</v>
      </c>
      <c r="H1575" s="6">
        <v>16</v>
      </c>
      <c r="I1575" s="2" t="s">
        <v>2117</v>
      </c>
    </row>
    <row r="1576" spans="2:9" x14ac:dyDescent="0.3">
      <c r="B1576" s="2" t="s">
        <v>1582</v>
      </c>
      <c r="C1576" s="3">
        <v>45473</v>
      </c>
      <c r="D1576" s="2" t="s">
        <v>2012</v>
      </c>
      <c r="E1576" s="2" t="s">
        <v>2112</v>
      </c>
      <c r="F1576" s="4">
        <v>2660.39</v>
      </c>
      <c r="G1576" s="5">
        <v>576.08000000000004</v>
      </c>
      <c r="H1576" s="6">
        <v>16</v>
      </c>
      <c r="I1576" s="2" t="s">
        <v>2116</v>
      </c>
    </row>
    <row r="1577" spans="2:9" x14ac:dyDescent="0.3">
      <c r="B1577" s="2" t="s">
        <v>1583</v>
      </c>
      <c r="C1577" s="3">
        <v>44657</v>
      </c>
      <c r="D1577" s="2" t="s">
        <v>2012</v>
      </c>
      <c r="E1577" s="2" t="s">
        <v>2039</v>
      </c>
      <c r="F1577" s="4">
        <v>4764.95</v>
      </c>
      <c r="G1577" s="5">
        <v>914.23</v>
      </c>
      <c r="H1577" s="6">
        <v>3</v>
      </c>
      <c r="I1577" s="2" t="s">
        <v>2118</v>
      </c>
    </row>
    <row r="1578" spans="2:9" x14ac:dyDescent="0.3">
      <c r="B1578" s="2" t="s">
        <v>1584</v>
      </c>
      <c r="C1578" s="3">
        <v>44284</v>
      </c>
      <c r="D1578" s="2" t="s">
        <v>2009</v>
      </c>
      <c r="E1578" s="2" t="s">
        <v>2110</v>
      </c>
      <c r="F1578" s="4">
        <v>4560.28</v>
      </c>
      <c r="G1578" s="5">
        <v>944.88</v>
      </c>
      <c r="H1578" s="6">
        <v>13</v>
      </c>
      <c r="I1578" s="2" t="s">
        <v>2116</v>
      </c>
    </row>
    <row r="1579" spans="2:9" x14ac:dyDescent="0.3">
      <c r="B1579" s="2" t="s">
        <v>1585</v>
      </c>
      <c r="C1579" s="3">
        <v>44998</v>
      </c>
      <c r="D1579" s="2" t="s">
        <v>2012</v>
      </c>
      <c r="E1579" s="2" t="s">
        <v>2092</v>
      </c>
      <c r="F1579" s="4">
        <v>3942.18</v>
      </c>
      <c r="G1579" s="5">
        <v>886.19</v>
      </c>
      <c r="H1579" s="6">
        <v>12</v>
      </c>
      <c r="I1579" s="2" t="s">
        <v>2116</v>
      </c>
    </row>
    <row r="1580" spans="2:9" x14ac:dyDescent="0.3">
      <c r="B1580" s="2" t="s">
        <v>1586</v>
      </c>
      <c r="C1580" s="3">
        <v>45482</v>
      </c>
      <c r="D1580" s="2" t="s">
        <v>2011</v>
      </c>
      <c r="E1580" s="2" t="s">
        <v>2063</v>
      </c>
      <c r="F1580" s="4">
        <v>4410.3900000000003</v>
      </c>
      <c r="G1580" s="5">
        <v>807.96</v>
      </c>
      <c r="H1580" s="6">
        <v>3</v>
      </c>
      <c r="I1580" s="2" t="s">
        <v>2118</v>
      </c>
    </row>
    <row r="1581" spans="2:9" x14ac:dyDescent="0.3">
      <c r="B1581" s="2" t="s">
        <v>1587</v>
      </c>
      <c r="C1581" s="3">
        <v>44098</v>
      </c>
      <c r="D1581" s="2" t="s">
        <v>2010</v>
      </c>
      <c r="E1581" s="2" t="s">
        <v>2062</v>
      </c>
      <c r="F1581" s="4">
        <v>2248.39</v>
      </c>
      <c r="G1581" s="5">
        <v>844.82</v>
      </c>
      <c r="H1581" s="6">
        <v>5</v>
      </c>
      <c r="I1581" s="2" t="s">
        <v>2116</v>
      </c>
    </row>
    <row r="1582" spans="2:9" x14ac:dyDescent="0.3">
      <c r="B1582" s="2" t="s">
        <v>1588</v>
      </c>
      <c r="C1582" s="3">
        <v>45522</v>
      </c>
      <c r="D1582" s="2" t="s">
        <v>2009</v>
      </c>
      <c r="E1582" s="2" t="s">
        <v>2021</v>
      </c>
      <c r="F1582" s="4">
        <v>4623.46</v>
      </c>
      <c r="G1582" s="5">
        <v>591.44000000000005</v>
      </c>
      <c r="H1582" s="6">
        <v>18</v>
      </c>
      <c r="I1582" s="2" t="s">
        <v>2116</v>
      </c>
    </row>
    <row r="1583" spans="2:9" x14ac:dyDescent="0.3">
      <c r="B1583" s="2" t="s">
        <v>1589</v>
      </c>
      <c r="C1583" s="3">
        <v>45176</v>
      </c>
      <c r="D1583" s="2" t="s">
        <v>2011</v>
      </c>
      <c r="E1583" s="2" t="s">
        <v>2092</v>
      </c>
      <c r="F1583" s="4">
        <v>2557.15</v>
      </c>
      <c r="G1583" s="5">
        <v>897.56</v>
      </c>
      <c r="H1583" s="6">
        <v>7</v>
      </c>
      <c r="I1583" s="2" t="s">
        <v>2118</v>
      </c>
    </row>
    <row r="1584" spans="2:9" x14ac:dyDescent="0.3">
      <c r="B1584" s="2" t="s">
        <v>1590</v>
      </c>
      <c r="C1584" s="3">
        <v>44268</v>
      </c>
      <c r="D1584" s="2" t="s">
        <v>2010</v>
      </c>
      <c r="E1584" s="2" t="s">
        <v>2090</v>
      </c>
      <c r="F1584" s="4">
        <v>3310.18</v>
      </c>
      <c r="G1584" s="5">
        <v>795.14</v>
      </c>
      <c r="H1584" s="6">
        <v>10</v>
      </c>
      <c r="I1584" s="2" t="s">
        <v>2117</v>
      </c>
    </row>
    <row r="1585" spans="2:9" x14ac:dyDescent="0.3">
      <c r="B1585" s="2" t="s">
        <v>1591</v>
      </c>
      <c r="C1585" s="3">
        <v>45283</v>
      </c>
      <c r="D1585" s="2" t="s">
        <v>2009</v>
      </c>
      <c r="E1585" s="2" t="s">
        <v>2088</v>
      </c>
      <c r="F1585" s="4">
        <v>2771.97</v>
      </c>
      <c r="G1585" s="5">
        <v>49.88</v>
      </c>
      <c r="H1585" s="6">
        <v>18</v>
      </c>
      <c r="I1585" s="2" t="s">
        <v>2116</v>
      </c>
    </row>
    <row r="1586" spans="2:9" x14ac:dyDescent="0.3">
      <c r="B1586" s="2" t="s">
        <v>1592</v>
      </c>
      <c r="C1586" s="3">
        <v>44513</v>
      </c>
      <c r="D1586" s="2" t="s">
        <v>2010</v>
      </c>
      <c r="E1586" s="2" t="s">
        <v>2040</v>
      </c>
      <c r="F1586" s="4">
        <v>1431.47</v>
      </c>
      <c r="G1586" s="5">
        <v>167.58</v>
      </c>
      <c r="H1586" s="6">
        <v>14</v>
      </c>
      <c r="I1586" s="2" t="s">
        <v>2117</v>
      </c>
    </row>
    <row r="1587" spans="2:9" x14ac:dyDescent="0.3">
      <c r="B1587" s="2" t="s">
        <v>1593</v>
      </c>
      <c r="C1587" s="3">
        <v>45583</v>
      </c>
      <c r="D1587" s="2" t="s">
        <v>2011</v>
      </c>
      <c r="E1587" s="2" t="s">
        <v>2090</v>
      </c>
      <c r="F1587" s="4">
        <v>3380.91</v>
      </c>
      <c r="G1587" s="5">
        <v>225.95</v>
      </c>
      <c r="H1587" s="6">
        <v>12</v>
      </c>
      <c r="I1587" s="2" t="s">
        <v>2117</v>
      </c>
    </row>
    <row r="1588" spans="2:9" x14ac:dyDescent="0.3">
      <c r="B1588" s="2" t="s">
        <v>1594</v>
      </c>
      <c r="C1588" s="3">
        <v>45393</v>
      </c>
      <c r="D1588" s="2" t="s">
        <v>2012</v>
      </c>
      <c r="E1588" s="2" t="s">
        <v>2105</v>
      </c>
      <c r="F1588" s="4">
        <v>4743.93</v>
      </c>
      <c r="G1588" s="5">
        <v>762.15</v>
      </c>
      <c r="H1588" s="6">
        <v>1</v>
      </c>
      <c r="I1588" s="2" t="s">
        <v>2118</v>
      </c>
    </row>
    <row r="1589" spans="2:9" x14ac:dyDescent="0.3">
      <c r="B1589" s="2" t="s">
        <v>1595</v>
      </c>
      <c r="C1589" s="3">
        <v>45316</v>
      </c>
      <c r="D1589" s="2" t="s">
        <v>2012</v>
      </c>
      <c r="E1589" s="2" t="s">
        <v>2040</v>
      </c>
      <c r="F1589" s="4">
        <v>4034.09</v>
      </c>
      <c r="G1589" s="5">
        <v>947.57</v>
      </c>
      <c r="H1589" s="6">
        <v>11</v>
      </c>
      <c r="I1589" s="2" t="s">
        <v>2117</v>
      </c>
    </row>
    <row r="1590" spans="2:9" x14ac:dyDescent="0.3">
      <c r="B1590" s="2" t="s">
        <v>1596</v>
      </c>
      <c r="C1590" s="3">
        <v>45439</v>
      </c>
      <c r="D1590" s="2" t="s">
        <v>2012</v>
      </c>
      <c r="E1590" s="2" t="s">
        <v>2099</v>
      </c>
      <c r="F1590" s="4">
        <v>2437.73</v>
      </c>
      <c r="G1590" s="5">
        <v>418.87</v>
      </c>
      <c r="H1590" s="6">
        <v>3</v>
      </c>
      <c r="I1590" s="2" t="s">
        <v>2116</v>
      </c>
    </row>
    <row r="1591" spans="2:9" x14ac:dyDescent="0.3">
      <c r="B1591" s="2" t="s">
        <v>1597</v>
      </c>
      <c r="C1591" s="3">
        <v>44653</v>
      </c>
      <c r="D1591" s="2" t="s">
        <v>2011</v>
      </c>
      <c r="E1591" s="2" t="s">
        <v>2095</v>
      </c>
      <c r="F1591" s="4">
        <v>1776.77</v>
      </c>
      <c r="G1591" s="5">
        <v>345.76</v>
      </c>
      <c r="H1591" s="6">
        <v>4</v>
      </c>
      <c r="I1591" s="2" t="s">
        <v>2118</v>
      </c>
    </row>
    <row r="1592" spans="2:9" x14ac:dyDescent="0.3">
      <c r="B1592" s="2" t="s">
        <v>1598</v>
      </c>
      <c r="C1592" s="3">
        <v>44547</v>
      </c>
      <c r="D1592" s="2" t="s">
        <v>2009</v>
      </c>
      <c r="E1592" s="2" t="s">
        <v>2097</v>
      </c>
      <c r="F1592" s="4">
        <v>2334.29</v>
      </c>
      <c r="G1592" s="5">
        <v>926.59</v>
      </c>
      <c r="H1592" s="6">
        <v>3</v>
      </c>
      <c r="I1592" s="2" t="s">
        <v>2116</v>
      </c>
    </row>
    <row r="1593" spans="2:9" x14ac:dyDescent="0.3">
      <c r="B1593" s="2" t="s">
        <v>1599</v>
      </c>
      <c r="C1593" s="3">
        <v>44388</v>
      </c>
      <c r="D1593" s="2" t="s">
        <v>2011</v>
      </c>
      <c r="E1593" s="2" t="s">
        <v>2028</v>
      </c>
      <c r="F1593" s="4">
        <v>1010.81</v>
      </c>
      <c r="G1593" s="5">
        <v>300.64</v>
      </c>
      <c r="H1593" s="6">
        <v>1</v>
      </c>
      <c r="I1593" s="2" t="s">
        <v>2116</v>
      </c>
    </row>
    <row r="1594" spans="2:9" x14ac:dyDescent="0.3">
      <c r="B1594" s="2" t="s">
        <v>1600</v>
      </c>
      <c r="C1594" s="3">
        <v>45090</v>
      </c>
      <c r="D1594" s="2" t="s">
        <v>2012</v>
      </c>
      <c r="E1594" s="2" t="s">
        <v>2044</v>
      </c>
      <c r="F1594" s="4">
        <v>4461.88</v>
      </c>
      <c r="G1594" s="5">
        <v>25.85</v>
      </c>
      <c r="H1594" s="6">
        <v>2</v>
      </c>
      <c r="I1594" s="2" t="s">
        <v>2118</v>
      </c>
    </row>
    <row r="1595" spans="2:9" x14ac:dyDescent="0.3">
      <c r="B1595" s="2" t="s">
        <v>1601</v>
      </c>
      <c r="C1595" s="3">
        <v>45084</v>
      </c>
      <c r="D1595" s="2" t="s">
        <v>2011</v>
      </c>
      <c r="E1595" s="2" t="s">
        <v>2028</v>
      </c>
      <c r="F1595" s="4">
        <v>2063.87</v>
      </c>
      <c r="G1595" s="5">
        <v>389.06</v>
      </c>
      <c r="H1595" s="6">
        <v>6</v>
      </c>
      <c r="I1595" s="2" t="s">
        <v>2116</v>
      </c>
    </row>
    <row r="1596" spans="2:9" x14ac:dyDescent="0.3">
      <c r="B1596" s="2" t="s">
        <v>1602</v>
      </c>
      <c r="C1596" s="3">
        <v>45247</v>
      </c>
      <c r="D1596" s="2" t="s">
        <v>2012</v>
      </c>
      <c r="E1596" s="2" t="s">
        <v>2071</v>
      </c>
      <c r="F1596" s="4">
        <v>611.76</v>
      </c>
      <c r="G1596" s="5">
        <v>724.14</v>
      </c>
      <c r="H1596" s="6">
        <v>15</v>
      </c>
      <c r="I1596" s="2" t="s">
        <v>2118</v>
      </c>
    </row>
    <row r="1597" spans="2:9" x14ac:dyDescent="0.3">
      <c r="B1597" s="2" t="s">
        <v>1603</v>
      </c>
      <c r="C1597" s="3">
        <v>45368</v>
      </c>
      <c r="D1597" s="2" t="s">
        <v>2011</v>
      </c>
      <c r="E1597" s="2" t="s">
        <v>2013</v>
      </c>
      <c r="F1597" s="4">
        <v>3019.36</v>
      </c>
      <c r="G1597" s="5">
        <v>222.67</v>
      </c>
      <c r="H1597" s="6">
        <v>6</v>
      </c>
      <c r="I1597" s="2" t="s">
        <v>2118</v>
      </c>
    </row>
    <row r="1598" spans="2:9" x14ac:dyDescent="0.3">
      <c r="B1598" s="2" t="s">
        <v>1604</v>
      </c>
      <c r="C1598" s="3">
        <v>45440</v>
      </c>
      <c r="D1598" s="2" t="s">
        <v>2010</v>
      </c>
      <c r="E1598" s="2" t="s">
        <v>2014</v>
      </c>
      <c r="F1598" s="4">
        <v>3309.13</v>
      </c>
      <c r="G1598" s="5">
        <v>419.09</v>
      </c>
      <c r="H1598" s="6">
        <v>12</v>
      </c>
      <c r="I1598" s="2" t="s">
        <v>2118</v>
      </c>
    </row>
    <row r="1599" spans="2:9" x14ac:dyDescent="0.3">
      <c r="B1599" s="2" t="s">
        <v>1605</v>
      </c>
      <c r="C1599" s="3">
        <v>43995</v>
      </c>
      <c r="D1599" s="2" t="s">
        <v>2009</v>
      </c>
      <c r="E1599" s="2" t="s">
        <v>2043</v>
      </c>
      <c r="F1599" s="4">
        <v>2984.16</v>
      </c>
      <c r="G1599" s="5">
        <v>505.06</v>
      </c>
      <c r="H1599" s="6">
        <v>9</v>
      </c>
      <c r="I1599" s="2" t="s">
        <v>2117</v>
      </c>
    </row>
    <row r="1600" spans="2:9" x14ac:dyDescent="0.3">
      <c r="B1600" s="2" t="s">
        <v>1606</v>
      </c>
      <c r="C1600" s="3">
        <v>45144</v>
      </c>
      <c r="D1600" s="2" t="s">
        <v>2010</v>
      </c>
      <c r="E1600" s="2" t="s">
        <v>2042</v>
      </c>
      <c r="F1600" s="4">
        <v>3881.04</v>
      </c>
      <c r="G1600" s="5">
        <v>929.28</v>
      </c>
      <c r="H1600" s="6">
        <v>14</v>
      </c>
      <c r="I1600" s="2" t="s">
        <v>2116</v>
      </c>
    </row>
    <row r="1601" spans="2:9" x14ac:dyDescent="0.3">
      <c r="B1601" s="2" t="s">
        <v>1607</v>
      </c>
      <c r="C1601" s="3">
        <v>44943</v>
      </c>
      <c r="D1601" s="2" t="s">
        <v>2012</v>
      </c>
      <c r="E1601" s="2" t="s">
        <v>2081</v>
      </c>
      <c r="F1601" s="4">
        <v>1305.79</v>
      </c>
      <c r="G1601" s="5">
        <v>187.93</v>
      </c>
      <c r="H1601" s="6">
        <v>8</v>
      </c>
      <c r="I1601" s="2" t="s">
        <v>2118</v>
      </c>
    </row>
    <row r="1602" spans="2:9" x14ac:dyDescent="0.3">
      <c r="B1602" s="2" t="s">
        <v>1608</v>
      </c>
      <c r="C1602" s="3">
        <v>44390</v>
      </c>
      <c r="D1602" s="2" t="s">
        <v>2012</v>
      </c>
      <c r="E1602" s="2" t="s">
        <v>2040</v>
      </c>
      <c r="F1602" s="4">
        <v>123.53</v>
      </c>
      <c r="G1602" s="5">
        <v>615.41</v>
      </c>
      <c r="H1602" s="6">
        <v>18</v>
      </c>
      <c r="I1602" s="2" t="s">
        <v>2117</v>
      </c>
    </row>
    <row r="1603" spans="2:9" x14ac:dyDescent="0.3">
      <c r="B1603" s="2" t="s">
        <v>1609</v>
      </c>
      <c r="C1603" s="3">
        <v>44782</v>
      </c>
      <c r="D1603" s="2" t="s">
        <v>2009</v>
      </c>
      <c r="E1603" s="2" t="s">
        <v>2064</v>
      </c>
      <c r="F1603" s="4">
        <v>4700.99</v>
      </c>
      <c r="G1603" s="5">
        <v>445.82</v>
      </c>
      <c r="H1603" s="6">
        <v>20</v>
      </c>
      <c r="I1603" s="2" t="s">
        <v>2117</v>
      </c>
    </row>
    <row r="1604" spans="2:9" x14ac:dyDescent="0.3">
      <c r="B1604" s="2" t="s">
        <v>1610</v>
      </c>
      <c r="C1604" s="3">
        <v>45195</v>
      </c>
      <c r="D1604" s="2" t="s">
        <v>2010</v>
      </c>
      <c r="E1604" s="2" t="s">
        <v>2105</v>
      </c>
      <c r="F1604" s="4">
        <v>1855.6</v>
      </c>
      <c r="G1604" s="5">
        <v>103.88</v>
      </c>
      <c r="H1604" s="6">
        <v>12</v>
      </c>
      <c r="I1604" s="2" t="s">
        <v>2118</v>
      </c>
    </row>
    <row r="1605" spans="2:9" x14ac:dyDescent="0.3">
      <c r="B1605" s="2" t="s">
        <v>1611</v>
      </c>
      <c r="C1605" s="3">
        <v>45174</v>
      </c>
      <c r="D1605" s="2" t="s">
        <v>2010</v>
      </c>
      <c r="E1605" s="2" t="s">
        <v>2092</v>
      </c>
      <c r="F1605" s="4">
        <v>338.5</v>
      </c>
      <c r="G1605" s="5">
        <v>868.62</v>
      </c>
      <c r="H1605" s="6">
        <v>15</v>
      </c>
      <c r="I1605" s="2" t="s">
        <v>2118</v>
      </c>
    </row>
    <row r="1606" spans="2:9" x14ac:dyDescent="0.3">
      <c r="B1606" s="2" t="s">
        <v>1612</v>
      </c>
      <c r="C1606" s="3">
        <v>45066</v>
      </c>
      <c r="D1606" s="2" t="s">
        <v>2012</v>
      </c>
      <c r="E1606" s="2" t="s">
        <v>2098</v>
      </c>
      <c r="F1606" s="4">
        <v>333.46</v>
      </c>
      <c r="G1606" s="5">
        <v>520.72</v>
      </c>
      <c r="H1606" s="6">
        <v>8</v>
      </c>
      <c r="I1606" s="2" t="s">
        <v>2118</v>
      </c>
    </row>
    <row r="1607" spans="2:9" x14ac:dyDescent="0.3">
      <c r="B1607" s="2" t="s">
        <v>1613</v>
      </c>
      <c r="C1607" s="3">
        <v>43993</v>
      </c>
      <c r="D1607" s="2" t="s">
        <v>2011</v>
      </c>
      <c r="E1607" s="2" t="s">
        <v>2069</v>
      </c>
      <c r="F1607" s="4">
        <v>4689.13</v>
      </c>
      <c r="G1607" s="5">
        <v>300.64999999999998</v>
      </c>
      <c r="H1607" s="6">
        <v>6</v>
      </c>
      <c r="I1607" s="2" t="s">
        <v>2118</v>
      </c>
    </row>
    <row r="1608" spans="2:9" x14ac:dyDescent="0.3">
      <c r="B1608" s="2" t="s">
        <v>1614</v>
      </c>
      <c r="C1608" s="3">
        <v>45541</v>
      </c>
      <c r="D1608" s="2" t="s">
        <v>2010</v>
      </c>
      <c r="E1608" s="2" t="s">
        <v>2097</v>
      </c>
      <c r="F1608" s="4">
        <v>485.47</v>
      </c>
      <c r="G1608" s="5">
        <v>68.069999999999993</v>
      </c>
      <c r="H1608" s="6">
        <v>2</v>
      </c>
      <c r="I1608" s="2" t="s">
        <v>2118</v>
      </c>
    </row>
    <row r="1609" spans="2:9" x14ac:dyDescent="0.3">
      <c r="B1609" s="2" t="s">
        <v>1615</v>
      </c>
      <c r="C1609" s="3">
        <v>44755</v>
      </c>
      <c r="D1609" s="2" t="s">
        <v>2011</v>
      </c>
      <c r="E1609" s="2" t="s">
        <v>2072</v>
      </c>
      <c r="F1609" s="4">
        <v>2017.54</v>
      </c>
      <c r="G1609" s="5">
        <v>168.8</v>
      </c>
      <c r="H1609" s="6">
        <v>1</v>
      </c>
      <c r="I1609" s="2" t="s">
        <v>2118</v>
      </c>
    </row>
    <row r="1610" spans="2:9" x14ac:dyDescent="0.3">
      <c r="B1610" s="2" t="s">
        <v>1616</v>
      </c>
      <c r="C1610" s="3">
        <v>43908</v>
      </c>
      <c r="D1610" s="2" t="s">
        <v>2009</v>
      </c>
      <c r="E1610" s="2" t="s">
        <v>2035</v>
      </c>
      <c r="F1610" s="4">
        <v>1262.21</v>
      </c>
      <c r="G1610" s="5">
        <v>319.02999999999997</v>
      </c>
      <c r="H1610" s="6">
        <v>3</v>
      </c>
      <c r="I1610" s="2" t="s">
        <v>2116</v>
      </c>
    </row>
    <row r="1611" spans="2:9" x14ac:dyDescent="0.3">
      <c r="B1611" s="2" t="s">
        <v>1617</v>
      </c>
      <c r="C1611" s="3">
        <v>43884</v>
      </c>
      <c r="D1611" s="2" t="s">
        <v>2010</v>
      </c>
      <c r="E1611" s="2" t="s">
        <v>2058</v>
      </c>
      <c r="F1611" s="4">
        <v>3517.16</v>
      </c>
      <c r="G1611" s="5">
        <v>710.61</v>
      </c>
      <c r="H1611" s="6">
        <v>13</v>
      </c>
      <c r="I1611" s="2" t="s">
        <v>2116</v>
      </c>
    </row>
    <row r="1612" spans="2:9" x14ac:dyDescent="0.3">
      <c r="B1612" s="2" t="s">
        <v>1618</v>
      </c>
      <c r="C1612" s="3">
        <v>45349</v>
      </c>
      <c r="D1612" s="2" t="s">
        <v>2010</v>
      </c>
      <c r="E1612" s="2" t="s">
        <v>2043</v>
      </c>
      <c r="F1612" s="4">
        <v>520.27</v>
      </c>
      <c r="G1612" s="5">
        <v>186.48</v>
      </c>
      <c r="H1612" s="6">
        <v>4</v>
      </c>
      <c r="I1612" s="2" t="s">
        <v>2116</v>
      </c>
    </row>
    <row r="1613" spans="2:9" x14ac:dyDescent="0.3">
      <c r="B1613" s="2" t="s">
        <v>1619</v>
      </c>
      <c r="C1613" s="3">
        <v>44700</v>
      </c>
      <c r="D1613" s="2" t="s">
        <v>2009</v>
      </c>
      <c r="E1613" s="2" t="s">
        <v>2077</v>
      </c>
      <c r="F1613" s="4">
        <v>2949.05</v>
      </c>
      <c r="G1613" s="5">
        <v>465.24</v>
      </c>
      <c r="H1613" s="6">
        <v>15</v>
      </c>
      <c r="I1613" s="2" t="s">
        <v>2118</v>
      </c>
    </row>
    <row r="1614" spans="2:9" x14ac:dyDescent="0.3">
      <c r="B1614" s="2" t="s">
        <v>1620</v>
      </c>
      <c r="C1614" s="3">
        <v>44459</v>
      </c>
      <c r="D1614" s="2" t="s">
        <v>2009</v>
      </c>
      <c r="E1614" s="2" t="s">
        <v>2081</v>
      </c>
      <c r="F1614" s="4">
        <v>2522.81</v>
      </c>
      <c r="G1614" s="5">
        <v>691.85</v>
      </c>
      <c r="H1614" s="6">
        <v>15</v>
      </c>
      <c r="I1614" s="2" t="s">
        <v>2117</v>
      </c>
    </row>
    <row r="1615" spans="2:9" x14ac:dyDescent="0.3">
      <c r="B1615" s="2" t="s">
        <v>1621</v>
      </c>
      <c r="C1615" s="3">
        <v>44664</v>
      </c>
      <c r="D1615" s="2" t="s">
        <v>2009</v>
      </c>
      <c r="E1615" s="2" t="s">
        <v>2020</v>
      </c>
      <c r="F1615" s="4">
        <v>3356.96</v>
      </c>
      <c r="G1615" s="5">
        <v>720.63</v>
      </c>
      <c r="H1615" s="6">
        <v>15</v>
      </c>
      <c r="I1615" s="2" t="s">
        <v>2117</v>
      </c>
    </row>
    <row r="1616" spans="2:9" x14ac:dyDescent="0.3">
      <c r="B1616" s="2" t="s">
        <v>1622</v>
      </c>
      <c r="C1616" s="3">
        <v>44017</v>
      </c>
      <c r="D1616" s="2" t="s">
        <v>2011</v>
      </c>
      <c r="E1616" s="2" t="s">
        <v>2069</v>
      </c>
      <c r="F1616" s="4">
        <v>1485.94</v>
      </c>
      <c r="G1616" s="5">
        <v>174.38</v>
      </c>
      <c r="H1616" s="6">
        <v>3</v>
      </c>
      <c r="I1616" s="2" t="s">
        <v>2117</v>
      </c>
    </row>
    <row r="1617" spans="2:9" x14ac:dyDescent="0.3">
      <c r="B1617" s="2" t="s">
        <v>1623</v>
      </c>
      <c r="C1617" s="3">
        <v>45452</v>
      </c>
      <c r="D1617" s="2" t="s">
        <v>2011</v>
      </c>
      <c r="E1617" s="2" t="s">
        <v>2053</v>
      </c>
      <c r="F1617" s="4">
        <v>2430.66</v>
      </c>
      <c r="G1617" s="5">
        <v>275.61</v>
      </c>
      <c r="H1617" s="6">
        <v>6</v>
      </c>
      <c r="I1617" s="2" t="s">
        <v>2117</v>
      </c>
    </row>
    <row r="1618" spans="2:9" x14ac:dyDescent="0.3">
      <c r="B1618" s="2" t="s">
        <v>1624</v>
      </c>
      <c r="C1618" s="3">
        <v>44635</v>
      </c>
      <c r="D1618" s="2" t="s">
        <v>2011</v>
      </c>
      <c r="E1618" s="2" t="s">
        <v>2055</v>
      </c>
      <c r="F1618" s="4">
        <v>2257.79</v>
      </c>
      <c r="G1618" s="5">
        <v>329.42</v>
      </c>
      <c r="H1618" s="6">
        <v>15</v>
      </c>
      <c r="I1618" s="2" t="s">
        <v>2117</v>
      </c>
    </row>
    <row r="1619" spans="2:9" x14ac:dyDescent="0.3">
      <c r="B1619" s="2" t="s">
        <v>1625</v>
      </c>
      <c r="C1619" s="3">
        <v>45058</v>
      </c>
      <c r="D1619" s="2" t="s">
        <v>2012</v>
      </c>
      <c r="E1619" s="2" t="s">
        <v>2042</v>
      </c>
      <c r="F1619" s="4">
        <v>3569.08</v>
      </c>
      <c r="G1619" s="5">
        <v>317.25</v>
      </c>
      <c r="H1619" s="6">
        <v>13</v>
      </c>
      <c r="I1619" s="2" t="s">
        <v>2118</v>
      </c>
    </row>
    <row r="1620" spans="2:9" x14ac:dyDescent="0.3">
      <c r="B1620" s="2" t="s">
        <v>1626</v>
      </c>
      <c r="C1620" s="3">
        <v>44864</v>
      </c>
      <c r="D1620" s="2" t="s">
        <v>2009</v>
      </c>
      <c r="E1620" s="2" t="s">
        <v>2038</v>
      </c>
      <c r="F1620" s="4">
        <v>4651.1400000000003</v>
      </c>
      <c r="G1620" s="5">
        <v>688.58</v>
      </c>
      <c r="H1620" s="6">
        <v>17</v>
      </c>
      <c r="I1620" s="2" t="s">
        <v>2116</v>
      </c>
    </row>
    <row r="1621" spans="2:9" x14ac:dyDescent="0.3">
      <c r="B1621" s="2" t="s">
        <v>1627</v>
      </c>
      <c r="C1621" s="3">
        <v>44457</v>
      </c>
      <c r="D1621" s="2" t="s">
        <v>2010</v>
      </c>
      <c r="E1621" s="2" t="s">
        <v>2013</v>
      </c>
      <c r="F1621" s="4">
        <v>4734.2299999999996</v>
      </c>
      <c r="G1621" s="5">
        <v>912.86</v>
      </c>
      <c r="H1621" s="6">
        <v>7</v>
      </c>
      <c r="I1621" s="2" t="s">
        <v>2118</v>
      </c>
    </row>
    <row r="1622" spans="2:9" x14ac:dyDescent="0.3">
      <c r="B1622" s="2" t="s">
        <v>1628</v>
      </c>
      <c r="C1622" s="3">
        <v>44470</v>
      </c>
      <c r="D1622" s="2" t="s">
        <v>2010</v>
      </c>
      <c r="E1622" s="2" t="s">
        <v>2028</v>
      </c>
      <c r="F1622" s="4">
        <v>4174.5200000000004</v>
      </c>
      <c r="G1622" s="5">
        <v>906.08</v>
      </c>
      <c r="H1622" s="6">
        <v>9</v>
      </c>
      <c r="I1622" s="2" t="s">
        <v>2117</v>
      </c>
    </row>
    <row r="1623" spans="2:9" x14ac:dyDescent="0.3">
      <c r="B1623" s="2" t="s">
        <v>1629</v>
      </c>
      <c r="C1623" s="3">
        <v>44151</v>
      </c>
      <c r="D1623" s="2" t="s">
        <v>2011</v>
      </c>
      <c r="E1623" s="2" t="s">
        <v>2062</v>
      </c>
      <c r="F1623" s="4">
        <v>3294.28</v>
      </c>
      <c r="G1623" s="5">
        <v>755.01</v>
      </c>
      <c r="H1623" s="6">
        <v>2</v>
      </c>
      <c r="I1623" s="2" t="s">
        <v>2116</v>
      </c>
    </row>
    <row r="1624" spans="2:9" x14ac:dyDescent="0.3">
      <c r="B1624" s="2" t="s">
        <v>1630</v>
      </c>
      <c r="C1624" s="3">
        <v>44381</v>
      </c>
      <c r="D1624" s="2" t="s">
        <v>2009</v>
      </c>
      <c r="E1624" s="2" t="s">
        <v>2041</v>
      </c>
      <c r="F1624" s="4">
        <v>1026.75</v>
      </c>
      <c r="G1624" s="5">
        <v>527.44000000000005</v>
      </c>
      <c r="H1624" s="6">
        <v>18</v>
      </c>
      <c r="I1624" s="2" t="s">
        <v>2117</v>
      </c>
    </row>
    <row r="1625" spans="2:9" x14ac:dyDescent="0.3">
      <c r="B1625" s="2" t="s">
        <v>1631</v>
      </c>
      <c r="C1625" s="3">
        <v>45230</v>
      </c>
      <c r="D1625" s="2" t="s">
        <v>2011</v>
      </c>
      <c r="E1625" s="2" t="s">
        <v>2072</v>
      </c>
      <c r="F1625" s="4">
        <v>4427.2700000000004</v>
      </c>
      <c r="G1625" s="5">
        <v>979.71</v>
      </c>
      <c r="H1625" s="6">
        <v>2</v>
      </c>
      <c r="I1625" s="2" t="s">
        <v>2118</v>
      </c>
    </row>
    <row r="1626" spans="2:9" x14ac:dyDescent="0.3">
      <c r="B1626" s="2" t="s">
        <v>1632</v>
      </c>
      <c r="C1626" s="3">
        <v>44750</v>
      </c>
      <c r="D1626" s="2" t="s">
        <v>2009</v>
      </c>
      <c r="E1626" s="2" t="s">
        <v>2092</v>
      </c>
      <c r="F1626" s="4">
        <v>1509.71</v>
      </c>
      <c r="G1626" s="5">
        <v>618.79</v>
      </c>
      <c r="H1626" s="6">
        <v>6</v>
      </c>
      <c r="I1626" s="2" t="s">
        <v>2117</v>
      </c>
    </row>
    <row r="1627" spans="2:9" x14ac:dyDescent="0.3">
      <c r="B1627" s="2" t="s">
        <v>1633</v>
      </c>
      <c r="C1627" s="3">
        <v>45076</v>
      </c>
      <c r="D1627" s="2" t="s">
        <v>2009</v>
      </c>
      <c r="E1627" s="2" t="s">
        <v>2035</v>
      </c>
      <c r="F1627" s="4">
        <v>2051.46</v>
      </c>
      <c r="G1627" s="5">
        <v>965.63</v>
      </c>
      <c r="H1627" s="6">
        <v>19</v>
      </c>
      <c r="I1627" s="2" t="s">
        <v>2117</v>
      </c>
    </row>
    <row r="1628" spans="2:9" x14ac:dyDescent="0.3">
      <c r="B1628" s="2" t="s">
        <v>1634</v>
      </c>
      <c r="C1628" s="3">
        <v>44101</v>
      </c>
      <c r="D1628" s="2" t="s">
        <v>2009</v>
      </c>
      <c r="E1628" s="2" t="s">
        <v>2079</v>
      </c>
      <c r="F1628" s="4">
        <v>4807.4799999999996</v>
      </c>
      <c r="G1628" s="5">
        <v>379.33</v>
      </c>
      <c r="H1628" s="6">
        <v>13</v>
      </c>
      <c r="I1628" s="2" t="s">
        <v>2116</v>
      </c>
    </row>
    <row r="1629" spans="2:9" x14ac:dyDescent="0.3">
      <c r="B1629" s="2" t="s">
        <v>1635</v>
      </c>
      <c r="C1629" s="3">
        <v>43969</v>
      </c>
      <c r="D1629" s="2" t="s">
        <v>2010</v>
      </c>
      <c r="E1629" s="2" t="s">
        <v>2041</v>
      </c>
      <c r="F1629" s="4">
        <v>1779.93</v>
      </c>
      <c r="G1629" s="5">
        <v>938.16</v>
      </c>
      <c r="H1629" s="6">
        <v>1</v>
      </c>
      <c r="I1629" s="2" t="s">
        <v>2117</v>
      </c>
    </row>
    <row r="1630" spans="2:9" x14ac:dyDescent="0.3">
      <c r="B1630" s="2" t="s">
        <v>1636</v>
      </c>
      <c r="C1630" s="3">
        <v>45387</v>
      </c>
      <c r="D1630" s="2" t="s">
        <v>2012</v>
      </c>
      <c r="E1630" s="2" t="s">
        <v>2015</v>
      </c>
      <c r="F1630" s="4">
        <v>1130.21</v>
      </c>
      <c r="G1630" s="5">
        <v>902.5</v>
      </c>
      <c r="H1630" s="6">
        <v>8</v>
      </c>
      <c r="I1630" s="2" t="s">
        <v>2118</v>
      </c>
    </row>
    <row r="1631" spans="2:9" x14ac:dyDescent="0.3">
      <c r="B1631" s="2" t="s">
        <v>1637</v>
      </c>
      <c r="C1631" s="3">
        <v>44654</v>
      </c>
      <c r="D1631" s="2" t="s">
        <v>2009</v>
      </c>
      <c r="E1631" s="2" t="s">
        <v>2029</v>
      </c>
      <c r="F1631" s="4">
        <v>3441.89</v>
      </c>
      <c r="G1631" s="5">
        <v>122.51</v>
      </c>
      <c r="H1631" s="6">
        <v>11</v>
      </c>
      <c r="I1631" s="2" t="s">
        <v>2116</v>
      </c>
    </row>
    <row r="1632" spans="2:9" x14ac:dyDescent="0.3">
      <c r="B1632" s="2" t="s">
        <v>1638</v>
      </c>
      <c r="C1632" s="3">
        <v>44843</v>
      </c>
      <c r="D1632" s="2" t="s">
        <v>2011</v>
      </c>
      <c r="E1632" s="2" t="s">
        <v>2027</v>
      </c>
      <c r="F1632" s="4">
        <v>1562.05</v>
      </c>
      <c r="G1632" s="5">
        <v>254.51</v>
      </c>
      <c r="H1632" s="6">
        <v>19</v>
      </c>
      <c r="I1632" s="2" t="s">
        <v>2118</v>
      </c>
    </row>
    <row r="1633" spans="2:9" x14ac:dyDescent="0.3">
      <c r="B1633" s="2" t="s">
        <v>1639</v>
      </c>
      <c r="C1633" s="3">
        <v>44458</v>
      </c>
      <c r="D1633" s="2" t="s">
        <v>2010</v>
      </c>
      <c r="E1633" s="2" t="s">
        <v>2049</v>
      </c>
      <c r="F1633" s="4">
        <v>2586.15</v>
      </c>
      <c r="G1633" s="5">
        <v>333.57</v>
      </c>
      <c r="H1633" s="6">
        <v>14</v>
      </c>
      <c r="I1633" s="2" t="s">
        <v>2117</v>
      </c>
    </row>
    <row r="1634" spans="2:9" x14ac:dyDescent="0.3">
      <c r="B1634" s="2" t="s">
        <v>1640</v>
      </c>
      <c r="C1634" s="3">
        <v>44305</v>
      </c>
      <c r="D1634" s="2" t="s">
        <v>2012</v>
      </c>
      <c r="E1634" s="2" t="s">
        <v>2089</v>
      </c>
      <c r="F1634" s="4">
        <v>4264.6499999999996</v>
      </c>
      <c r="G1634" s="5">
        <v>532.12</v>
      </c>
      <c r="H1634" s="6">
        <v>7</v>
      </c>
      <c r="I1634" s="2" t="s">
        <v>2117</v>
      </c>
    </row>
    <row r="1635" spans="2:9" x14ac:dyDescent="0.3">
      <c r="B1635" s="2" t="s">
        <v>1641</v>
      </c>
      <c r="C1635" s="3">
        <v>45411</v>
      </c>
      <c r="D1635" s="2" t="s">
        <v>2010</v>
      </c>
      <c r="E1635" s="2" t="s">
        <v>2051</v>
      </c>
      <c r="F1635" s="4">
        <v>907.88</v>
      </c>
      <c r="G1635" s="5">
        <v>36.18</v>
      </c>
      <c r="H1635" s="6">
        <v>19</v>
      </c>
      <c r="I1635" s="2" t="s">
        <v>2116</v>
      </c>
    </row>
    <row r="1636" spans="2:9" x14ac:dyDescent="0.3">
      <c r="B1636" s="2" t="s">
        <v>1642</v>
      </c>
      <c r="C1636" s="3">
        <v>45324</v>
      </c>
      <c r="D1636" s="2" t="s">
        <v>2009</v>
      </c>
      <c r="E1636" s="2" t="s">
        <v>2029</v>
      </c>
      <c r="F1636" s="4">
        <v>676.17</v>
      </c>
      <c r="G1636" s="5">
        <v>144.02000000000001</v>
      </c>
      <c r="H1636" s="6">
        <v>9</v>
      </c>
      <c r="I1636" s="2" t="s">
        <v>2118</v>
      </c>
    </row>
    <row r="1637" spans="2:9" x14ac:dyDescent="0.3">
      <c r="B1637" s="2" t="s">
        <v>1643</v>
      </c>
      <c r="C1637" s="3">
        <v>44596</v>
      </c>
      <c r="D1637" s="2" t="s">
        <v>2012</v>
      </c>
      <c r="E1637" s="2" t="s">
        <v>2089</v>
      </c>
      <c r="F1637" s="4">
        <v>4805.2</v>
      </c>
      <c r="G1637" s="5">
        <v>106.18</v>
      </c>
      <c r="H1637" s="6">
        <v>11</v>
      </c>
      <c r="I1637" s="2" t="s">
        <v>2116</v>
      </c>
    </row>
    <row r="1638" spans="2:9" x14ac:dyDescent="0.3">
      <c r="B1638" s="2" t="s">
        <v>1644</v>
      </c>
      <c r="C1638" s="3">
        <v>45117</v>
      </c>
      <c r="D1638" s="2" t="s">
        <v>2009</v>
      </c>
      <c r="E1638" s="2" t="s">
        <v>2053</v>
      </c>
      <c r="F1638" s="4">
        <v>3239.64</v>
      </c>
      <c r="G1638" s="5">
        <v>113.9</v>
      </c>
      <c r="H1638" s="6">
        <v>13</v>
      </c>
      <c r="I1638" s="2" t="s">
        <v>2117</v>
      </c>
    </row>
    <row r="1639" spans="2:9" x14ac:dyDescent="0.3">
      <c r="B1639" s="2" t="s">
        <v>1645</v>
      </c>
      <c r="C1639" s="3">
        <v>43914</v>
      </c>
      <c r="D1639" s="2" t="s">
        <v>2009</v>
      </c>
      <c r="E1639" s="2" t="s">
        <v>2070</v>
      </c>
      <c r="F1639" s="4">
        <v>3668.66</v>
      </c>
      <c r="G1639" s="5">
        <v>175.93</v>
      </c>
      <c r="H1639" s="6">
        <v>8</v>
      </c>
      <c r="I1639" s="2" t="s">
        <v>2117</v>
      </c>
    </row>
    <row r="1640" spans="2:9" x14ac:dyDescent="0.3">
      <c r="B1640" s="2" t="s">
        <v>1646</v>
      </c>
      <c r="C1640" s="3">
        <v>45197</v>
      </c>
      <c r="D1640" s="2" t="s">
        <v>2011</v>
      </c>
      <c r="E1640" s="2" t="s">
        <v>2094</v>
      </c>
      <c r="F1640" s="4">
        <v>1124.23</v>
      </c>
      <c r="G1640" s="5">
        <v>564.27</v>
      </c>
      <c r="H1640" s="6">
        <v>6</v>
      </c>
      <c r="I1640" s="2" t="s">
        <v>2117</v>
      </c>
    </row>
    <row r="1641" spans="2:9" x14ac:dyDescent="0.3">
      <c r="B1641" s="2" t="s">
        <v>1647</v>
      </c>
      <c r="C1641" s="3">
        <v>44362</v>
      </c>
      <c r="D1641" s="2" t="s">
        <v>2009</v>
      </c>
      <c r="E1641" s="2" t="s">
        <v>2027</v>
      </c>
      <c r="F1641" s="4">
        <v>554.16</v>
      </c>
      <c r="G1641" s="5">
        <v>373.17</v>
      </c>
      <c r="H1641" s="6">
        <v>11</v>
      </c>
      <c r="I1641" s="2" t="s">
        <v>2116</v>
      </c>
    </row>
    <row r="1642" spans="2:9" x14ac:dyDescent="0.3">
      <c r="B1642" s="2" t="s">
        <v>1648</v>
      </c>
      <c r="C1642" s="3">
        <v>45316</v>
      </c>
      <c r="D1642" s="2" t="s">
        <v>2012</v>
      </c>
      <c r="E1642" s="2" t="s">
        <v>2019</v>
      </c>
      <c r="F1642" s="4">
        <v>3784.18</v>
      </c>
      <c r="G1642" s="5">
        <v>144.34</v>
      </c>
      <c r="H1642" s="6">
        <v>12</v>
      </c>
      <c r="I1642" s="2" t="s">
        <v>2116</v>
      </c>
    </row>
    <row r="1643" spans="2:9" x14ac:dyDescent="0.3">
      <c r="B1643" s="2" t="s">
        <v>1649</v>
      </c>
      <c r="C1643" s="3">
        <v>43949</v>
      </c>
      <c r="D1643" s="2" t="s">
        <v>2011</v>
      </c>
      <c r="E1643" s="2" t="s">
        <v>2070</v>
      </c>
      <c r="F1643" s="4">
        <v>3963.24</v>
      </c>
      <c r="G1643" s="5">
        <v>315.35000000000002</v>
      </c>
      <c r="H1643" s="6">
        <v>20</v>
      </c>
      <c r="I1643" s="2" t="s">
        <v>2116</v>
      </c>
    </row>
    <row r="1644" spans="2:9" x14ac:dyDescent="0.3">
      <c r="B1644" s="2" t="s">
        <v>1650</v>
      </c>
      <c r="C1644" s="3">
        <v>44295</v>
      </c>
      <c r="D1644" s="2" t="s">
        <v>2009</v>
      </c>
      <c r="E1644" s="2" t="s">
        <v>2101</v>
      </c>
      <c r="F1644" s="4">
        <v>4751.32</v>
      </c>
      <c r="G1644" s="5">
        <v>214.24</v>
      </c>
      <c r="H1644" s="6">
        <v>19</v>
      </c>
      <c r="I1644" s="2" t="s">
        <v>2116</v>
      </c>
    </row>
    <row r="1645" spans="2:9" x14ac:dyDescent="0.3">
      <c r="B1645" s="2" t="s">
        <v>1651</v>
      </c>
      <c r="C1645" s="3">
        <v>44742</v>
      </c>
      <c r="D1645" s="2" t="s">
        <v>2010</v>
      </c>
      <c r="E1645" s="2" t="s">
        <v>2069</v>
      </c>
      <c r="F1645" s="4">
        <v>3849.76</v>
      </c>
      <c r="G1645" s="5">
        <v>149.75</v>
      </c>
      <c r="H1645" s="6">
        <v>9</v>
      </c>
      <c r="I1645" s="2" t="s">
        <v>2116</v>
      </c>
    </row>
    <row r="1646" spans="2:9" x14ac:dyDescent="0.3">
      <c r="B1646" s="2" t="s">
        <v>1652</v>
      </c>
      <c r="C1646" s="3">
        <v>44693</v>
      </c>
      <c r="D1646" s="2" t="s">
        <v>2009</v>
      </c>
      <c r="E1646" s="2" t="s">
        <v>2025</v>
      </c>
      <c r="F1646" s="4">
        <v>3070.29</v>
      </c>
      <c r="G1646" s="5">
        <v>100.72</v>
      </c>
      <c r="H1646" s="6">
        <v>17</v>
      </c>
      <c r="I1646" s="2" t="s">
        <v>2118</v>
      </c>
    </row>
    <row r="1647" spans="2:9" x14ac:dyDescent="0.3">
      <c r="B1647" s="2" t="s">
        <v>1653</v>
      </c>
      <c r="C1647" s="3">
        <v>44796</v>
      </c>
      <c r="D1647" s="2" t="s">
        <v>2012</v>
      </c>
      <c r="E1647" s="2" t="s">
        <v>2039</v>
      </c>
      <c r="F1647" s="4">
        <v>3235.66</v>
      </c>
      <c r="G1647" s="5">
        <v>694.32</v>
      </c>
      <c r="H1647" s="6">
        <v>11</v>
      </c>
      <c r="I1647" s="2" t="s">
        <v>2118</v>
      </c>
    </row>
    <row r="1648" spans="2:9" x14ac:dyDescent="0.3">
      <c r="B1648" s="2" t="s">
        <v>1654</v>
      </c>
      <c r="C1648" s="3">
        <v>45019</v>
      </c>
      <c r="D1648" s="2" t="s">
        <v>2012</v>
      </c>
      <c r="E1648" s="2" t="s">
        <v>2092</v>
      </c>
      <c r="F1648" s="4">
        <v>1732.52</v>
      </c>
      <c r="G1648" s="5">
        <v>815.38</v>
      </c>
      <c r="H1648" s="6">
        <v>3</v>
      </c>
      <c r="I1648" s="2" t="s">
        <v>2116</v>
      </c>
    </row>
    <row r="1649" spans="2:9" x14ac:dyDescent="0.3">
      <c r="B1649" s="2" t="s">
        <v>1655</v>
      </c>
      <c r="C1649" s="3">
        <v>45525</v>
      </c>
      <c r="D1649" s="2" t="s">
        <v>2009</v>
      </c>
      <c r="E1649" s="2" t="s">
        <v>2017</v>
      </c>
      <c r="F1649" s="4">
        <v>4202.53</v>
      </c>
      <c r="G1649" s="5">
        <v>259.08</v>
      </c>
      <c r="H1649" s="6">
        <v>6</v>
      </c>
      <c r="I1649" s="2" t="s">
        <v>2116</v>
      </c>
    </row>
    <row r="1650" spans="2:9" x14ac:dyDescent="0.3">
      <c r="B1650" s="2" t="s">
        <v>1656</v>
      </c>
      <c r="C1650" s="3">
        <v>45151</v>
      </c>
      <c r="D1650" s="2" t="s">
        <v>2010</v>
      </c>
      <c r="E1650" s="2" t="s">
        <v>2083</v>
      </c>
      <c r="F1650" s="4">
        <v>3598.83</v>
      </c>
      <c r="G1650" s="5">
        <v>276.49</v>
      </c>
      <c r="H1650" s="6">
        <v>9</v>
      </c>
      <c r="I1650" s="2" t="s">
        <v>2116</v>
      </c>
    </row>
    <row r="1651" spans="2:9" x14ac:dyDescent="0.3">
      <c r="B1651" s="2" t="s">
        <v>1657</v>
      </c>
      <c r="C1651" s="3">
        <v>43981</v>
      </c>
      <c r="D1651" s="2" t="s">
        <v>2009</v>
      </c>
      <c r="E1651" s="2" t="s">
        <v>2037</v>
      </c>
      <c r="F1651" s="4">
        <v>503.78</v>
      </c>
      <c r="G1651" s="5">
        <v>503.91</v>
      </c>
      <c r="H1651" s="6">
        <v>14</v>
      </c>
      <c r="I1651" s="2" t="s">
        <v>2117</v>
      </c>
    </row>
    <row r="1652" spans="2:9" x14ac:dyDescent="0.3">
      <c r="B1652" s="2" t="s">
        <v>1658</v>
      </c>
      <c r="C1652" s="3">
        <v>43865</v>
      </c>
      <c r="D1652" s="2" t="s">
        <v>2011</v>
      </c>
      <c r="E1652" s="2" t="s">
        <v>2098</v>
      </c>
      <c r="F1652" s="4">
        <v>3692.33</v>
      </c>
      <c r="G1652" s="5">
        <v>859.01</v>
      </c>
      <c r="H1652" s="6">
        <v>19</v>
      </c>
      <c r="I1652" s="2" t="s">
        <v>2118</v>
      </c>
    </row>
    <row r="1653" spans="2:9" x14ac:dyDescent="0.3">
      <c r="B1653" s="2" t="s">
        <v>1659</v>
      </c>
      <c r="C1653" s="3">
        <v>44369</v>
      </c>
      <c r="D1653" s="2" t="s">
        <v>2012</v>
      </c>
      <c r="E1653" s="2" t="s">
        <v>2033</v>
      </c>
      <c r="F1653" s="4">
        <v>4170.79</v>
      </c>
      <c r="G1653" s="5">
        <v>591.48</v>
      </c>
      <c r="H1653" s="6">
        <v>1</v>
      </c>
      <c r="I1653" s="2" t="s">
        <v>2118</v>
      </c>
    </row>
    <row r="1654" spans="2:9" x14ac:dyDescent="0.3">
      <c r="B1654" s="2" t="s">
        <v>1660</v>
      </c>
      <c r="C1654" s="3">
        <v>43909</v>
      </c>
      <c r="D1654" s="2" t="s">
        <v>2009</v>
      </c>
      <c r="E1654" s="2" t="s">
        <v>2059</v>
      </c>
      <c r="F1654" s="4">
        <v>3481.6</v>
      </c>
      <c r="G1654" s="5">
        <v>988.37</v>
      </c>
      <c r="H1654" s="6">
        <v>9</v>
      </c>
      <c r="I1654" s="2" t="s">
        <v>2117</v>
      </c>
    </row>
    <row r="1655" spans="2:9" x14ac:dyDescent="0.3">
      <c r="B1655" s="2" t="s">
        <v>1661</v>
      </c>
      <c r="C1655" s="3">
        <v>43961</v>
      </c>
      <c r="D1655" s="2" t="s">
        <v>2011</v>
      </c>
      <c r="E1655" s="2" t="s">
        <v>2084</v>
      </c>
      <c r="F1655" s="4">
        <v>1902.83</v>
      </c>
      <c r="G1655" s="5">
        <v>850.09</v>
      </c>
      <c r="H1655" s="6">
        <v>1</v>
      </c>
      <c r="I1655" s="2" t="s">
        <v>2116</v>
      </c>
    </row>
    <row r="1656" spans="2:9" x14ac:dyDescent="0.3">
      <c r="B1656" s="2" t="s">
        <v>1662</v>
      </c>
      <c r="C1656" s="3">
        <v>44032</v>
      </c>
      <c r="D1656" s="2" t="s">
        <v>2011</v>
      </c>
      <c r="E1656" s="2" t="s">
        <v>2046</v>
      </c>
      <c r="F1656" s="4">
        <v>366.98</v>
      </c>
      <c r="G1656" s="5">
        <v>710.02</v>
      </c>
      <c r="H1656" s="6">
        <v>16</v>
      </c>
      <c r="I1656" s="2" t="s">
        <v>2117</v>
      </c>
    </row>
    <row r="1657" spans="2:9" x14ac:dyDescent="0.3">
      <c r="B1657" s="2" t="s">
        <v>1663</v>
      </c>
      <c r="C1657" s="3">
        <v>44670</v>
      </c>
      <c r="D1657" s="2" t="s">
        <v>2009</v>
      </c>
      <c r="E1657" s="2" t="s">
        <v>2063</v>
      </c>
      <c r="F1657" s="4">
        <v>4291.3100000000004</v>
      </c>
      <c r="G1657" s="5">
        <v>524.92999999999995</v>
      </c>
      <c r="H1657" s="6">
        <v>12</v>
      </c>
      <c r="I1657" s="2" t="s">
        <v>2118</v>
      </c>
    </row>
    <row r="1658" spans="2:9" x14ac:dyDescent="0.3">
      <c r="B1658" s="2" t="s">
        <v>1664</v>
      </c>
      <c r="C1658" s="3">
        <v>45108</v>
      </c>
      <c r="D1658" s="2" t="s">
        <v>2011</v>
      </c>
      <c r="E1658" s="2" t="s">
        <v>2026</v>
      </c>
      <c r="F1658" s="4">
        <v>4382.28</v>
      </c>
      <c r="G1658" s="5">
        <v>616.6</v>
      </c>
      <c r="H1658" s="6">
        <v>11</v>
      </c>
      <c r="I1658" s="2" t="s">
        <v>2118</v>
      </c>
    </row>
    <row r="1659" spans="2:9" x14ac:dyDescent="0.3">
      <c r="B1659" s="2" t="s">
        <v>1665</v>
      </c>
      <c r="C1659" s="3">
        <v>44446</v>
      </c>
      <c r="D1659" s="2" t="s">
        <v>2012</v>
      </c>
      <c r="E1659" s="2" t="s">
        <v>2021</v>
      </c>
      <c r="F1659" s="4">
        <v>3033.36</v>
      </c>
      <c r="G1659" s="5">
        <v>157.22999999999999</v>
      </c>
      <c r="H1659" s="6">
        <v>14</v>
      </c>
      <c r="I1659" s="2" t="s">
        <v>2117</v>
      </c>
    </row>
    <row r="1660" spans="2:9" x14ac:dyDescent="0.3">
      <c r="B1660" s="2" t="s">
        <v>1666</v>
      </c>
      <c r="C1660" s="3">
        <v>44321</v>
      </c>
      <c r="D1660" s="2" t="s">
        <v>2010</v>
      </c>
      <c r="E1660" s="2" t="s">
        <v>2064</v>
      </c>
      <c r="F1660" s="4">
        <v>169.29</v>
      </c>
      <c r="G1660" s="5">
        <v>895.28</v>
      </c>
      <c r="H1660" s="6">
        <v>3</v>
      </c>
      <c r="I1660" s="2" t="s">
        <v>2117</v>
      </c>
    </row>
    <row r="1661" spans="2:9" x14ac:dyDescent="0.3">
      <c r="B1661" s="2" t="s">
        <v>1667</v>
      </c>
      <c r="C1661" s="3">
        <v>45576</v>
      </c>
      <c r="D1661" s="2" t="s">
        <v>2012</v>
      </c>
      <c r="E1661" s="2" t="s">
        <v>2085</v>
      </c>
      <c r="F1661" s="4">
        <v>2481.71</v>
      </c>
      <c r="G1661" s="5">
        <v>69.45</v>
      </c>
      <c r="H1661" s="6">
        <v>13</v>
      </c>
      <c r="I1661" s="2" t="s">
        <v>2117</v>
      </c>
    </row>
    <row r="1662" spans="2:9" x14ac:dyDescent="0.3">
      <c r="B1662" s="2" t="s">
        <v>1668</v>
      </c>
      <c r="C1662" s="3">
        <v>43854</v>
      </c>
      <c r="D1662" s="2" t="s">
        <v>2010</v>
      </c>
      <c r="E1662" s="2" t="s">
        <v>2036</v>
      </c>
      <c r="F1662" s="4">
        <v>4473.2700000000004</v>
      </c>
      <c r="G1662" s="5">
        <v>237.63</v>
      </c>
      <c r="H1662" s="6">
        <v>11</v>
      </c>
      <c r="I1662" s="2" t="s">
        <v>2118</v>
      </c>
    </row>
    <row r="1663" spans="2:9" x14ac:dyDescent="0.3">
      <c r="B1663" s="2" t="s">
        <v>1669</v>
      </c>
      <c r="C1663" s="3">
        <v>44301</v>
      </c>
      <c r="D1663" s="2" t="s">
        <v>2012</v>
      </c>
      <c r="E1663" s="2" t="s">
        <v>2013</v>
      </c>
      <c r="F1663" s="4">
        <v>4863.6499999999996</v>
      </c>
      <c r="G1663" s="5">
        <v>958.85</v>
      </c>
      <c r="H1663" s="6">
        <v>4</v>
      </c>
      <c r="I1663" s="2" t="s">
        <v>2117</v>
      </c>
    </row>
    <row r="1664" spans="2:9" x14ac:dyDescent="0.3">
      <c r="B1664" s="2" t="s">
        <v>1670</v>
      </c>
      <c r="C1664" s="3">
        <v>45276</v>
      </c>
      <c r="D1664" s="2" t="s">
        <v>2011</v>
      </c>
      <c r="E1664" s="2" t="s">
        <v>2018</v>
      </c>
      <c r="F1664" s="4">
        <v>4871.8999999999996</v>
      </c>
      <c r="G1664" s="5">
        <v>488.3</v>
      </c>
      <c r="H1664" s="6">
        <v>5</v>
      </c>
      <c r="I1664" s="2" t="s">
        <v>2118</v>
      </c>
    </row>
    <row r="1665" spans="2:9" x14ac:dyDescent="0.3">
      <c r="B1665" s="2" t="s">
        <v>1671</v>
      </c>
      <c r="C1665" s="3">
        <v>44101</v>
      </c>
      <c r="D1665" s="2" t="s">
        <v>2009</v>
      </c>
      <c r="E1665" s="2" t="s">
        <v>2082</v>
      </c>
      <c r="F1665" s="4">
        <v>4213.51</v>
      </c>
      <c r="G1665" s="5">
        <v>332.82</v>
      </c>
      <c r="H1665" s="6">
        <v>19</v>
      </c>
      <c r="I1665" s="2" t="s">
        <v>2117</v>
      </c>
    </row>
    <row r="1666" spans="2:9" x14ac:dyDescent="0.3">
      <c r="B1666" s="2" t="s">
        <v>1672</v>
      </c>
      <c r="C1666" s="3">
        <v>45264</v>
      </c>
      <c r="D1666" s="2" t="s">
        <v>2011</v>
      </c>
      <c r="E1666" s="2" t="s">
        <v>2033</v>
      </c>
      <c r="F1666" s="4">
        <v>4322.72</v>
      </c>
      <c r="G1666" s="5">
        <v>934.69</v>
      </c>
      <c r="H1666" s="6">
        <v>13</v>
      </c>
      <c r="I1666" s="2" t="s">
        <v>2117</v>
      </c>
    </row>
    <row r="1667" spans="2:9" x14ac:dyDescent="0.3">
      <c r="B1667" s="2" t="s">
        <v>1673</v>
      </c>
      <c r="C1667" s="3">
        <v>44400</v>
      </c>
      <c r="D1667" s="2" t="s">
        <v>2010</v>
      </c>
      <c r="E1667" s="2" t="s">
        <v>2111</v>
      </c>
      <c r="F1667" s="4">
        <v>2730.58</v>
      </c>
      <c r="G1667" s="5">
        <v>377.45</v>
      </c>
      <c r="H1667" s="6">
        <v>4</v>
      </c>
      <c r="I1667" s="2" t="s">
        <v>2117</v>
      </c>
    </row>
    <row r="1668" spans="2:9" x14ac:dyDescent="0.3">
      <c r="B1668" s="2" t="s">
        <v>1674</v>
      </c>
      <c r="C1668" s="3">
        <v>44038</v>
      </c>
      <c r="D1668" s="2" t="s">
        <v>2012</v>
      </c>
      <c r="E1668" s="2" t="s">
        <v>2073</v>
      </c>
      <c r="F1668" s="4">
        <v>3532.83</v>
      </c>
      <c r="G1668" s="5">
        <v>55.98</v>
      </c>
      <c r="H1668" s="6">
        <v>15</v>
      </c>
      <c r="I1668" s="2" t="s">
        <v>2118</v>
      </c>
    </row>
    <row r="1669" spans="2:9" x14ac:dyDescent="0.3">
      <c r="B1669" s="2" t="s">
        <v>1675</v>
      </c>
      <c r="C1669" s="3">
        <v>44945</v>
      </c>
      <c r="D1669" s="2" t="s">
        <v>2011</v>
      </c>
      <c r="E1669" s="2" t="s">
        <v>2073</v>
      </c>
      <c r="F1669" s="4">
        <v>711.2</v>
      </c>
      <c r="G1669" s="5">
        <v>814.98</v>
      </c>
      <c r="H1669" s="6">
        <v>14</v>
      </c>
      <c r="I1669" s="2" t="s">
        <v>2116</v>
      </c>
    </row>
    <row r="1670" spans="2:9" x14ac:dyDescent="0.3">
      <c r="B1670" s="2" t="s">
        <v>1676</v>
      </c>
      <c r="C1670" s="3">
        <v>44712</v>
      </c>
      <c r="D1670" s="2" t="s">
        <v>2009</v>
      </c>
      <c r="E1670" s="2" t="s">
        <v>2069</v>
      </c>
      <c r="F1670" s="4">
        <v>2120.2399999999998</v>
      </c>
      <c r="G1670" s="5">
        <v>103.67</v>
      </c>
      <c r="H1670" s="6">
        <v>5</v>
      </c>
      <c r="I1670" s="2" t="s">
        <v>2118</v>
      </c>
    </row>
    <row r="1671" spans="2:9" x14ac:dyDescent="0.3">
      <c r="B1671" s="2" t="s">
        <v>1677</v>
      </c>
      <c r="C1671" s="3">
        <v>44843</v>
      </c>
      <c r="D1671" s="2" t="s">
        <v>2009</v>
      </c>
      <c r="E1671" s="2" t="s">
        <v>2105</v>
      </c>
      <c r="F1671" s="4">
        <v>4495.75</v>
      </c>
      <c r="G1671" s="5">
        <v>261.26</v>
      </c>
      <c r="H1671" s="6">
        <v>20</v>
      </c>
      <c r="I1671" s="2" t="s">
        <v>2117</v>
      </c>
    </row>
    <row r="1672" spans="2:9" x14ac:dyDescent="0.3">
      <c r="B1672" s="2" t="s">
        <v>1678</v>
      </c>
      <c r="C1672" s="3">
        <v>43971</v>
      </c>
      <c r="D1672" s="2" t="s">
        <v>2012</v>
      </c>
      <c r="E1672" s="2" t="s">
        <v>2046</v>
      </c>
      <c r="F1672" s="4">
        <v>4446.51</v>
      </c>
      <c r="G1672" s="5">
        <v>795.47</v>
      </c>
      <c r="H1672" s="6">
        <v>1</v>
      </c>
      <c r="I1672" s="2" t="s">
        <v>2117</v>
      </c>
    </row>
    <row r="1673" spans="2:9" x14ac:dyDescent="0.3">
      <c r="B1673" s="2" t="s">
        <v>1679</v>
      </c>
      <c r="C1673" s="3">
        <v>44784</v>
      </c>
      <c r="D1673" s="2" t="s">
        <v>2010</v>
      </c>
      <c r="E1673" s="2" t="s">
        <v>2032</v>
      </c>
      <c r="F1673" s="4">
        <v>4456.7299999999996</v>
      </c>
      <c r="G1673" s="5">
        <v>252.69</v>
      </c>
      <c r="H1673" s="6">
        <v>5</v>
      </c>
      <c r="I1673" s="2" t="s">
        <v>2118</v>
      </c>
    </row>
    <row r="1674" spans="2:9" x14ac:dyDescent="0.3">
      <c r="B1674" s="2" t="s">
        <v>1680</v>
      </c>
      <c r="C1674" s="3">
        <v>45537</v>
      </c>
      <c r="D1674" s="2" t="s">
        <v>2011</v>
      </c>
      <c r="E1674" s="2" t="s">
        <v>2105</v>
      </c>
      <c r="F1674" s="4">
        <v>4924.74</v>
      </c>
      <c r="G1674" s="5">
        <v>185.59</v>
      </c>
      <c r="H1674" s="6">
        <v>4</v>
      </c>
      <c r="I1674" s="2" t="s">
        <v>2118</v>
      </c>
    </row>
    <row r="1675" spans="2:9" x14ac:dyDescent="0.3">
      <c r="B1675" s="2" t="s">
        <v>1681</v>
      </c>
      <c r="C1675" s="3">
        <v>45449</v>
      </c>
      <c r="D1675" s="2" t="s">
        <v>2011</v>
      </c>
      <c r="E1675" s="2" t="s">
        <v>2033</v>
      </c>
      <c r="F1675" s="4">
        <v>3966.13</v>
      </c>
      <c r="G1675" s="5">
        <v>133.59</v>
      </c>
      <c r="H1675" s="6">
        <v>12</v>
      </c>
      <c r="I1675" s="2" t="s">
        <v>2117</v>
      </c>
    </row>
    <row r="1676" spans="2:9" x14ac:dyDescent="0.3">
      <c r="B1676" s="2" t="s">
        <v>1682</v>
      </c>
      <c r="C1676" s="3">
        <v>44376</v>
      </c>
      <c r="D1676" s="2" t="s">
        <v>2012</v>
      </c>
      <c r="E1676" s="2" t="s">
        <v>2041</v>
      </c>
      <c r="F1676" s="4">
        <v>902.5</v>
      </c>
      <c r="G1676" s="5">
        <v>863.08</v>
      </c>
      <c r="H1676" s="6">
        <v>3</v>
      </c>
      <c r="I1676" s="2" t="s">
        <v>2118</v>
      </c>
    </row>
    <row r="1677" spans="2:9" x14ac:dyDescent="0.3">
      <c r="B1677" s="2" t="s">
        <v>1683</v>
      </c>
      <c r="C1677" s="3">
        <v>44776</v>
      </c>
      <c r="D1677" s="2" t="s">
        <v>2011</v>
      </c>
      <c r="E1677" s="2" t="s">
        <v>2035</v>
      </c>
      <c r="F1677" s="4">
        <v>1731.43</v>
      </c>
      <c r="G1677" s="5">
        <v>996.99</v>
      </c>
      <c r="H1677" s="6">
        <v>3</v>
      </c>
      <c r="I1677" s="2" t="s">
        <v>2117</v>
      </c>
    </row>
    <row r="1678" spans="2:9" x14ac:dyDescent="0.3">
      <c r="B1678" s="2" t="s">
        <v>1684</v>
      </c>
      <c r="C1678" s="3">
        <v>45138</v>
      </c>
      <c r="D1678" s="2" t="s">
        <v>2011</v>
      </c>
      <c r="E1678" s="2" t="s">
        <v>2025</v>
      </c>
      <c r="F1678" s="4">
        <v>3994.75</v>
      </c>
      <c r="G1678" s="5">
        <v>261.14999999999998</v>
      </c>
      <c r="H1678" s="6">
        <v>3</v>
      </c>
      <c r="I1678" s="2" t="s">
        <v>2116</v>
      </c>
    </row>
    <row r="1679" spans="2:9" x14ac:dyDescent="0.3">
      <c r="B1679" s="2" t="s">
        <v>1685</v>
      </c>
      <c r="C1679" s="3">
        <v>43978</v>
      </c>
      <c r="D1679" s="2" t="s">
        <v>2009</v>
      </c>
      <c r="E1679" s="2" t="s">
        <v>2061</v>
      </c>
      <c r="F1679" s="4">
        <v>149.61000000000001</v>
      </c>
      <c r="G1679" s="5">
        <v>34.71</v>
      </c>
      <c r="H1679" s="6">
        <v>2</v>
      </c>
      <c r="I1679" s="2" t="s">
        <v>2117</v>
      </c>
    </row>
    <row r="1680" spans="2:9" x14ac:dyDescent="0.3">
      <c r="B1680" s="2" t="s">
        <v>1686</v>
      </c>
      <c r="C1680" s="3">
        <v>44541</v>
      </c>
      <c r="D1680" s="2" t="s">
        <v>2012</v>
      </c>
      <c r="E1680" s="2" t="s">
        <v>2066</v>
      </c>
      <c r="F1680" s="4">
        <v>3607.01</v>
      </c>
      <c r="G1680" s="5">
        <v>995.04</v>
      </c>
      <c r="H1680" s="6">
        <v>3</v>
      </c>
      <c r="I1680" s="2" t="s">
        <v>2117</v>
      </c>
    </row>
    <row r="1681" spans="2:9" x14ac:dyDescent="0.3">
      <c r="B1681" s="2" t="s">
        <v>1687</v>
      </c>
      <c r="C1681" s="3">
        <v>44144</v>
      </c>
      <c r="D1681" s="2" t="s">
        <v>2012</v>
      </c>
      <c r="E1681" s="2" t="s">
        <v>2102</v>
      </c>
      <c r="F1681" s="4">
        <v>4484.24</v>
      </c>
      <c r="G1681" s="5">
        <v>831.8</v>
      </c>
      <c r="H1681" s="6">
        <v>20</v>
      </c>
      <c r="I1681" s="2" t="s">
        <v>2117</v>
      </c>
    </row>
    <row r="1682" spans="2:9" x14ac:dyDescent="0.3">
      <c r="B1682" s="2" t="s">
        <v>1688</v>
      </c>
      <c r="C1682" s="3">
        <v>44282</v>
      </c>
      <c r="D1682" s="2" t="s">
        <v>2011</v>
      </c>
      <c r="E1682" s="2" t="s">
        <v>2075</v>
      </c>
      <c r="F1682" s="4">
        <v>237.13</v>
      </c>
      <c r="G1682" s="5">
        <v>773</v>
      </c>
      <c r="H1682" s="6">
        <v>19</v>
      </c>
      <c r="I1682" s="2" t="s">
        <v>2118</v>
      </c>
    </row>
    <row r="1683" spans="2:9" x14ac:dyDescent="0.3">
      <c r="B1683" s="2" t="s">
        <v>1689</v>
      </c>
      <c r="C1683" s="3">
        <v>44057</v>
      </c>
      <c r="D1683" s="2" t="s">
        <v>2009</v>
      </c>
      <c r="E1683" s="2" t="s">
        <v>2087</v>
      </c>
      <c r="F1683" s="4">
        <v>1336.79</v>
      </c>
      <c r="G1683" s="5">
        <v>255.44</v>
      </c>
      <c r="H1683" s="6">
        <v>14</v>
      </c>
      <c r="I1683" s="2" t="s">
        <v>2116</v>
      </c>
    </row>
    <row r="1684" spans="2:9" x14ac:dyDescent="0.3">
      <c r="B1684" s="2" t="s">
        <v>1690</v>
      </c>
      <c r="C1684" s="3">
        <v>44029</v>
      </c>
      <c r="D1684" s="2" t="s">
        <v>2011</v>
      </c>
      <c r="E1684" s="2" t="s">
        <v>2036</v>
      </c>
      <c r="F1684" s="4">
        <v>2853.24</v>
      </c>
      <c r="G1684" s="5">
        <v>587.76</v>
      </c>
      <c r="H1684" s="6">
        <v>5</v>
      </c>
      <c r="I1684" s="2" t="s">
        <v>2116</v>
      </c>
    </row>
    <row r="1685" spans="2:9" x14ac:dyDescent="0.3">
      <c r="B1685" s="2" t="s">
        <v>1691</v>
      </c>
      <c r="C1685" s="3">
        <v>44705</v>
      </c>
      <c r="D1685" s="2" t="s">
        <v>2009</v>
      </c>
      <c r="E1685" s="2" t="s">
        <v>2070</v>
      </c>
      <c r="F1685" s="4">
        <v>2297.96</v>
      </c>
      <c r="G1685" s="5">
        <v>256.39</v>
      </c>
      <c r="H1685" s="6">
        <v>2</v>
      </c>
      <c r="I1685" s="2" t="s">
        <v>2117</v>
      </c>
    </row>
    <row r="1686" spans="2:9" x14ac:dyDescent="0.3">
      <c r="B1686" s="2" t="s">
        <v>1692</v>
      </c>
      <c r="C1686" s="3">
        <v>45065</v>
      </c>
      <c r="D1686" s="2" t="s">
        <v>2011</v>
      </c>
      <c r="E1686" s="2" t="s">
        <v>2078</v>
      </c>
      <c r="F1686" s="4">
        <v>2981</v>
      </c>
      <c r="G1686" s="5">
        <v>623.78</v>
      </c>
      <c r="H1686" s="6">
        <v>7</v>
      </c>
      <c r="I1686" s="2" t="s">
        <v>2118</v>
      </c>
    </row>
    <row r="1687" spans="2:9" x14ac:dyDescent="0.3">
      <c r="B1687" s="2" t="s">
        <v>1693</v>
      </c>
      <c r="C1687" s="3">
        <v>45384</v>
      </c>
      <c r="D1687" s="2" t="s">
        <v>2011</v>
      </c>
      <c r="E1687" s="2" t="s">
        <v>2088</v>
      </c>
      <c r="F1687" s="4">
        <v>4387.09</v>
      </c>
      <c r="G1687" s="5">
        <v>65.56</v>
      </c>
      <c r="H1687" s="6">
        <v>14</v>
      </c>
      <c r="I1687" s="2" t="s">
        <v>2117</v>
      </c>
    </row>
    <row r="1688" spans="2:9" x14ac:dyDescent="0.3">
      <c r="B1688" s="2" t="s">
        <v>1694</v>
      </c>
      <c r="C1688" s="3">
        <v>44261</v>
      </c>
      <c r="D1688" s="2" t="s">
        <v>2009</v>
      </c>
      <c r="E1688" s="2" t="s">
        <v>2028</v>
      </c>
      <c r="F1688" s="4">
        <v>2816.78</v>
      </c>
      <c r="G1688" s="5">
        <v>634.98</v>
      </c>
      <c r="H1688" s="6">
        <v>1</v>
      </c>
      <c r="I1688" s="2" t="s">
        <v>2118</v>
      </c>
    </row>
    <row r="1689" spans="2:9" x14ac:dyDescent="0.3">
      <c r="B1689" s="2" t="s">
        <v>1695</v>
      </c>
      <c r="C1689" s="3">
        <v>44385</v>
      </c>
      <c r="D1689" s="2" t="s">
        <v>2012</v>
      </c>
      <c r="E1689" s="2" t="s">
        <v>2049</v>
      </c>
      <c r="F1689" s="4">
        <v>615.70000000000005</v>
      </c>
      <c r="G1689" s="5">
        <v>723.28</v>
      </c>
      <c r="H1689" s="6">
        <v>10</v>
      </c>
      <c r="I1689" s="2" t="s">
        <v>2118</v>
      </c>
    </row>
    <row r="1690" spans="2:9" x14ac:dyDescent="0.3">
      <c r="B1690" s="2" t="s">
        <v>1696</v>
      </c>
      <c r="C1690" s="3">
        <v>45547</v>
      </c>
      <c r="D1690" s="2" t="s">
        <v>2010</v>
      </c>
      <c r="E1690" s="2" t="s">
        <v>2044</v>
      </c>
      <c r="F1690" s="4">
        <v>1892.34</v>
      </c>
      <c r="G1690" s="5">
        <v>635.08000000000004</v>
      </c>
      <c r="H1690" s="6">
        <v>7</v>
      </c>
      <c r="I1690" s="2" t="s">
        <v>2118</v>
      </c>
    </row>
    <row r="1691" spans="2:9" x14ac:dyDescent="0.3">
      <c r="B1691" s="2" t="s">
        <v>1697</v>
      </c>
      <c r="C1691" s="3">
        <v>45487</v>
      </c>
      <c r="D1691" s="2" t="s">
        <v>2011</v>
      </c>
      <c r="E1691" s="2" t="s">
        <v>2059</v>
      </c>
      <c r="F1691" s="4">
        <v>1501.07</v>
      </c>
      <c r="G1691" s="5">
        <v>381.6</v>
      </c>
      <c r="H1691" s="6">
        <v>3</v>
      </c>
      <c r="I1691" s="2" t="s">
        <v>2116</v>
      </c>
    </row>
    <row r="1692" spans="2:9" x14ac:dyDescent="0.3">
      <c r="B1692" s="2" t="s">
        <v>1698</v>
      </c>
      <c r="C1692" s="3">
        <v>45280</v>
      </c>
      <c r="D1692" s="2" t="s">
        <v>2010</v>
      </c>
      <c r="E1692" s="2" t="s">
        <v>2072</v>
      </c>
      <c r="F1692" s="4">
        <v>3146.95</v>
      </c>
      <c r="G1692" s="5">
        <v>97.38</v>
      </c>
      <c r="H1692" s="6">
        <v>2</v>
      </c>
      <c r="I1692" s="2" t="s">
        <v>2116</v>
      </c>
    </row>
    <row r="1693" spans="2:9" x14ac:dyDescent="0.3">
      <c r="B1693" s="2" t="s">
        <v>1699</v>
      </c>
      <c r="C1693" s="3">
        <v>45242</v>
      </c>
      <c r="D1693" s="2" t="s">
        <v>2011</v>
      </c>
      <c r="E1693" s="2" t="s">
        <v>2112</v>
      </c>
      <c r="F1693" s="4">
        <v>4052.89</v>
      </c>
      <c r="G1693" s="5">
        <v>719.77</v>
      </c>
      <c r="H1693" s="6">
        <v>12</v>
      </c>
      <c r="I1693" s="2" t="s">
        <v>2118</v>
      </c>
    </row>
    <row r="1694" spans="2:9" x14ac:dyDescent="0.3">
      <c r="B1694" s="2" t="s">
        <v>1700</v>
      </c>
      <c r="C1694" s="3">
        <v>45564</v>
      </c>
      <c r="D1694" s="2" t="s">
        <v>2012</v>
      </c>
      <c r="E1694" s="2" t="s">
        <v>2023</v>
      </c>
      <c r="F1694" s="4">
        <v>3897.31</v>
      </c>
      <c r="G1694" s="5">
        <v>23.8</v>
      </c>
      <c r="H1694" s="6">
        <v>17</v>
      </c>
      <c r="I1694" s="2" t="s">
        <v>2116</v>
      </c>
    </row>
    <row r="1695" spans="2:9" x14ac:dyDescent="0.3">
      <c r="B1695" s="2" t="s">
        <v>1701</v>
      </c>
      <c r="C1695" s="3">
        <v>44220</v>
      </c>
      <c r="D1695" s="2" t="s">
        <v>2011</v>
      </c>
      <c r="E1695" s="2" t="s">
        <v>2102</v>
      </c>
      <c r="F1695" s="4">
        <v>4720.1099999999997</v>
      </c>
      <c r="G1695" s="5">
        <v>637.99</v>
      </c>
      <c r="H1695" s="6">
        <v>2</v>
      </c>
      <c r="I1695" s="2" t="s">
        <v>2117</v>
      </c>
    </row>
    <row r="1696" spans="2:9" x14ac:dyDescent="0.3">
      <c r="B1696" s="2" t="s">
        <v>1702</v>
      </c>
      <c r="C1696" s="3">
        <v>45115</v>
      </c>
      <c r="D1696" s="2" t="s">
        <v>2010</v>
      </c>
      <c r="E1696" s="2" t="s">
        <v>2048</v>
      </c>
      <c r="F1696" s="4">
        <v>2803.72</v>
      </c>
      <c r="G1696" s="5">
        <v>619.20000000000005</v>
      </c>
      <c r="H1696" s="6">
        <v>6</v>
      </c>
      <c r="I1696" s="2" t="s">
        <v>2116</v>
      </c>
    </row>
    <row r="1697" spans="2:9" x14ac:dyDescent="0.3">
      <c r="B1697" s="2" t="s">
        <v>1703</v>
      </c>
      <c r="C1697" s="3">
        <v>44308</v>
      </c>
      <c r="D1697" s="2" t="s">
        <v>2011</v>
      </c>
      <c r="E1697" s="2" t="s">
        <v>2060</v>
      </c>
      <c r="F1697" s="4">
        <v>3875.56</v>
      </c>
      <c r="G1697" s="5">
        <v>145.93</v>
      </c>
      <c r="H1697" s="6">
        <v>9</v>
      </c>
      <c r="I1697" s="2" t="s">
        <v>2118</v>
      </c>
    </row>
    <row r="1698" spans="2:9" x14ac:dyDescent="0.3">
      <c r="B1698" s="2" t="s">
        <v>1704</v>
      </c>
      <c r="C1698" s="3">
        <v>44762</v>
      </c>
      <c r="D1698" s="2" t="s">
        <v>2009</v>
      </c>
      <c r="E1698" s="2" t="s">
        <v>2111</v>
      </c>
      <c r="F1698" s="4">
        <v>3796.69</v>
      </c>
      <c r="G1698" s="5">
        <v>580.12</v>
      </c>
      <c r="H1698" s="6">
        <v>11</v>
      </c>
      <c r="I1698" s="2" t="s">
        <v>2117</v>
      </c>
    </row>
    <row r="1699" spans="2:9" x14ac:dyDescent="0.3">
      <c r="B1699" s="2" t="s">
        <v>1705</v>
      </c>
      <c r="C1699" s="3">
        <v>44059</v>
      </c>
      <c r="D1699" s="2" t="s">
        <v>2011</v>
      </c>
      <c r="E1699" s="2" t="s">
        <v>2090</v>
      </c>
      <c r="F1699" s="4">
        <v>1737.74</v>
      </c>
      <c r="G1699" s="5">
        <v>135.84</v>
      </c>
      <c r="H1699" s="6">
        <v>2</v>
      </c>
      <c r="I1699" s="2" t="s">
        <v>2116</v>
      </c>
    </row>
    <row r="1700" spans="2:9" x14ac:dyDescent="0.3">
      <c r="B1700" s="2" t="s">
        <v>1706</v>
      </c>
      <c r="C1700" s="3">
        <v>44979</v>
      </c>
      <c r="D1700" s="2" t="s">
        <v>2009</v>
      </c>
      <c r="E1700" s="2" t="s">
        <v>2087</v>
      </c>
      <c r="F1700" s="4">
        <v>2882.82</v>
      </c>
      <c r="G1700" s="5">
        <v>986.52</v>
      </c>
      <c r="H1700" s="6">
        <v>7</v>
      </c>
      <c r="I1700" s="2" t="s">
        <v>2116</v>
      </c>
    </row>
    <row r="1701" spans="2:9" x14ac:dyDescent="0.3">
      <c r="B1701" s="2" t="s">
        <v>1707</v>
      </c>
      <c r="C1701" s="3">
        <v>44908</v>
      </c>
      <c r="D1701" s="2" t="s">
        <v>2012</v>
      </c>
      <c r="E1701" s="2" t="s">
        <v>2046</v>
      </c>
      <c r="F1701" s="4">
        <v>3871.64</v>
      </c>
      <c r="G1701" s="5">
        <v>998.09</v>
      </c>
      <c r="H1701" s="6">
        <v>3</v>
      </c>
      <c r="I1701" s="2" t="s">
        <v>2116</v>
      </c>
    </row>
    <row r="1702" spans="2:9" x14ac:dyDescent="0.3">
      <c r="B1702" s="2" t="s">
        <v>1708</v>
      </c>
      <c r="C1702" s="3">
        <v>45474</v>
      </c>
      <c r="D1702" s="2" t="s">
        <v>2009</v>
      </c>
      <c r="E1702" s="2" t="s">
        <v>2046</v>
      </c>
      <c r="F1702" s="4">
        <v>2310.54</v>
      </c>
      <c r="G1702" s="5">
        <v>355.1</v>
      </c>
      <c r="H1702" s="6">
        <v>9</v>
      </c>
      <c r="I1702" s="2" t="s">
        <v>2118</v>
      </c>
    </row>
    <row r="1703" spans="2:9" x14ac:dyDescent="0.3">
      <c r="B1703" s="2" t="s">
        <v>1709</v>
      </c>
      <c r="C1703" s="3">
        <v>45102</v>
      </c>
      <c r="D1703" s="2" t="s">
        <v>2009</v>
      </c>
      <c r="E1703" s="2" t="s">
        <v>2083</v>
      </c>
      <c r="F1703" s="4">
        <v>2591.56</v>
      </c>
      <c r="G1703" s="5">
        <v>69.040000000000006</v>
      </c>
      <c r="H1703" s="6">
        <v>3</v>
      </c>
      <c r="I1703" s="2" t="s">
        <v>2117</v>
      </c>
    </row>
    <row r="1704" spans="2:9" x14ac:dyDescent="0.3">
      <c r="B1704" s="2" t="s">
        <v>1710</v>
      </c>
      <c r="C1704" s="3">
        <v>44196</v>
      </c>
      <c r="D1704" s="2" t="s">
        <v>2009</v>
      </c>
      <c r="E1704" s="2" t="s">
        <v>2098</v>
      </c>
      <c r="F1704" s="4">
        <v>4933.93</v>
      </c>
      <c r="G1704" s="5">
        <v>291.33999999999997</v>
      </c>
      <c r="H1704" s="6">
        <v>16</v>
      </c>
      <c r="I1704" s="2" t="s">
        <v>2116</v>
      </c>
    </row>
    <row r="1705" spans="2:9" x14ac:dyDescent="0.3">
      <c r="B1705" s="2" t="s">
        <v>1711</v>
      </c>
      <c r="C1705" s="3">
        <v>44116</v>
      </c>
      <c r="D1705" s="2" t="s">
        <v>2011</v>
      </c>
      <c r="E1705" s="2" t="s">
        <v>2083</v>
      </c>
      <c r="F1705" s="4">
        <v>2439.9299999999998</v>
      </c>
      <c r="G1705" s="5">
        <v>253.1</v>
      </c>
      <c r="H1705" s="6">
        <v>6</v>
      </c>
      <c r="I1705" s="2" t="s">
        <v>2118</v>
      </c>
    </row>
    <row r="1706" spans="2:9" x14ac:dyDescent="0.3">
      <c r="B1706" s="2" t="s">
        <v>1712</v>
      </c>
      <c r="C1706" s="3">
        <v>44465</v>
      </c>
      <c r="D1706" s="2" t="s">
        <v>2010</v>
      </c>
      <c r="E1706" s="2" t="s">
        <v>2015</v>
      </c>
      <c r="F1706" s="4">
        <v>684.27</v>
      </c>
      <c r="G1706" s="5">
        <v>527.77</v>
      </c>
      <c r="H1706" s="6">
        <v>11</v>
      </c>
      <c r="I1706" s="2" t="s">
        <v>2117</v>
      </c>
    </row>
    <row r="1707" spans="2:9" x14ac:dyDescent="0.3">
      <c r="B1707" s="2" t="s">
        <v>1713</v>
      </c>
      <c r="C1707" s="3">
        <v>44721</v>
      </c>
      <c r="D1707" s="2" t="s">
        <v>2009</v>
      </c>
      <c r="E1707" s="2" t="s">
        <v>2054</v>
      </c>
      <c r="F1707" s="4">
        <v>3090.4</v>
      </c>
      <c r="G1707" s="5">
        <v>96.19</v>
      </c>
      <c r="H1707" s="6">
        <v>13</v>
      </c>
      <c r="I1707" s="2" t="s">
        <v>2118</v>
      </c>
    </row>
    <row r="1708" spans="2:9" x14ac:dyDescent="0.3">
      <c r="B1708" s="2" t="s">
        <v>1714</v>
      </c>
      <c r="C1708" s="3">
        <v>45201</v>
      </c>
      <c r="D1708" s="2" t="s">
        <v>2012</v>
      </c>
      <c r="E1708" s="2" t="s">
        <v>2076</v>
      </c>
      <c r="F1708" s="4">
        <v>3501.77</v>
      </c>
      <c r="G1708" s="5">
        <v>184.29</v>
      </c>
      <c r="H1708" s="6">
        <v>6</v>
      </c>
      <c r="I1708" s="2" t="s">
        <v>2117</v>
      </c>
    </row>
    <row r="1709" spans="2:9" x14ac:dyDescent="0.3">
      <c r="B1709" s="2" t="s">
        <v>1715</v>
      </c>
      <c r="C1709" s="3">
        <v>44753</v>
      </c>
      <c r="D1709" s="2" t="s">
        <v>2012</v>
      </c>
      <c r="E1709" s="2" t="s">
        <v>2096</v>
      </c>
      <c r="F1709" s="4">
        <v>2985.88</v>
      </c>
      <c r="G1709" s="5">
        <v>390</v>
      </c>
      <c r="H1709" s="6">
        <v>3</v>
      </c>
      <c r="I1709" s="2" t="s">
        <v>2118</v>
      </c>
    </row>
    <row r="1710" spans="2:9" x14ac:dyDescent="0.3">
      <c r="B1710" s="2" t="s">
        <v>1716</v>
      </c>
      <c r="C1710" s="3">
        <v>45298</v>
      </c>
      <c r="D1710" s="2" t="s">
        <v>2012</v>
      </c>
      <c r="E1710" s="2" t="s">
        <v>2081</v>
      </c>
      <c r="F1710" s="4">
        <v>1779.81</v>
      </c>
      <c r="G1710" s="5">
        <v>113.44</v>
      </c>
      <c r="H1710" s="6">
        <v>6</v>
      </c>
      <c r="I1710" s="2" t="s">
        <v>2117</v>
      </c>
    </row>
    <row r="1711" spans="2:9" x14ac:dyDescent="0.3">
      <c r="B1711" s="2" t="s">
        <v>1717</v>
      </c>
      <c r="C1711" s="3">
        <v>44542</v>
      </c>
      <c r="D1711" s="2" t="s">
        <v>2009</v>
      </c>
      <c r="E1711" s="2" t="s">
        <v>2063</v>
      </c>
      <c r="F1711" s="4">
        <v>2139.89</v>
      </c>
      <c r="G1711" s="5">
        <v>125.27</v>
      </c>
      <c r="H1711" s="6">
        <v>7</v>
      </c>
      <c r="I1711" s="2" t="s">
        <v>2118</v>
      </c>
    </row>
    <row r="1712" spans="2:9" x14ac:dyDescent="0.3">
      <c r="B1712" s="2" t="s">
        <v>1718</v>
      </c>
      <c r="C1712" s="3">
        <v>44813</v>
      </c>
      <c r="D1712" s="2" t="s">
        <v>2010</v>
      </c>
      <c r="E1712" s="2" t="s">
        <v>2098</v>
      </c>
      <c r="F1712" s="4">
        <v>4419.8599999999997</v>
      </c>
      <c r="G1712" s="5">
        <v>562.59</v>
      </c>
      <c r="H1712" s="6">
        <v>12</v>
      </c>
      <c r="I1712" s="2" t="s">
        <v>2117</v>
      </c>
    </row>
    <row r="1713" spans="2:9" x14ac:dyDescent="0.3">
      <c r="B1713" s="2" t="s">
        <v>1719</v>
      </c>
      <c r="C1713" s="3">
        <v>44205</v>
      </c>
      <c r="D1713" s="2" t="s">
        <v>2012</v>
      </c>
      <c r="E1713" s="2" t="s">
        <v>2049</v>
      </c>
      <c r="F1713" s="4">
        <v>1231.8699999999999</v>
      </c>
      <c r="G1713" s="5">
        <v>18.649999999999999</v>
      </c>
      <c r="H1713" s="6">
        <v>1</v>
      </c>
      <c r="I1713" s="2" t="s">
        <v>2117</v>
      </c>
    </row>
    <row r="1714" spans="2:9" x14ac:dyDescent="0.3">
      <c r="B1714" s="2" t="s">
        <v>1720</v>
      </c>
      <c r="C1714" s="3">
        <v>45359</v>
      </c>
      <c r="D1714" s="2" t="s">
        <v>2010</v>
      </c>
      <c r="E1714" s="2" t="s">
        <v>2081</v>
      </c>
      <c r="F1714" s="4">
        <v>998.99</v>
      </c>
      <c r="G1714" s="5">
        <v>331.66</v>
      </c>
      <c r="H1714" s="6">
        <v>16</v>
      </c>
      <c r="I1714" s="2" t="s">
        <v>2118</v>
      </c>
    </row>
    <row r="1715" spans="2:9" x14ac:dyDescent="0.3">
      <c r="B1715" s="2" t="s">
        <v>1721</v>
      </c>
      <c r="C1715" s="3">
        <v>44999</v>
      </c>
      <c r="D1715" s="2" t="s">
        <v>2009</v>
      </c>
      <c r="E1715" s="2" t="s">
        <v>2103</v>
      </c>
      <c r="F1715" s="4">
        <v>2718.02</v>
      </c>
      <c r="G1715" s="5">
        <v>217.75</v>
      </c>
      <c r="H1715" s="6">
        <v>3</v>
      </c>
      <c r="I1715" s="2" t="s">
        <v>2117</v>
      </c>
    </row>
    <row r="1716" spans="2:9" x14ac:dyDescent="0.3">
      <c r="B1716" s="2" t="s">
        <v>1722</v>
      </c>
      <c r="C1716" s="3">
        <v>45402</v>
      </c>
      <c r="D1716" s="2" t="s">
        <v>2009</v>
      </c>
      <c r="E1716" s="2" t="s">
        <v>2103</v>
      </c>
      <c r="F1716" s="4">
        <v>4880.6000000000004</v>
      </c>
      <c r="G1716" s="5">
        <v>317.56</v>
      </c>
      <c r="H1716" s="6">
        <v>2</v>
      </c>
      <c r="I1716" s="2" t="s">
        <v>2117</v>
      </c>
    </row>
    <row r="1717" spans="2:9" x14ac:dyDescent="0.3">
      <c r="B1717" s="2" t="s">
        <v>1723</v>
      </c>
      <c r="C1717" s="3">
        <v>44947</v>
      </c>
      <c r="D1717" s="2" t="s">
        <v>2011</v>
      </c>
      <c r="E1717" s="2" t="s">
        <v>2037</v>
      </c>
      <c r="F1717" s="4">
        <v>2648.59</v>
      </c>
      <c r="G1717" s="5">
        <v>820.79</v>
      </c>
      <c r="H1717" s="6">
        <v>17</v>
      </c>
      <c r="I1717" s="2" t="s">
        <v>2116</v>
      </c>
    </row>
    <row r="1718" spans="2:9" x14ac:dyDescent="0.3">
      <c r="B1718" s="2" t="s">
        <v>1724</v>
      </c>
      <c r="C1718" s="3">
        <v>44363</v>
      </c>
      <c r="D1718" s="2" t="s">
        <v>2012</v>
      </c>
      <c r="E1718" s="2" t="s">
        <v>2049</v>
      </c>
      <c r="F1718" s="4">
        <v>3371.06</v>
      </c>
      <c r="G1718" s="5">
        <v>219.8</v>
      </c>
      <c r="H1718" s="6">
        <v>8</v>
      </c>
      <c r="I1718" s="2" t="s">
        <v>2117</v>
      </c>
    </row>
    <row r="1719" spans="2:9" x14ac:dyDescent="0.3">
      <c r="B1719" s="2" t="s">
        <v>1725</v>
      </c>
      <c r="C1719" s="3">
        <v>43938</v>
      </c>
      <c r="D1719" s="2" t="s">
        <v>2010</v>
      </c>
      <c r="E1719" s="2" t="s">
        <v>2035</v>
      </c>
      <c r="F1719" s="4">
        <v>4831.76</v>
      </c>
      <c r="G1719" s="5">
        <v>786.21</v>
      </c>
      <c r="H1719" s="6">
        <v>1</v>
      </c>
      <c r="I1719" s="2" t="s">
        <v>2116</v>
      </c>
    </row>
    <row r="1720" spans="2:9" x14ac:dyDescent="0.3">
      <c r="B1720" s="2" t="s">
        <v>1726</v>
      </c>
      <c r="C1720" s="3">
        <v>44646</v>
      </c>
      <c r="D1720" s="2" t="s">
        <v>2011</v>
      </c>
      <c r="E1720" s="2" t="s">
        <v>2091</v>
      </c>
      <c r="F1720" s="4">
        <v>65.53</v>
      </c>
      <c r="G1720" s="5">
        <v>430.5</v>
      </c>
      <c r="H1720" s="6">
        <v>6</v>
      </c>
      <c r="I1720" s="2" t="s">
        <v>2118</v>
      </c>
    </row>
    <row r="1721" spans="2:9" x14ac:dyDescent="0.3">
      <c r="B1721" s="2" t="s">
        <v>1727</v>
      </c>
      <c r="C1721" s="3">
        <v>44315</v>
      </c>
      <c r="D1721" s="2" t="s">
        <v>2010</v>
      </c>
      <c r="E1721" s="2" t="s">
        <v>2102</v>
      </c>
      <c r="F1721" s="4">
        <v>1701.54</v>
      </c>
      <c r="G1721" s="5">
        <v>170.12</v>
      </c>
      <c r="H1721" s="6">
        <v>1</v>
      </c>
      <c r="I1721" s="2" t="s">
        <v>2118</v>
      </c>
    </row>
    <row r="1722" spans="2:9" x14ac:dyDescent="0.3">
      <c r="B1722" s="2" t="s">
        <v>1728</v>
      </c>
      <c r="C1722" s="3">
        <v>45369</v>
      </c>
      <c r="D1722" s="2" t="s">
        <v>2009</v>
      </c>
      <c r="E1722" s="2" t="s">
        <v>2067</v>
      </c>
      <c r="F1722" s="4">
        <v>4642.29</v>
      </c>
      <c r="G1722" s="5">
        <v>198.17</v>
      </c>
      <c r="H1722" s="6">
        <v>19</v>
      </c>
      <c r="I1722" s="2" t="s">
        <v>2118</v>
      </c>
    </row>
    <row r="1723" spans="2:9" x14ac:dyDescent="0.3">
      <c r="B1723" s="2" t="s">
        <v>1729</v>
      </c>
      <c r="C1723" s="3">
        <v>44939</v>
      </c>
      <c r="D1723" s="2" t="s">
        <v>2010</v>
      </c>
      <c r="E1723" s="2" t="s">
        <v>2029</v>
      </c>
      <c r="F1723" s="4">
        <v>2073.88</v>
      </c>
      <c r="G1723" s="5">
        <v>589.66999999999996</v>
      </c>
      <c r="H1723" s="6">
        <v>20</v>
      </c>
      <c r="I1723" s="2" t="s">
        <v>2116</v>
      </c>
    </row>
    <row r="1724" spans="2:9" x14ac:dyDescent="0.3">
      <c r="B1724" s="2" t="s">
        <v>1730</v>
      </c>
      <c r="C1724" s="3">
        <v>45369</v>
      </c>
      <c r="D1724" s="2" t="s">
        <v>2011</v>
      </c>
      <c r="E1724" s="2" t="s">
        <v>2100</v>
      </c>
      <c r="F1724" s="4">
        <v>2989.8</v>
      </c>
      <c r="G1724" s="5">
        <v>221.48</v>
      </c>
      <c r="H1724" s="6">
        <v>6</v>
      </c>
      <c r="I1724" s="2" t="s">
        <v>2116</v>
      </c>
    </row>
    <row r="1725" spans="2:9" x14ac:dyDescent="0.3">
      <c r="B1725" s="2" t="s">
        <v>1731</v>
      </c>
      <c r="C1725" s="3">
        <v>45487</v>
      </c>
      <c r="D1725" s="2" t="s">
        <v>2012</v>
      </c>
      <c r="E1725" s="2" t="s">
        <v>2042</v>
      </c>
      <c r="F1725" s="4">
        <v>2368</v>
      </c>
      <c r="G1725" s="5">
        <v>750.05</v>
      </c>
      <c r="H1725" s="6">
        <v>13</v>
      </c>
      <c r="I1725" s="2" t="s">
        <v>2117</v>
      </c>
    </row>
    <row r="1726" spans="2:9" x14ac:dyDescent="0.3">
      <c r="B1726" s="2" t="s">
        <v>1732</v>
      </c>
      <c r="C1726" s="3">
        <v>44795</v>
      </c>
      <c r="D1726" s="2" t="s">
        <v>2012</v>
      </c>
      <c r="E1726" s="2" t="s">
        <v>2100</v>
      </c>
      <c r="F1726" s="4">
        <v>3257.13</v>
      </c>
      <c r="G1726" s="5">
        <v>803.09</v>
      </c>
      <c r="H1726" s="6">
        <v>19</v>
      </c>
      <c r="I1726" s="2" t="s">
        <v>2118</v>
      </c>
    </row>
    <row r="1727" spans="2:9" x14ac:dyDescent="0.3">
      <c r="B1727" s="2" t="s">
        <v>1733</v>
      </c>
      <c r="C1727" s="3">
        <v>43974</v>
      </c>
      <c r="D1727" s="2" t="s">
        <v>2011</v>
      </c>
      <c r="E1727" s="2" t="s">
        <v>2069</v>
      </c>
      <c r="F1727" s="4">
        <v>3908.95</v>
      </c>
      <c r="G1727" s="5">
        <v>880.84</v>
      </c>
      <c r="H1727" s="6">
        <v>16</v>
      </c>
      <c r="I1727" s="2" t="s">
        <v>2116</v>
      </c>
    </row>
    <row r="1728" spans="2:9" x14ac:dyDescent="0.3">
      <c r="B1728" s="2" t="s">
        <v>1734</v>
      </c>
      <c r="C1728" s="3">
        <v>44823</v>
      </c>
      <c r="D1728" s="2" t="s">
        <v>2009</v>
      </c>
      <c r="E1728" s="2" t="s">
        <v>2041</v>
      </c>
      <c r="F1728" s="4">
        <v>3433.05</v>
      </c>
      <c r="G1728" s="5">
        <v>660.47</v>
      </c>
      <c r="H1728" s="6">
        <v>15</v>
      </c>
      <c r="I1728" s="2" t="s">
        <v>2117</v>
      </c>
    </row>
    <row r="1729" spans="2:9" x14ac:dyDescent="0.3">
      <c r="B1729" s="2" t="s">
        <v>1735</v>
      </c>
      <c r="C1729" s="3">
        <v>45241</v>
      </c>
      <c r="D1729" s="2" t="s">
        <v>2012</v>
      </c>
      <c r="E1729" s="2" t="s">
        <v>2037</v>
      </c>
      <c r="F1729" s="4">
        <v>4532.8999999999996</v>
      </c>
      <c r="G1729" s="5">
        <v>593.87</v>
      </c>
      <c r="H1729" s="6">
        <v>20</v>
      </c>
      <c r="I1729" s="2" t="s">
        <v>2117</v>
      </c>
    </row>
    <row r="1730" spans="2:9" x14ac:dyDescent="0.3">
      <c r="B1730" s="2" t="s">
        <v>1736</v>
      </c>
      <c r="C1730" s="3">
        <v>44881</v>
      </c>
      <c r="D1730" s="2" t="s">
        <v>2011</v>
      </c>
      <c r="E1730" s="2" t="s">
        <v>2063</v>
      </c>
      <c r="F1730" s="4">
        <v>4266.01</v>
      </c>
      <c r="G1730" s="5">
        <v>766.26</v>
      </c>
      <c r="H1730" s="6">
        <v>8</v>
      </c>
      <c r="I1730" s="2" t="s">
        <v>2116</v>
      </c>
    </row>
    <row r="1731" spans="2:9" x14ac:dyDescent="0.3">
      <c r="B1731" s="2" t="s">
        <v>1737</v>
      </c>
      <c r="C1731" s="3">
        <v>45453</v>
      </c>
      <c r="D1731" s="2" t="s">
        <v>2011</v>
      </c>
      <c r="E1731" s="2" t="s">
        <v>2096</v>
      </c>
      <c r="F1731" s="4">
        <v>1502.02</v>
      </c>
      <c r="G1731" s="5">
        <v>121</v>
      </c>
      <c r="H1731" s="6">
        <v>19</v>
      </c>
      <c r="I1731" s="2" t="s">
        <v>2117</v>
      </c>
    </row>
    <row r="1732" spans="2:9" x14ac:dyDescent="0.3">
      <c r="B1732" s="2" t="s">
        <v>1738</v>
      </c>
      <c r="C1732" s="3">
        <v>44109</v>
      </c>
      <c r="D1732" s="2" t="s">
        <v>2012</v>
      </c>
      <c r="E1732" s="2" t="s">
        <v>2078</v>
      </c>
      <c r="F1732" s="4">
        <v>4679.42</v>
      </c>
      <c r="G1732" s="5">
        <v>944.95</v>
      </c>
      <c r="H1732" s="6">
        <v>7</v>
      </c>
      <c r="I1732" s="2" t="s">
        <v>2118</v>
      </c>
    </row>
    <row r="1733" spans="2:9" x14ac:dyDescent="0.3">
      <c r="B1733" s="2" t="s">
        <v>1739</v>
      </c>
      <c r="C1733" s="3">
        <v>45396</v>
      </c>
      <c r="D1733" s="2" t="s">
        <v>2011</v>
      </c>
      <c r="E1733" s="2" t="s">
        <v>2045</v>
      </c>
      <c r="F1733" s="4">
        <v>2435.73</v>
      </c>
      <c r="G1733" s="5">
        <v>808.97</v>
      </c>
      <c r="H1733" s="6">
        <v>5</v>
      </c>
      <c r="I1733" s="2" t="s">
        <v>2117</v>
      </c>
    </row>
    <row r="1734" spans="2:9" x14ac:dyDescent="0.3">
      <c r="B1734" s="2" t="s">
        <v>1740</v>
      </c>
      <c r="C1734" s="3">
        <v>45038</v>
      </c>
      <c r="D1734" s="2" t="s">
        <v>2011</v>
      </c>
      <c r="E1734" s="2" t="s">
        <v>2033</v>
      </c>
      <c r="F1734" s="4">
        <v>4860.5</v>
      </c>
      <c r="G1734" s="5">
        <v>737.36</v>
      </c>
      <c r="H1734" s="6">
        <v>15</v>
      </c>
      <c r="I1734" s="2" t="s">
        <v>2117</v>
      </c>
    </row>
    <row r="1735" spans="2:9" x14ac:dyDescent="0.3">
      <c r="B1735" s="2" t="s">
        <v>1741</v>
      </c>
      <c r="C1735" s="3">
        <v>45123</v>
      </c>
      <c r="D1735" s="2" t="s">
        <v>2010</v>
      </c>
      <c r="E1735" s="2" t="s">
        <v>2097</v>
      </c>
      <c r="F1735" s="4">
        <v>2756.17</v>
      </c>
      <c r="G1735" s="5">
        <v>241.62</v>
      </c>
      <c r="H1735" s="6">
        <v>2</v>
      </c>
      <c r="I1735" s="2" t="s">
        <v>2118</v>
      </c>
    </row>
    <row r="1736" spans="2:9" x14ac:dyDescent="0.3">
      <c r="B1736" s="2" t="s">
        <v>1742</v>
      </c>
      <c r="C1736" s="3">
        <v>44378</v>
      </c>
      <c r="D1736" s="2" t="s">
        <v>2010</v>
      </c>
      <c r="E1736" s="2" t="s">
        <v>2015</v>
      </c>
      <c r="F1736" s="4">
        <v>2356.71</v>
      </c>
      <c r="G1736" s="5">
        <v>587.19000000000005</v>
      </c>
      <c r="H1736" s="6">
        <v>14</v>
      </c>
      <c r="I1736" s="2" t="s">
        <v>2116</v>
      </c>
    </row>
    <row r="1737" spans="2:9" x14ac:dyDescent="0.3">
      <c r="B1737" s="2" t="s">
        <v>1743</v>
      </c>
      <c r="C1737" s="3">
        <v>43975</v>
      </c>
      <c r="D1737" s="2" t="s">
        <v>2011</v>
      </c>
      <c r="E1737" s="2" t="s">
        <v>2080</v>
      </c>
      <c r="F1737" s="4">
        <v>2743.81</v>
      </c>
      <c r="G1737" s="5">
        <v>298.04000000000002</v>
      </c>
      <c r="H1737" s="6">
        <v>16</v>
      </c>
      <c r="I1737" s="2" t="s">
        <v>2118</v>
      </c>
    </row>
    <row r="1738" spans="2:9" x14ac:dyDescent="0.3">
      <c r="B1738" s="2" t="s">
        <v>1744</v>
      </c>
      <c r="C1738" s="3">
        <v>45491</v>
      </c>
      <c r="D1738" s="2" t="s">
        <v>2010</v>
      </c>
      <c r="E1738" s="2" t="s">
        <v>2013</v>
      </c>
      <c r="F1738" s="4">
        <v>1245.8800000000001</v>
      </c>
      <c r="G1738" s="5">
        <v>353.83</v>
      </c>
      <c r="H1738" s="6">
        <v>19</v>
      </c>
      <c r="I1738" s="2" t="s">
        <v>2116</v>
      </c>
    </row>
    <row r="1739" spans="2:9" x14ac:dyDescent="0.3">
      <c r="B1739" s="2" t="s">
        <v>1745</v>
      </c>
      <c r="C1739" s="3">
        <v>45569</v>
      </c>
      <c r="D1739" s="2" t="s">
        <v>2011</v>
      </c>
      <c r="E1739" s="2" t="s">
        <v>2081</v>
      </c>
      <c r="F1739" s="4">
        <v>3429.45</v>
      </c>
      <c r="G1739" s="5">
        <v>508.69</v>
      </c>
      <c r="H1739" s="6">
        <v>8</v>
      </c>
      <c r="I1739" s="2" t="s">
        <v>2117</v>
      </c>
    </row>
    <row r="1740" spans="2:9" x14ac:dyDescent="0.3">
      <c r="B1740" s="2" t="s">
        <v>1746</v>
      </c>
      <c r="C1740" s="3">
        <v>44226</v>
      </c>
      <c r="D1740" s="2" t="s">
        <v>2010</v>
      </c>
      <c r="E1740" s="2" t="s">
        <v>2092</v>
      </c>
      <c r="F1740" s="4">
        <v>1458.51</v>
      </c>
      <c r="G1740" s="5">
        <v>941.69</v>
      </c>
      <c r="H1740" s="6">
        <v>6</v>
      </c>
      <c r="I1740" s="2" t="s">
        <v>2118</v>
      </c>
    </row>
    <row r="1741" spans="2:9" x14ac:dyDescent="0.3">
      <c r="B1741" s="2" t="s">
        <v>1747</v>
      </c>
      <c r="C1741" s="3">
        <v>43995</v>
      </c>
      <c r="D1741" s="2" t="s">
        <v>2009</v>
      </c>
      <c r="E1741" s="2" t="s">
        <v>2079</v>
      </c>
      <c r="F1741" s="4">
        <v>1563.89</v>
      </c>
      <c r="G1741" s="5">
        <v>904.37</v>
      </c>
      <c r="H1741" s="6">
        <v>3</v>
      </c>
      <c r="I1741" s="2" t="s">
        <v>2117</v>
      </c>
    </row>
    <row r="1742" spans="2:9" x14ac:dyDescent="0.3">
      <c r="B1742" s="2" t="s">
        <v>1748</v>
      </c>
      <c r="C1742" s="3">
        <v>44482</v>
      </c>
      <c r="D1742" s="2" t="s">
        <v>2011</v>
      </c>
      <c r="E1742" s="2" t="s">
        <v>2070</v>
      </c>
      <c r="F1742" s="4">
        <v>227.22</v>
      </c>
      <c r="G1742" s="5">
        <v>686.88</v>
      </c>
      <c r="H1742" s="6">
        <v>20</v>
      </c>
      <c r="I1742" s="2" t="s">
        <v>2117</v>
      </c>
    </row>
    <row r="1743" spans="2:9" x14ac:dyDescent="0.3">
      <c r="B1743" s="2" t="s">
        <v>1749</v>
      </c>
      <c r="C1743" s="3">
        <v>45533</v>
      </c>
      <c r="D1743" s="2" t="s">
        <v>2011</v>
      </c>
      <c r="E1743" s="2" t="s">
        <v>2029</v>
      </c>
      <c r="F1743" s="4">
        <v>326.60000000000002</v>
      </c>
      <c r="G1743" s="5">
        <v>201.85</v>
      </c>
      <c r="H1743" s="6">
        <v>18</v>
      </c>
      <c r="I1743" s="2" t="s">
        <v>2117</v>
      </c>
    </row>
    <row r="1744" spans="2:9" x14ac:dyDescent="0.3">
      <c r="B1744" s="2" t="s">
        <v>1750</v>
      </c>
      <c r="C1744" s="3">
        <v>44476</v>
      </c>
      <c r="D1744" s="2" t="s">
        <v>2009</v>
      </c>
      <c r="E1744" s="2" t="s">
        <v>2084</v>
      </c>
      <c r="F1744" s="4">
        <v>4540.8999999999996</v>
      </c>
      <c r="G1744" s="5">
        <v>195.61</v>
      </c>
      <c r="H1744" s="6">
        <v>14</v>
      </c>
      <c r="I1744" s="2" t="s">
        <v>2118</v>
      </c>
    </row>
    <row r="1745" spans="2:9" x14ac:dyDescent="0.3">
      <c r="B1745" s="2" t="s">
        <v>1751</v>
      </c>
      <c r="C1745" s="3">
        <v>45428</v>
      </c>
      <c r="D1745" s="2" t="s">
        <v>2012</v>
      </c>
      <c r="E1745" s="2" t="s">
        <v>2030</v>
      </c>
      <c r="F1745" s="4">
        <v>3642.9</v>
      </c>
      <c r="G1745" s="5">
        <v>479.77</v>
      </c>
      <c r="H1745" s="6">
        <v>11</v>
      </c>
      <c r="I1745" s="2" t="s">
        <v>2116</v>
      </c>
    </row>
    <row r="1746" spans="2:9" x14ac:dyDescent="0.3">
      <c r="B1746" s="2" t="s">
        <v>1752</v>
      </c>
      <c r="C1746" s="3">
        <v>44571</v>
      </c>
      <c r="D1746" s="2" t="s">
        <v>2011</v>
      </c>
      <c r="E1746" s="2" t="s">
        <v>2074</v>
      </c>
      <c r="F1746" s="4">
        <v>1941.46</v>
      </c>
      <c r="G1746" s="5">
        <v>570.03</v>
      </c>
      <c r="H1746" s="6">
        <v>11</v>
      </c>
      <c r="I1746" s="2" t="s">
        <v>2117</v>
      </c>
    </row>
    <row r="1747" spans="2:9" x14ac:dyDescent="0.3">
      <c r="B1747" s="2" t="s">
        <v>1753</v>
      </c>
      <c r="C1747" s="3">
        <v>45323</v>
      </c>
      <c r="D1747" s="2" t="s">
        <v>2009</v>
      </c>
      <c r="E1747" s="2" t="s">
        <v>2035</v>
      </c>
      <c r="F1747" s="4">
        <v>4188.9799999999996</v>
      </c>
      <c r="G1747" s="5">
        <v>666.02</v>
      </c>
      <c r="H1747" s="6">
        <v>15</v>
      </c>
      <c r="I1747" s="2" t="s">
        <v>2116</v>
      </c>
    </row>
    <row r="1748" spans="2:9" x14ac:dyDescent="0.3">
      <c r="B1748" s="2" t="s">
        <v>1754</v>
      </c>
      <c r="C1748" s="3">
        <v>44015</v>
      </c>
      <c r="D1748" s="2" t="s">
        <v>2010</v>
      </c>
      <c r="E1748" s="2" t="s">
        <v>2039</v>
      </c>
      <c r="F1748" s="4">
        <v>676.6</v>
      </c>
      <c r="G1748" s="5">
        <v>648.82000000000005</v>
      </c>
      <c r="H1748" s="6">
        <v>6</v>
      </c>
      <c r="I1748" s="2" t="s">
        <v>2118</v>
      </c>
    </row>
    <row r="1749" spans="2:9" x14ac:dyDescent="0.3">
      <c r="B1749" s="2" t="s">
        <v>1755</v>
      </c>
      <c r="C1749" s="3">
        <v>44683</v>
      </c>
      <c r="D1749" s="2" t="s">
        <v>2011</v>
      </c>
      <c r="E1749" s="2" t="s">
        <v>2019</v>
      </c>
      <c r="F1749" s="4">
        <v>783.74</v>
      </c>
      <c r="G1749" s="5">
        <v>490.76</v>
      </c>
      <c r="H1749" s="6">
        <v>2</v>
      </c>
      <c r="I1749" s="2" t="s">
        <v>2116</v>
      </c>
    </row>
    <row r="1750" spans="2:9" x14ac:dyDescent="0.3">
      <c r="B1750" s="2" t="s">
        <v>1756</v>
      </c>
      <c r="C1750" s="3">
        <v>45193</v>
      </c>
      <c r="D1750" s="2" t="s">
        <v>2009</v>
      </c>
      <c r="E1750" s="2" t="s">
        <v>2104</v>
      </c>
      <c r="F1750" s="4">
        <v>3144.31</v>
      </c>
      <c r="G1750" s="5">
        <v>541.48</v>
      </c>
      <c r="H1750" s="6">
        <v>4</v>
      </c>
      <c r="I1750" s="2" t="s">
        <v>2118</v>
      </c>
    </row>
    <row r="1751" spans="2:9" x14ac:dyDescent="0.3">
      <c r="B1751" s="2" t="s">
        <v>1757</v>
      </c>
      <c r="C1751" s="3">
        <v>44624</v>
      </c>
      <c r="D1751" s="2" t="s">
        <v>2010</v>
      </c>
      <c r="E1751" s="2" t="s">
        <v>2092</v>
      </c>
      <c r="F1751" s="4">
        <v>3524.13</v>
      </c>
      <c r="G1751" s="5">
        <v>121.93</v>
      </c>
      <c r="H1751" s="6">
        <v>7</v>
      </c>
      <c r="I1751" s="2" t="s">
        <v>2117</v>
      </c>
    </row>
    <row r="1752" spans="2:9" x14ac:dyDescent="0.3">
      <c r="B1752" s="2" t="s">
        <v>1758</v>
      </c>
      <c r="C1752" s="3">
        <v>45380</v>
      </c>
      <c r="D1752" s="2" t="s">
        <v>2012</v>
      </c>
      <c r="E1752" s="2" t="s">
        <v>2040</v>
      </c>
      <c r="F1752" s="4">
        <v>3539.11</v>
      </c>
      <c r="G1752" s="5">
        <v>307.45999999999998</v>
      </c>
      <c r="H1752" s="6">
        <v>18</v>
      </c>
      <c r="I1752" s="2" t="s">
        <v>2118</v>
      </c>
    </row>
    <row r="1753" spans="2:9" x14ac:dyDescent="0.3">
      <c r="B1753" s="2" t="s">
        <v>1759</v>
      </c>
      <c r="C1753" s="3">
        <v>44495</v>
      </c>
      <c r="D1753" s="2" t="s">
        <v>2011</v>
      </c>
      <c r="E1753" s="2" t="s">
        <v>2015</v>
      </c>
      <c r="F1753" s="4">
        <v>4649.3900000000003</v>
      </c>
      <c r="G1753" s="5">
        <v>757.22</v>
      </c>
      <c r="H1753" s="6">
        <v>4</v>
      </c>
      <c r="I1753" s="2" t="s">
        <v>2118</v>
      </c>
    </row>
    <row r="1754" spans="2:9" x14ac:dyDescent="0.3">
      <c r="B1754" s="2" t="s">
        <v>1760</v>
      </c>
      <c r="C1754" s="3">
        <v>44927</v>
      </c>
      <c r="D1754" s="2" t="s">
        <v>2012</v>
      </c>
      <c r="E1754" s="2" t="s">
        <v>2020</v>
      </c>
      <c r="F1754" s="4">
        <v>2090.59</v>
      </c>
      <c r="G1754" s="5">
        <v>117.88</v>
      </c>
      <c r="H1754" s="6">
        <v>14</v>
      </c>
      <c r="I1754" s="2" t="s">
        <v>2118</v>
      </c>
    </row>
    <row r="1755" spans="2:9" x14ac:dyDescent="0.3">
      <c r="B1755" s="2" t="s">
        <v>1761</v>
      </c>
      <c r="C1755" s="3">
        <v>45025</v>
      </c>
      <c r="D1755" s="2" t="s">
        <v>2012</v>
      </c>
      <c r="E1755" s="2" t="s">
        <v>2108</v>
      </c>
      <c r="F1755" s="4">
        <v>1101.43</v>
      </c>
      <c r="G1755" s="5">
        <v>747.47</v>
      </c>
      <c r="H1755" s="6">
        <v>18</v>
      </c>
      <c r="I1755" s="2" t="s">
        <v>2116</v>
      </c>
    </row>
    <row r="1756" spans="2:9" x14ac:dyDescent="0.3">
      <c r="B1756" s="2" t="s">
        <v>1762</v>
      </c>
      <c r="C1756" s="3">
        <v>45425</v>
      </c>
      <c r="D1756" s="2" t="s">
        <v>2010</v>
      </c>
      <c r="E1756" s="2" t="s">
        <v>2020</v>
      </c>
      <c r="F1756" s="4">
        <v>4544.6099999999997</v>
      </c>
      <c r="G1756" s="5">
        <v>692.03</v>
      </c>
      <c r="H1756" s="6">
        <v>4</v>
      </c>
      <c r="I1756" s="2" t="s">
        <v>2116</v>
      </c>
    </row>
    <row r="1757" spans="2:9" x14ac:dyDescent="0.3">
      <c r="B1757" s="2" t="s">
        <v>1763</v>
      </c>
      <c r="C1757" s="3">
        <v>44427</v>
      </c>
      <c r="D1757" s="2" t="s">
        <v>2011</v>
      </c>
      <c r="E1757" s="2" t="s">
        <v>2018</v>
      </c>
      <c r="F1757" s="4">
        <v>3014.19</v>
      </c>
      <c r="G1757" s="5">
        <v>47.4</v>
      </c>
      <c r="H1757" s="6">
        <v>17</v>
      </c>
      <c r="I1757" s="2" t="s">
        <v>2118</v>
      </c>
    </row>
    <row r="1758" spans="2:9" x14ac:dyDescent="0.3">
      <c r="B1758" s="2" t="s">
        <v>1764</v>
      </c>
      <c r="C1758" s="3">
        <v>44854</v>
      </c>
      <c r="D1758" s="2" t="s">
        <v>2012</v>
      </c>
      <c r="E1758" s="2" t="s">
        <v>2030</v>
      </c>
      <c r="F1758" s="4">
        <v>2707.41</v>
      </c>
      <c r="G1758" s="5">
        <v>391.24</v>
      </c>
      <c r="H1758" s="6">
        <v>14</v>
      </c>
      <c r="I1758" s="2" t="s">
        <v>2117</v>
      </c>
    </row>
    <row r="1759" spans="2:9" x14ac:dyDescent="0.3">
      <c r="B1759" s="2" t="s">
        <v>1765</v>
      </c>
      <c r="C1759" s="3">
        <v>45042</v>
      </c>
      <c r="D1759" s="2" t="s">
        <v>2011</v>
      </c>
      <c r="E1759" s="2" t="s">
        <v>2056</v>
      </c>
      <c r="F1759" s="4">
        <v>3831</v>
      </c>
      <c r="G1759" s="5">
        <v>584.22</v>
      </c>
      <c r="H1759" s="6">
        <v>13</v>
      </c>
      <c r="I1759" s="2" t="s">
        <v>2116</v>
      </c>
    </row>
    <row r="1760" spans="2:9" x14ac:dyDescent="0.3">
      <c r="B1760" s="2" t="s">
        <v>1766</v>
      </c>
      <c r="C1760" s="3">
        <v>43948</v>
      </c>
      <c r="D1760" s="2" t="s">
        <v>2012</v>
      </c>
      <c r="E1760" s="2" t="s">
        <v>2033</v>
      </c>
      <c r="F1760" s="4">
        <v>855.79</v>
      </c>
      <c r="G1760" s="5">
        <v>775.41</v>
      </c>
      <c r="H1760" s="6">
        <v>6</v>
      </c>
      <c r="I1760" s="2" t="s">
        <v>2118</v>
      </c>
    </row>
    <row r="1761" spans="2:9" x14ac:dyDescent="0.3">
      <c r="B1761" s="2" t="s">
        <v>1767</v>
      </c>
      <c r="C1761" s="3">
        <v>44806</v>
      </c>
      <c r="D1761" s="2" t="s">
        <v>2009</v>
      </c>
      <c r="E1761" s="2" t="s">
        <v>2069</v>
      </c>
      <c r="F1761" s="4">
        <v>3323.41</v>
      </c>
      <c r="G1761" s="5">
        <v>190.06</v>
      </c>
      <c r="H1761" s="6">
        <v>14</v>
      </c>
      <c r="I1761" s="2" t="s">
        <v>2116</v>
      </c>
    </row>
    <row r="1762" spans="2:9" x14ac:dyDescent="0.3">
      <c r="B1762" s="2" t="s">
        <v>1768</v>
      </c>
      <c r="C1762" s="3">
        <v>43955</v>
      </c>
      <c r="D1762" s="2" t="s">
        <v>2011</v>
      </c>
      <c r="E1762" s="2" t="s">
        <v>2040</v>
      </c>
      <c r="F1762" s="4">
        <v>4770.3500000000004</v>
      </c>
      <c r="G1762" s="5">
        <v>611.58000000000004</v>
      </c>
      <c r="H1762" s="6">
        <v>7</v>
      </c>
      <c r="I1762" s="2" t="s">
        <v>2118</v>
      </c>
    </row>
    <row r="1763" spans="2:9" x14ac:dyDescent="0.3">
      <c r="B1763" s="2" t="s">
        <v>1769</v>
      </c>
      <c r="C1763" s="3">
        <v>44346</v>
      </c>
      <c r="D1763" s="2" t="s">
        <v>2011</v>
      </c>
      <c r="E1763" s="2" t="s">
        <v>2018</v>
      </c>
      <c r="F1763" s="4">
        <v>4279.1099999999997</v>
      </c>
      <c r="G1763" s="5">
        <v>640.98</v>
      </c>
      <c r="H1763" s="6">
        <v>9</v>
      </c>
      <c r="I1763" s="2" t="s">
        <v>2116</v>
      </c>
    </row>
    <row r="1764" spans="2:9" x14ac:dyDescent="0.3">
      <c r="B1764" s="2" t="s">
        <v>1770</v>
      </c>
      <c r="C1764" s="3">
        <v>45215</v>
      </c>
      <c r="D1764" s="2" t="s">
        <v>2010</v>
      </c>
      <c r="E1764" s="2" t="s">
        <v>2049</v>
      </c>
      <c r="F1764" s="4">
        <v>2342.0700000000002</v>
      </c>
      <c r="G1764" s="5">
        <v>644.73</v>
      </c>
      <c r="H1764" s="6">
        <v>14</v>
      </c>
      <c r="I1764" s="2" t="s">
        <v>2116</v>
      </c>
    </row>
    <row r="1765" spans="2:9" x14ac:dyDescent="0.3">
      <c r="B1765" s="2" t="s">
        <v>1771</v>
      </c>
      <c r="C1765" s="3">
        <v>44669</v>
      </c>
      <c r="D1765" s="2" t="s">
        <v>2009</v>
      </c>
      <c r="E1765" s="2" t="s">
        <v>2061</v>
      </c>
      <c r="F1765" s="4">
        <v>3913.87</v>
      </c>
      <c r="G1765" s="5">
        <v>457.99</v>
      </c>
      <c r="H1765" s="6">
        <v>19</v>
      </c>
      <c r="I1765" s="2" t="s">
        <v>2117</v>
      </c>
    </row>
    <row r="1766" spans="2:9" x14ac:dyDescent="0.3">
      <c r="B1766" s="2" t="s">
        <v>1772</v>
      </c>
      <c r="C1766" s="3">
        <v>43996</v>
      </c>
      <c r="D1766" s="2" t="s">
        <v>2011</v>
      </c>
      <c r="E1766" s="2" t="s">
        <v>2096</v>
      </c>
      <c r="F1766" s="4">
        <v>4052.73</v>
      </c>
      <c r="G1766" s="5">
        <v>322.06</v>
      </c>
      <c r="H1766" s="6">
        <v>10</v>
      </c>
      <c r="I1766" s="2" t="s">
        <v>2118</v>
      </c>
    </row>
    <row r="1767" spans="2:9" x14ac:dyDescent="0.3">
      <c r="B1767" s="2" t="s">
        <v>1773</v>
      </c>
      <c r="C1767" s="3">
        <v>43900</v>
      </c>
      <c r="D1767" s="2" t="s">
        <v>2011</v>
      </c>
      <c r="E1767" s="2" t="s">
        <v>2041</v>
      </c>
      <c r="F1767" s="4">
        <v>1161.8900000000001</v>
      </c>
      <c r="G1767" s="5">
        <v>952.79</v>
      </c>
      <c r="H1767" s="6">
        <v>17</v>
      </c>
      <c r="I1767" s="2" t="s">
        <v>2116</v>
      </c>
    </row>
    <row r="1768" spans="2:9" x14ac:dyDescent="0.3">
      <c r="B1768" s="2" t="s">
        <v>1774</v>
      </c>
      <c r="C1768" s="3">
        <v>44824</v>
      </c>
      <c r="D1768" s="2" t="s">
        <v>2010</v>
      </c>
      <c r="E1768" s="2" t="s">
        <v>2061</v>
      </c>
      <c r="F1768" s="4">
        <v>1780.87</v>
      </c>
      <c r="G1768" s="5">
        <v>612.16999999999996</v>
      </c>
      <c r="H1768" s="6">
        <v>16</v>
      </c>
      <c r="I1768" s="2" t="s">
        <v>2117</v>
      </c>
    </row>
    <row r="1769" spans="2:9" x14ac:dyDescent="0.3">
      <c r="B1769" s="2" t="s">
        <v>1775</v>
      </c>
      <c r="C1769" s="3">
        <v>45105</v>
      </c>
      <c r="D1769" s="2" t="s">
        <v>2012</v>
      </c>
      <c r="E1769" s="2" t="s">
        <v>2023</v>
      </c>
      <c r="F1769" s="4">
        <v>3797.54</v>
      </c>
      <c r="G1769" s="5">
        <v>419.23</v>
      </c>
      <c r="H1769" s="6">
        <v>8</v>
      </c>
      <c r="I1769" s="2" t="s">
        <v>2118</v>
      </c>
    </row>
    <row r="1770" spans="2:9" x14ac:dyDescent="0.3">
      <c r="B1770" s="2" t="s">
        <v>1776</v>
      </c>
      <c r="C1770" s="3">
        <v>45234</v>
      </c>
      <c r="D1770" s="2" t="s">
        <v>2009</v>
      </c>
      <c r="E1770" s="2" t="s">
        <v>2067</v>
      </c>
      <c r="F1770" s="4">
        <v>393.2</v>
      </c>
      <c r="G1770" s="5">
        <v>884.21</v>
      </c>
      <c r="H1770" s="6">
        <v>13</v>
      </c>
      <c r="I1770" s="2" t="s">
        <v>2117</v>
      </c>
    </row>
    <row r="1771" spans="2:9" x14ac:dyDescent="0.3">
      <c r="B1771" s="2" t="s">
        <v>1777</v>
      </c>
      <c r="C1771" s="3">
        <v>45178</v>
      </c>
      <c r="D1771" s="2" t="s">
        <v>2011</v>
      </c>
      <c r="E1771" s="2" t="s">
        <v>2051</v>
      </c>
      <c r="F1771" s="4">
        <v>2365.12</v>
      </c>
      <c r="G1771" s="5">
        <v>150.97</v>
      </c>
      <c r="H1771" s="6">
        <v>19</v>
      </c>
      <c r="I1771" s="2" t="s">
        <v>2118</v>
      </c>
    </row>
    <row r="1772" spans="2:9" x14ac:dyDescent="0.3">
      <c r="B1772" s="2" t="s">
        <v>1778</v>
      </c>
      <c r="C1772" s="3">
        <v>45326</v>
      </c>
      <c r="D1772" s="2" t="s">
        <v>2012</v>
      </c>
      <c r="E1772" s="2" t="s">
        <v>2019</v>
      </c>
      <c r="F1772" s="4">
        <v>96.66</v>
      </c>
      <c r="G1772" s="5">
        <v>75.63</v>
      </c>
      <c r="H1772" s="6">
        <v>3</v>
      </c>
      <c r="I1772" s="2" t="s">
        <v>2118</v>
      </c>
    </row>
    <row r="1773" spans="2:9" x14ac:dyDescent="0.3">
      <c r="B1773" s="2" t="s">
        <v>1779</v>
      </c>
      <c r="C1773" s="3">
        <v>43880</v>
      </c>
      <c r="D1773" s="2" t="s">
        <v>2011</v>
      </c>
      <c r="E1773" s="2" t="s">
        <v>2049</v>
      </c>
      <c r="F1773" s="4">
        <v>3804.46</v>
      </c>
      <c r="G1773" s="5">
        <v>463.42</v>
      </c>
      <c r="H1773" s="6">
        <v>18</v>
      </c>
      <c r="I1773" s="2" t="s">
        <v>2118</v>
      </c>
    </row>
    <row r="1774" spans="2:9" x14ac:dyDescent="0.3">
      <c r="B1774" s="2" t="s">
        <v>1780</v>
      </c>
      <c r="C1774" s="3">
        <v>44774</v>
      </c>
      <c r="D1774" s="2" t="s">
        <v>2012</v>
      </c>
      <c r="E1774" s="2" t="s">
        <v>2087</v>
      </c>
      <c r="F1774" s="4">
        <v>2834</v>
      </c>
      <c r="G1774" s="5">
        <v>358.9</v>
      </c>
      <c r="H1774" s="6">
        <v>8</v>
      </c>
      <c r="I1774" s="2" t="s">
        <v>2116</v>
      </c>
    </row>
    <row r="1775" spans="2:9" x14ac:dyDescent="0.3">
      <c r="B1775" s="2" t="s">
        <v>1781</v>
      </c>
      <c r="C1775" s="3">
        <v>45430</v>
      </c>
      <c r="D1775" s="2" t="s">
        <v>2010</v>
      </c>
      <c r="E1775" s="2" t="s">
        <v>2085</v>
      </c>
      <c r="F1775" s="4">
        <v>4812.7299999999996</v>
      </c>
      <c r="G1775" s="5">
        <v>631.33000000000004</v>
      </c>
      <c r="H1775" s="6">
        <v>15</v>
      </c>
      <c r="I1775" s="2" t="s">
        <v>2118</v>
      </c>
    </row>
    <row r="1776" spans="2:9" x14ac:dyDescent="0.3">
      <c r="B1776" s="2" t="s">
        <v>1782</v>
      </c>
      <c r="C1776" s="3">
        <v>45332</v>
      </c>
      <c r="D1776" s="2" t="s">
        <v>2010</v>
      </c>
      <c r="E1776" s="2" t="s">
        <v>2086</v>
      </c>
      <c r="F1776" s="4">
        <v>1891.95</v>
      </c>
      <c r="G1776" s="5">
        <v>282.39</v>
      </c>
      <c r="H1776" s="6">
        <v>7</v>
      </c>
      <c r="I1776" s="2" t="s">
        <v>2117</v>
      </c>
    </row>
    <row r="1777" spans="2:9" x14ac:dyDescent="0.3">
      <c r="B1777" s="2" t="s">
        <v>1783</v>
      </c>
      <c r="C1777" s="3">
        <v>45056</v>
      </c>
      <c r="D1777" s="2" t="s">
        <v>2011</v>
      </c>
      <c r="E1777" s="2" t="s">
        <v>2021</v>
      </c>
      <c r="F1777" s="4">
        <v>1445.59</v>
      </c>
      <c r="G1777" s="5">
        <v>140.6</v>
      </c>
      <c r="H1777" s="6">
        <v>13</v>
      </c>
      <c r="I1777" s="2" t="s">
        <v>2118</v>
      </c>
    </row>
    <row r="1778" spans="2:9" x14ac:dyDescent="0.3">
      <c r="B1778" s="2" t="s">
        <v>1784</v>
      </c>
      <c r="C1778" s="3">
        <v>44590</v>
      </c>
      <c r="D1778" s="2" t="s">
        <v>2012</v>
      </c>
      <c r="E1778" s="2" t="s">
        <v>2048</v>
      </c>
      <c r="F1778" s="4">
        <v>1981.19</v>
      </c>
      <c r="G1778" s="5">
        <v>36.39</v>
      </c>
      <c r="H1778" s="6">
        <v>11</v>
      </c>
      <c r="I1778" s="2" t="s">
        <v>2117</v>
      </c>
    </row>
    <row r="1779" spans="2:9" x14ac:dyDescent="0.3">
      <c r="B1779" s="2" t="s">
        <v>1785</v>
      </c>
      <c r="C1779" s="3">
        <v>44842</v>
      </c>
      <c r="D1779" s="2" t="s">
        <v>2011</v>
      </c>
      <c r="E1779" s="2" t="s">
        <v>2033</v>
      </c>
      <c r="F1779" s="4">
        <v>4231.82</v>
      </c>
      <c r="G1779" s="5">
        <v>743.04</v>
      </c>
      <c r="H1779" s="6">
        <v>13</v>
      </c>
      <c r="I1779" s="2" t="s">
        <v>2118</v>
      </c>
    </row>
    <row r="1780" spans="2:9" x14ac:dyDescent="0.3">
      <c r="B1780" s="2" t="s">
        <v>1786</v>
      </c>
      <c r="C1780" s="3">
        <v>45379</v>
      </c>
      <c r="D1780" s="2" t="s">
        <v>2012</v>
      </c>
      <c r="E1780" s="2" t="s">
        <v>2089</v>
      </c>
      <c r="F1780" s="4">
        <v>889.47</v>
      </c>
      <c r="G1780" s="5">
        <v>612.52</v>
      </c>
      <c r="H1780" s="6">
        <v>10</v>
      </c>
      <c r="I1780" s="2" t="s">
        <v>2116</v>
      </c>
    </row>
    <row r="1781" spans="2:9" x14ac:dyDescent="0.3">
      <c r="B1781" s="2" t="s">
        <v>1787</v>
      </c>
      <c r="C1781" s="3">
        <v>45091</v>
      </c>
      <c r="D1781" s="2" t="s">
        <v>2012</v>
      </c>
      <c r="E1781" s="2" t="s">
        <v>2082</v>
      </c>
      <c r="F1781" s="4">
        <v>4019.33</v>
      </c>
      <c r="G1781" s="5">
        <v>389.25</v>
      </c>
      <c r="H1781" s="6">
        <v>11</v>
      </c>
      <c r="I1781" s="2" t="s">
        <v>2118</v>
      </c>
    </row>
    <row r="1782" spans="2:9" x14ac:dyDescent="0.3">
      <c r="B1782" s="2" t="s">
        <v>1788</v>
      </c>
      <c r="C1782" s="3">
        <v>44399</v>
      </c>
      <c r="D1782" s="2" t="s">
        <v>2010</v>
      </c>
      <c r="E1782" s="2" t="s">
        <v>2026</v>
      </c>
      <c r="F1782" s="4">
        <v>1643.26</v>
      </c>
      <c r="G1782" s="5">
        <v>337.67</v>
      </c>
      <c r="H1782" s="6">
        <v>1</v>
      </c>
      <c r="I1782" s="2" t="s">
        <v>2118</v>
      </c>
    </row>
    <row r="1783" spans="2:9" x14ac:dyDescent="0.3">
      <c r="B1783" s="2" t="s">
        <v>1789</v>
      </c>
      <c r="C1783" s="3">
        <v>45410</v>
      </c>
      <c r="D1783" s="2" t="s">
        <v>2009</v>
      </c>
      <c r="E1783" s="2" t="s">
        <v>2090</v>
      </c>
      <c r="F1783" s="4">
        <v>2555.06</v>
      </c>
      <c r="G1783" s="5">
        <v>435.44</v>
      </c>
      <c r="H1783" s="6">
        <v>13</v>
      </c>
      <c r="I1783" s="2" t="s">
        <v>2118</v>
      </c>
    </row>
    <row r="1784" spans="2:9" x14ac:dyDescent="0.3">
      <c r="B1784" s="2" t="s">
        <v>1790</v>
      </c>
      <c r="C1784" s="3">
        <v>45407</v>
      </c>
      <c r="D1784" s="2" t="s">
        <v>2010</v>
      </c>
      <c r="E1784" s="2" t="s">
        <v>2038</v>
      </c>
      <c r="F1784" s="4">
        <v>2700.72</v>
      </c>
      <c r="G1784" s="5">
        <v>985.4</v>
      </c>
      <c r="H1784" s="6">
        <v>3</v>
      </c>
      <c r="I1784" s="2" t="s">
        <v>2117</v>
      </c>
    </row>
    <row r="1785" spans="2:9" x14ac:dyDescent="0.3">
      <c r="B1785" s="2" t="s">
        <v>1791</v>
      </c>
      <c r="C1785" s="3">
        <v>45388</v>
      </c>
      <c r="D1785" s="2" t="s">
        <v>2010</v>
      </c>
      <c r="E1785" s="2" t="s">
        <v>2055</v>
      </c>
      <c r="F1785" s="4">
        <v>3131.73</v>
      </c>
      <c r="G1785" s="5">
        <v>81.33</v>
      </c>
      <c r="H1785" s="6">
        <v>3</v>
      </c>
      <c r="I1785" s="2" t="s">
        <v>2118</v>
      </c>
    </row>
    <row r="1786" spans="2:9" x14ac:dyDescent="0.3">
      <c r="B1786" s="2" t="s">
        <v>1792</v>
      </c>
      <c r="C1786" s="3">
        <v>43954</v>
      </c>
      <c r="D1786" s="2" t="s">
        <v>2010</v>
      </c>
      <c r="E1786" s="2" t="s">
        <v>2060</v>
      </c>
      <c r="F1786" s="4">
        <v>2875.73</v>
      </c>
      <c r="G1786" s="5">
        <v>287.58</v>
      </c>
      <c r="H1786" s="6">
        <v>7</v>
      </c>
      <c r="I1786" s="2" t="s">
        <v>2117</v>
      </c>
    </row>
    <row r="1787" spans="2:9" x14ac:dyDescent="0.3">
      <c r="B1787" s="2" t="s">
        <v>1793</v>
      </c>
      <c r="C1787" s="3">
        <v>44772</v>
      </c>
      <c r="D1787" s="2" t="s">
        <v>2011</v>
      </c>
      <c r="E1787" s="2" t="s">
        <v>2030</v>
      </c>
      <c r="F1787" s="4">
        <v>4347.08</v>
      </c>
      <c r="G1787" s="5">
        <v>538.94000000000005</v>
      </c>
      <c r="H1787" s="6">
        <v>14</v>
      </c>
      <c r="I1787" s="2" t="s">
        <v>2118</v>
      </c>
    </row>
    <row r="1788" spans="2:9" x14ac:dyDescent="0.3">
      <c r="B1788" s="2" t="s">
        <v>1794</v>
      </c>
      <c r="C1788" s="3">
        <v>44613</v>
      </c>
      <c r="D1788" s="2" t="s">
        <v>2010</v>
      </c>
      <c r="E1788" s="2" t="s">
        <v>2099</v>
      </c>
      <c r="F1788" s="4">
        <v>4503.2700000000004</v>
      </c>
      <c r="G1788" s="5">
        <v>528.16999999999996</v>
      </c>
      <c r="H1788" s="6">
        <v>13</v>
      </c>
      <c r="I1788" s="2" t="s">
        <v>2117</v>
      </c>
    </row>
    <row r="1789" spans="2:9" x14ac:dyDescent="0.3">
      <c r="B1789" s="2" t="s">
        <v>1795</v>
      </c>
      <c r="C1789" s="3">
        <v>44945</v>
      </c>
      <c r="D1789" s="2" t="s">
        <v>2010</v>
      </c>
      <c r="E1789" s="2" t="s">
        <v>2109</v>
      </c>
      <c r="F1789" s="4">
        <v>1022.64</v>
      </c>
      <c r="G1789" s="5">
        <v>949.41</v>
      </c>
      <c r="H1789" s="6">
        <v>7</v>
      </c>
      <c r="I1789" s="2" t="s">
        <v>2118</v>
      </c>
    </row>
    <row r="1790" spans="2:9" x14ac:dyDescent="0.3">
      <c r="B1790" s="2" t="s">
        <v>1796</v>
      </c>
      <c r="C1790" s="3">
        <v>44667</v>
      </c>
      <c r="D1790" s="2" t="s">
        <v>2010</v>
      </c>
      <c r="E1790" s="2" t="s">
        <v>2066</v>
      </c>
      <c r="F1790" s="4">
        <v>1183.22</v>
      </c>
      <c r="G1790" s="5">
        <v>534.4</v>
      </c>
      <c r="H1790" s="6">
        <v>16</v>
      </c>
      <c r="I1790" s="2" t="s">
        <v>2117</v>
      </c>
    </row>
    <row r="1791" spans="2:9" x14ac:dyDescent="0.3">
      <c r="B1791" s="2" t="s">
        <v>1797</v>
      </c>
      <c r="C1791" s="3">
        <v>45556</v>
      </c>
      <c r="D1791" s="2" t="s">
        <v>2011</v>
      </c>
      <c r="E1791" s="2" t="s">
        <v>2109</v>
      </c>
      <c r="F1791" s="4">
        <v>3653.58</v>
      </c>
      <c r="G1791" s="5">
        <v>332.95</v>
      </c>
      <c r="H1791" s="6">
        <v>19</v>
      </c>
      <c r="I1791" s="2" t="s">
        <v>2118</v>
      </c>
    </row>
    <row r="1792" spans="2:9" x14ac:dyDescent="0.3">
      <c r="B1792" s="2" t="s">
        <v>1798</v>
      </c>
      <c r="C1792" s="3">
        <v>44606</v>
      </c>
      <c r="D1792" s="2" t="s">
        <v>2010</v>
      </c>
      <c r="E1792" s="2" t="s">
        <v>2043</v>
      </c>
      <c r="F1792" s="4">
        <v>3156.9</v>
      </c>
      <c r="G1792" s="5">
        <v>903.63</v>
      </c>
      <c r="H1792" s="6">
        <v>20</v>
      </c>
      <c r="I1792" s="2" t="s">
        <v>2116</v>
      </c>
    </row>
    <row r="1793" spans="2:9" x14ac:dyDescent="0.3">
      <c r="B1793" s="2" t="s">
        <v>1799</v>
      </c>
      <c r="C1793" s="3">
        <v>44154</v>
      </c>
      <c r="D1793" s="2" t="s">
        <v>2010</v>
      </c>
      <c r="E1793" s="2" t="s">
        <v>2091</v>
      </c>
      <c r="F1793" s="4">
        <v>4217.9399999999996</v>
      </c>
      <c r="G1793" s="5">
        <v>569.85</v>
      </c>
      <c r="H1793" s="6">
        <v>1</v>
      </c>
      <c r="I1793" s="2" t="s">
        <v>2117</v>
      </c>
    </row>
    <row r="1794" spans="2:9" x14ac:dyDescent="0.3">
      <c r="B1794" s="2" t="s">
        <v>1800</v>
      </c>
      <c r="C1794" s="3">
        <v>44022</v>
      </c>
      <c r="D1794" s="2" t="s">
        <v>2011</v>
      </c>
      <c r="E1794" s="2" t="s">
        <v>2018</v>
      </c>
      <c r="F1794" s="4">
        <v>4941.1899999999996</v>
      </c>
      <c r="G1794" s="5">
        <v>253</v>
      </c>
      <c r="H1794" s="6">
        <v>15</v>
      </c>
      <c r="I1794" s="2" t="s">
        <v>2116</v>
      </c>
    </row>
    <row r="1795" spans="2:9" x14ac:dyDescent="0.3">
      <c r="B1795" s="2" t="s">
        <v>1801</v>
      </c>
      <c r="C1795" s="3">
        <v>45270</v>
      </c>
      <c r="D1795" s="2" t="s">
        <v>2009</v>
      </c>
      <c r="E1795" s="2" t="s">
        <v>2046</v>
      </c>
      <c r="F1795" s="4">
        <v>4020.81</v>
      </c>
      <c r="G1795" s="5">
        <v>758.92</v>
      </c>
      <c r="H1795" s="6">
        <v>5</v>
      </c>
      <c r="I1795" s="2" t="s">
        <v>2117</v>
      </c>
    </row>
    <row r="1796" spans="2:9" x14ac:dyDescent="0.3">
      <c r="B1796" s="2" t="s">
        <v>1802</v>
      </c>
      <c r="C1796" s="3">
        <v>44170</v>
      </c>
      <c r="D1796" s="2" t="s">
        <v>2011</v>
      </c>
      <c r="E1796" s="2" t="s">
        <v>2040</v>
      </c>
      <c r="F1796" s="4">
        <v>4450.84</v>
      </c>
      <c r="G1796" s="5">
        <v>588.79</v>
      </c>
      <c r="H1796" s="6">
        <v>17</v>
      </c>
      <c r="I1796" s="2" t="s">
        <v>2116</v>
      </c>
    </row>
    <row r="1797" spans="2:9" x14ac:dyDescent="0.3">
      <c r="B1797" s="2" t="s">
        <v>1803</v>
      </c>
      <c r="C1797" s="3">
        <v>45135</v>
      </c>
      <c r="D1797" s="2" t="s">
        <v>2012</v>
      </c>
      <c r="E1797" s="2" t="s">
        <v>2047</v>
      </c>
      <c r="F1797" s="4">
        <v>4925.8599999999997</v>
      </c>
      <c r="G1797" s="5">
        <v>14.41</v>
      </c>
      <c r="H1797" s="6">
        <v>19</v>
      </c>
      <c r="I1797" s="2" t="s">
        <v>2116</v>
      </c>
    </row>
    <row r="1798" spans="2:9" x14ac:dyDescent="0.3">
      <c r="B1798" s="2" t="s">
        <v>1804</v>
      </c>
      <c r="C1798" s="3">
        <v>45273</v>
      </c>
      <c r="D1798" s="2" t="s">
        <v>2011</v>
      </c>
      <c r="E1798" s="2" t="s">
        <v>2023</v>
      </c>
      <c r="F1798" s="4">
        <v>2448.12</v>
      </c>
      <c r="G1798" s="5">
        <v>258.3</v>
      </c>
      <c r="H1798" s="6">
        <v>18</v>
      </c>
      <c r="I1798" s="2" t="s">
        <v>2118</v>
      </c>
    </row>
    <row r="1799" spans="2:9" x14ac:dyDescent="0.3">
      <c r="B1799" s="2" t="s">
        <v>1805</v>
      </c>
      <c r="C1799" s="3">
        <v>45014</v>
      </c>
      <c r="D1799" s="2" t="s">
        <v>2010</v>
      </c>
      <c r="E1799" s="2" t="s">
        <v>2102</v>
      </c>
      <c r="F1799" s="4">
        <v>707.44</v>
      </c>
      <c r="G1799" s="5">
        <v>99.74</v>
      </c>
      <c r="H1799" s="6">
        <v>16</v>
      </c>
      <c r="I1799" s="2" t="s">
        <v>2118</v>
      </c>
    </row>
    <row r="1800" spans="2:9" x14ac:dyDescent="0.3">
      <c r="B1800" s="2" t="s">
        <v>1806</v>
      </c>
      <c r="C1800" s="3">
        <v>45453</v>
      </c>
      <c r="D1800" s="2" t="s">
        <v>2009</v>
      </c>
      <c r="E1800" s="2" t="s">
        <v>2046</v>
      </c>
      <c r="F1800" s="4">
        <v>1066.25</v>
      </c>
      <c r="G1800" s="5">
        <v>56.6</v>
      </c>
      <c r="H1800" s="6">
        <v>15</v>
      </c>
      <c r="I1800" s="2" t="s">
        <v>2117</v>
      </c>
    </row>
    <row r="1801" spans="2:9" x14ac:dyDescent="0.3">
      <c r="B1801" s="2" t="s">
        <v>1807</v>
      </c>
      <c r="C1801" s="3">
        <v>43894</v>
      </c>
      <c r="D1801" s="2" t="s">
        <v>2010</v>
      </c>
      <c r="E1801" s="2" t="s">
        <v>2027</v>
      </c>
      <c r="F1801" s="4">
        <v>4180.13</v>
      </c>
      <c r="G1801" s="5">
        <v>418.87</v>
      </c>
      <c r="H1801" s="6">
        <v>4</v>
      </c>
      <c r="I1801" s="2" t="s">
        <v>2117</v>
      </c>
    </row>
    <row r="1802" spans="2:9" x14ac:dyDescent="0.3">
      <c r="B1802" s="2" t="s">
        <v>1808</v>
      </c>
      <c r="C1802" s="3">
        <v>43893</v>
      </c>
      <c r="D1802" s="2" t="s">
        <v>2009</v>
      </c>
      <c r="E1802" s="2" t="s">
        <v>2080</v>
      </c>
      <c r="F1802" s="4">
        <v>2964.22</v>
      </c>
      <c r="G1802" s="5">
        <v>975.28</v>
      </c>
      <c r="H1802" s="6">
        <v>4</v>
      </c>
      <c r="I1802" s="2" t="s">
        <v>2118</v>
      </c>
    </row>
    <row r="1803" spans="2:9" x14ac:dyDescent="0.3">
      <c r="B1803" s="2" t="s">
        <v>1809</v>
      </c>
      <c r="C1803" s="3">
        <v>44470</v>
      </c>
      <c r="D1803" s="2" t="s">
        <v>2010</v>
      </c>
      <c r="E1803" s="2" t="s">
        <v>2031</v>
      </c>
      <c r="F1803" s="4">
        <v>1600.71</v>
      </c>
      <c r="G1803" s="5">
        <v>274.22000000000003</v>
      </c>
      <c r="H1803" s="6">
        <v>6</v>
      </c>
      <c r="I1803" s="2" t="s">
        <v>2117</v>
      </c>
    </row>
    <row r="1804" spans="2:9" x14ac:dyDescent="0.3">
      <c r="B1804" s="2" t="s">
        <v>1810</v>
      </c>
      <c r="C1804" s="3">
        <v>44825</v>
      </c>
      <c r="D1804" s="2" t="s">
        <v>2011</v>
      </c>
      <c r="E1804" s="2" t="s">
        <v>2083</v>
      </c>
      <c r="F1804" s="4">
        <v>3299.85</v>
      </c>
      <c r="G1804" s="5">
        <v>467.91</v>
      </c>
      <c r="H1804" s="6">
        <v>12</v>
      </c>
      <c r="I1804" s="2" t="s">
        <v>2117</v>
      </c>
    </row>
    <row r="1805" spans="2:9" x14ac:dyDescent="0.3">
      <c r="B1805" s="2" t="s">
        <v>1811</v>
      </c>
      <c r="C1805" s="3">
        <v>45469</v>
      </c>
      <c r="D1805" s="2" t="s">
        <v>2010</v>
      </c>
      <c r="E1805" s="2" t="s">
        <v>2046</v>
      </c>
      <c r="F1805" s="4">
        <v>659.18</v>
      </c>
      <c r="G1805" s="5">
        <v>639.9</v>
      </c>
      <c r="H1805" s="6">
        <v>6</v>
      </c>
      <c r="I1805" s="2" t="s">
        <v>2117</v>
      </c>
    </row>
    <row r="1806" spans="2:9" x14ac:dyDescent="0.3">
      <c r="B1806" s="2" t="s">
        <v>1812</v>
      </c>
      <c r="C1806" s="3">
        <v>43841</v>
      </c>
      <c r="D1806" s="2" t="s">
        <v>2011</v>
      </c>
      <c r="E1806" s="2" t="s">
        <v>2073</v>
      </c>
      <c r="F1806" s="4">
        <v>2923.28</v>
      </c>
      <c r="G1806" s="5">
        <v>558.9</v>
      </c>
      <c r="H1806" s="6">
        <v>18</v>
      </c>
      <c r="I1806" s="2" t="s">
        <v>2118</v>
      </c>
    </row>
    <row r="1807" spans="2:9" x14ac:dyDescent="0.3">
      <c r="B1807" s="2" t="s">
        <v>1813</v>
      </c>
      <c r="C1807" s="3">
        <v>45129</v>
      </c>
      <c r="D1807" s="2" t="s">
        <v>2012</v>
      </c>
      <c r="E1807" s="2" t="s">
        <v>2054</v>
      </c>
      <c r="F1807" s="4">
        <v>3206.96</v>
      </c>
      <c r="G1807" s="5">
        <v>992.19</v>
      </c>
      <c r="H1807" s="6">
        <v>1</v>
      </c>
      <c r="I1807" s="2" t="s">
        <v>2116</v>
      </c>
    </row>
    <row r="1808" spans="2:9" x14ac:dyDescent="0.3">
      <c r="B1808" s="2" t="s">
        <v>1814</v>
      </c>
      <c r="C1808" s="3">
        <v>43872</v>
      </c>
      <c r="D1808" s="2" t="s">
        <v>2009</v>
      </c>
      <c r="E1808" s="2" t="s">
        <v>2102</v>
      </c>
      <c r="F1808" s="4">
        <v>3638.53</v>
      </c>
      <c r="G1808" s="5">
        <v>401.01</v>
      </c>
      <c r="H1808" s="6">
        <v>7</v>
      </c>
      <c r="I1808" s="2" t="s">
        <v>2118</v>
      </c>
    </row>
    <row r="1809" spans="2:9" x14ac:dyDescent="0.3">
      <c r="B1809" s="2" t="s">
        <v>1815</v>
      </c>
      <c r="C1809" s="3">
        <v>44017</v>
      </c>
      <c r="D1809" s="2" t="s">
        <v>2010</v>
      </c>
      <c r="E1809" s="2" t="s">
        <v>2054</v>
      </c>
      <c r="F1809" s="4">
        <v>3071.59</v>
      </c>
      <c r="G1809" s="5">
        <v>763.83</v>
      </c>
      <c r="H1809" s="6">
        <v>2</v>
      </c>
      <c r="I1809" s="2" t="s">
        <v>2118</v>
      </c>
    </row>
    <row r="1810" spans="2:9" x14ac:dyDescent="0.3">
      <c r="B1810" s="2" t="s">
        <v>1816</v>
      </c>
      <c r="C1810" s="3">
        <v>45268</v>
      </c>
      <c r="D1810" s="2" t="s">
        <v>2009</v>
      </c>
      <c r="E1810" s="2" t="s">
        <v>2019</v>
      </c>
      <c r="F1810" s="4">
        <v>4794.3500000000004</v>
      </c>
      <c r="G1810" s="5">
        <v>836.18</v>
      </c>
      <c r="H1810" s="6">
        <v>1</v>
      </c>
      <c r="I1810" s="2" t="s">
        <v>2116</v>
      </c>
    </row>
    <row r="1811" spans="2:9" x14ac:dyDescent="0.3">
      <c r="B1811" s="2" t="s">
        <v>1817</v>
      </c>
      <c r="C1811" s="3">
        <v>44840</v>
      </c>
      <c r="D1811" s="2" t="s">
        <v>2011</v>
      </c>
      <c r="E1811" s="2" t="s">
        <v>2111</v>
      </c>
      <c r="F1811" s="4">
        <v>537.89</v>
      </c>
      <c r="G1811" s="5">
        <v>663.63</v>
      </c>
      <c r="H1811" s="6">
        <v>6</v>
      </c>
      <c r="I1811" s="2" t="s">
        <v>2118</v>
      </c>
    </row>
    <row r="1812" spans="2:9" x14ac:dyDescent="0.3">
      <c r="B1812" s="2" t="s">
        <v>1818</v>
      </c>
      <c r="C1812" s="3">
        <v>43847</v>
      </c>
      <c r="D1812" s="2" t="s">
        <v>2012</v>
      </c>
      <c r="E1812" s="2" t="s">
        <v>2061</v>
      </c>
      <c r="F1812" s="4">
        <v>4469.6499999999996</v>
      </c>
      <c r="G1812" s="5">
        <v>244.77</v>
      </c>
      <c r="H1812" s="6">
        <v>20</v>
      </c>
      <c r="I1812" s="2" t="s">
        <v>2118</v>
      </c>
    </row>
    <row r="1813" spans="2:9" x14ac:dyDescent="0.3">
      <c r="B1813" s="2" t="s">
        <v>1819</v>
      </c>
      <c r="C1813" s="3">
        <v>45393</v>
      </c>
      <c r="D1813" s="2" t="s">
        <v>2010</v>
      </c>
      <c r="E1813" s="2" t="s">
        <v>2040</v>
      </c>
      <c r="F1813" s="4">
        <v>4060.98</v>
      </c>
      <c r="G1813" s="5">
        <v>825.62</v>
      </c>
      <c r="H1813" s="6">
        <v>14</v>
      </c>
      <c r="I1813" s="2" t="s">
        <v>2118</v>
      </c>
    </row>
    <row r="1814" spans="2:9" x14ac:dyDescent="0.3">
      <c r="B1814" s="2" t="s">
        <v>1820</v>
      </c>
      <c r="C1814" s="3">
        <v>43957</v>
      </c>
      <c r="D1814" s="2" t="s">
        <v>2011</v>
      </c>
      <c r="E1814" s="2" t="s">
        <v>2075</v>
      </c>
      <c r="F1814" s="4">
        <v>3945.56</v>
      </c>
      <c r="G1814" s="5">
        <v>320.31</v>
      </c>
      <c r="H1814" s="6">
        <v>3</v>
      </c>
      <c r="I1814" s="2" t="s">
        <v>2116</v>
      </c>
    </row>
    <row r="1815" spans="2:9" x14ac:dyDescent="0.3">
      <c r="B1815" s="2" t="s">
        <v>1821</v>
      </c>
      <c r="C1815" s="3">
        <v>45549</v>
      </c>
      <c r="D1815" s="2" t="s">
        <v>2009</v>
      </c>
      <c r="E1815" s="2" t="s">
        <v>2099</v>
      </c>
      <c r="F1815" s="4">
        <v>3189.26</v>
      </c>
      <c r="G1815" s="5">
        <v>431.62</v>
      </c>
      <c r="H1815" s="6">
        <v>2</v>
      </c>
      <c r="I1815" s="2" t="s">
        <v>2117</v>
      </c>
    </row>
    <row r="1816" spans="2:9" x14ac:dyDescent="0.3">
      <c r="B1816" s="2" t="s">
        <v>1822</v>
      </c>
      <c r="C1816" s="3">
        <v>44268</v>
      </c>
      <c r="D1816" s="2" t="s">
        <v>2010</v>
      </c>
      <c r="E1816" s="2" t="s">
        <v>2031</v>
      </c>
      <c r="F1816" s="4">
        <v>1600.06</v>
      </c>
      <c r="G1816" s="5">
        <v>797.56</v>
      </c>
      <c r="H1816" s="6">
        <v>7</v>
      </c>
      <c r="I1816" s="2" t="s">
        <v>2116</v>
      </c>
    </row>
    <row r="1817" spans="2:9" x14ac:dyDescent="0.3">
      <c r="B1817" s="2" t="s">
        <v>1823</v>
      </c>
      <c r="C1817" s="3">
        <v>44895</v>
      </c>
      <c r="D1817" s="2" t="s">
        <v>2011</v>
      </c>
      <c r="E1817" s="2" t="s">
        <v>2087</v>
      </c>
      <c r="F1817" s="4">
        <v>4611.1099999999997</v>
      </c>
      <c r="G1817" s="5">
        <v>628.63</v>
      </c>
      <c r="H1817" s="6">
        <v>20</v>
      </c>
      <c r="I1817" s="2" t="s">
        <v>2118</v>
      </c>
    </row>
    <row r="1818" spans="2:9" x14ac:dyDescent="0.3">
      <c r="B1818" s="2" t="s">
        <v>1824</v>
      </c>
      <c r="C1818" s="3">
        <v>44885</v>
      </c>
      <c r="D1818" s="2" t="s">
        <v>2010</v>
      </c>
      <c r="E1818" s="2" t="s">
        <v>2056</v>
      </c>
      <c r="F1818" s="4">
        <v>889.89</v>
      </c>
      <c r="G1818" s="5">
        <v>757.14</v>
      </c>
      <c r="H1818" s="6">
        <v>12</v>
      </c>
      <c r="I1818" s="2" t="s">
        <v>2117</v>
      </c>
    </row>
    <row r="1819" spans="2:9" x14ac:dyDescent="0.3">
      <c r="B1819" s="2" t="s">
        <v>1825</v>
      </c>
      <c r="C1819" s="3">
        <v>43981</v>
      </c>
      <c r="D1819" s="2" t="s">
        <v>2011</v>
      </c>
      <c r="E1819" s="2" t="s">
        <v>2076</v>
      </c>
      <c r="F1819" s="4">
        <v>2980.32</v>
      </c>
      <c r="G1819" s="5">
        <v>72.37</v>
      </c>
      <c r="H1819" s="6">
        <v>4</v>
      </c>
      <c r="I1819" s="2" t="s">
        <v>2116</v>
      </c>
    </row>
    <row r="1820" spans="2:9" x14ac:dyDescent="0.3">
      <c r="B1820" s="2" t="s">
        <v>1826</v>
      </c>
      <c r="C1820" s="3">
        <v>44194</v>
      </c>
      <c r="D1820" s="2" t="s">
        <v>2010</v>
      </c>
      <c r="E1820" s="2" t="s">
        <v>2048</v>
      </c>
      <c r="F1820" s="4">
        <v>3183.97</v>
      </c>
      <c r="G1820" s="5">
        <v>150.97</v>
      </c>
      <c r="H1820" s="6">
        <v>17</v>
      </c>
      <c r="I1820" s="2" t="s">
        <v>2118</v>
      </c>
    </row>
    <row r="1821" spans="2:9" x14ac:dyDescent="0.3">
      <c r="B1821" s="2" t="s">
        <v>1827</v>
      </c>
      <c r="C1821" s="3">
        <v>44817</v>
      </c>
      <c r="D1821" s="2" t="s">
        <v>2012</v>
      </c>
      <c r="E1821" s="2" t="s">
        <v>2101</v>
      </c>
      <c r="F1821" s="4">
        <v>2809.11</v>
      </c>
      <c r="G1821" s="5">
        <v>764.44</v>
      </c>
      <c r="H1821" s="6">
        <v>20</v>
      </c>
      <c r="I1821" s="2" t="s">
        <v>2116</v>
      </c>
    </row>
    <row r="1822" spans="2:9" x14ac:dyDescent="0.3">
      <c r="B1822" s="2" t="s">
        <v>1828</v>
      </c>
      <c r="C1822" s="3">
        <v>44909</v>
      </c>
      <c r="D1822" s="2" t="s">
        <v>2009</v>
      </c>
      <c r="E1822" s="2" t="s">
        <v>2013</v>
      </c>
      <c r="F1822" s="4">
        <v>2428.87</v>
      </c>
      <c r="G1822" s="5">
        <v>224.14</v>
      </c>
      <c r="H1822" s="6">
        <v>15</v>
      </c>
      <c r="I1822" s="2" t="s">
        <v>2117</v>
      </c>
    </row>
    <row r="1823" spans="2:9" x14ac:dyDescent="0.3">
      <c r="B1823" s="2" t="s">
        <v>1829</v>
      </c>
      <c r="C1823" s="3">
        <v>45102</v>
      </c>
      <c r="D1823" s="2" t="s">
        <v>2012</v>
      </c>
      <c r="E1823" s="2" t="s">
        <v>2099</v>
      </c>
      <c r="F1823" s="4">
        <v>3140.74</v>
      </c>
      <c r="G1823" s="5">
        <v>704.35</v>
      </c>
      <c r="H1823" s="6">
        <v>11</v>
      </c>
      <c r="I1823" s="2" t="s">
        <v>2117</v>
      </c>
    </row>
    <row r="1824" spans="2:9" x14ac:dyDescent="0.3">
      <c r="B1824" s="2" t="s">
        <v>1830</v>
      </c>
      <c r="C1824" s="3">
        <v>44505</v>
      </c>
      <c r="D1824" s="2" t="s">
        <v>2011</v>
      </c>
      <c r="E1824" s="2" t="s">
        <v>2020</v>
      </c>
      <c r="F1824" s="4">
        <v>1410.99</v>
      </c>
      <c r="G1824" s="5">
        <v>37.18</v>
      </c>
      <c r="H1824" s="6">
        <v>15</v>
      </c>
      <c r="I1824" s="2" t="s">
        <v>2118</v>
      </c>
    </row>
    <row r="1825" spans="2:9" x14ac:dyDescent="0.3">
      <c r="B1825" s="2" t="s">
        <v>1831</v>
      </c>
      <c r="C1825" s="3">
        <v>44876</v>
      </c>
      <c r="D1825" s="2" t="s">
        <v>2010</v>
      </c>
      <c r="E1825" s="2" t="s">
        <v>2053</v>
      </c>
      <c r="F1825" s="4">
        <v>1078.1199999999999</v>
      </c>
      <c r="G1825" s="5">
        <v>583.45000000000005</v>
      </c>
      <c r="H1825" s="6">
        <v>8</v>
      </c>
      <c r="I1825" s="2" t="s">
        <v>2117</v>
      </c>
    </row>
    <row r="1826" spans="2:9" x14ac:dyDescent="0.3">
      <c r="B1826" s="2" t="s">
        <v>1832</v>
      </c>
      <c r="C1826" s="3">
        <v>44260</v>
      </c>
      <c r="D1826" s="2" t="s">
        <v>2011</v>
      </c>
      <c r="E1826" s="2" t="s">
        <v>2021</v>
      </c>
      <c r="F1826" s="4">
        <v>3064.26</v>
      </c>
      <c r="G1826" s="5">
        <v>955.36</v>
      </c>
      <c r="H1826" s="6">
        <v>11</v>
      </c>
      <c r="I1826" s="2" t="s">
        <v>2118</v>
      </c>
    </row>
    <row r="1827" spans="2:9" x14ac:dyDescent="0.3">
      <c r="B1827" s="2" t="s">
        <v>1833</v>
      </c>
      <c r="C1827" s="3">
        <v>44538</v>
      </c>
      <c r="D1827" s="2" t="s">
        <v>2009</v>
      </c>
      <c r="E1827" s="2" t="s">
        <v>2095</v>
      </c>
      <c r="F1827" s="4">
        <v>4747.28</v>
      </c>
      <c r="G1827" s="5">
        <v>649.02</v>
      </c>
      <c r="H1827" s="6">
        <v>18</v>
      </c>
      <c r="I1827" s="2" t="s">
        <v>2116</v>
      </c>
    </row>
    <row r="1828" spans="2:9" x14ac:dyDescent="0.3">
      <c r="B1828" s="2" t="s">
        <v>1834</v>
      </c>
      <c r="C1828" s="3">
        <v>45428</v>
      </c>
      <c r="D1828" s="2" t="s">
        <v>2011</v>
      </c>
      <c r="E1828" s="2" t="s">
        <v>2061</v>
      </c>
      <c r="F1828" s="4">
        <v>2467.5100000000002</v>
      </c>
      <c r="G1828" s="5">
        <v>297.25</v>
      </c>
      <c r="H1828" s="6">
        <v>3</v>
      </c>
      <c r="I1828" s="2" t="s">
        <v>2118</v>
      </c>
    </row>
    <row r="1829" spans="2:9" x14ac:dyDescent="0.3">
      <c r="B1829" s="2" t="s">
        <v>1835</v>
      </c>
      <c r="C1829" s="3">
        <v>44696</v>
      </c>
      <c r="D1829" s="2" t="s">
        <v>2011</v>
      </c>
      <c r="E1829" s="2" t="s">
        <v>2090</v>
      </c>
      <c r="F1829" s="4">
        <v>4675.03</v>
      </c>
      <c r="G1829" s="5">
        <v>25.8</v>
      </c>
      <c r="H1829" s="6">
        <v>18</v>
      </c>
      <c r="I1829" s="2" t="s">
        <v>2117</v>
      </c>
    </row>
    <row r="1830" spans="2:9" x14ac:dyDescent="0.3">
      <c r="B1830" s="2" t="s">
        <v>1836</v>
      </c>
      <c r="C1830" s="3">
        <v>45472</v>
      </c>
      <c r="D1830" s="2" t="s">
        <v>2009</v>
      </c>
      <c r="E1830" s="2" t="s">
        <v>2013</v>
      </c>
      <c r="F1830" s="4">
        <v>2462.86</v>
      </c>
      <c r="G1830" s="5">
        <v>863.51</v>
      </c>
      <c r="H1830" s="6">
        <v>16</v>
      </c>
      <c r="I1830" s="2" t="s">
        <v>2117</v>
      </c>
    </row>
    <row r="1831" spans="2:9" x14ac:dyDescent="0.3">
      <c r="B1831" s="2" t="s">
        <v>1837</v>
      </c>
      <c r="C1831" s="3">
        <v>44339</v>
      </c>
      <c r="D1831" s="2" t="s">
        <v>2011</v>
      </c>
      <c r="E1831" s="2" t="s">
        <v>2087</v>
      </c>
      <c r="F1831" s="4">
        <v>3768.17</v>
      </c>
      <c r="G1831" s="5">
        <v>459.07</v>
      </c>
      <c r="H1831" s="6">
        <v>15</v>
      </c>
      <c r="I1831" s="2" t="s">
        <v>2117</v>
      </c>
    </row>
    <row r="1832" spans="2:9" x14ac:dyDescent="0.3">
      <c r="B1832" s="2" t="s">
        <v>1838</v>
      </c>
      <c r="C1832" s="3">
        <v>45123</v>
      </c>
      <c r="D1832" s="2" t="s">
        <v>2012</v>
      </c>
      <c r="E1832" s="2" t="s">
        <v>2040</v>
      </c>
      <c r="F1832" s="4">
        <v>2093.63</v>
      </c>
      <c r="G1832" s="5">
        <v>524.30999999999995</v>
      </c>
      <c r="H1832" s="6">
        <v>8</v>
      </c>
      <c r="I1832" s="2" t="s">
        <v>2116</v>
      </c>
    </row>
    <row r="1833" spans="2:9" x14ac:dyDescent="0.3">
      <c r="B1833" s="2" t="s">
        <v>1839</v>
      </c>
      <c r="C1833" s="3">
        <v>45579</v>
      </c>
      <c r="D1833" s="2" t="s">
        <v>2011</v>
      </c>
      <c r="E1833" s="2" t="s">
        <v>2073</v>
      </c>
      <c r="F1833" s="4">
        <v>4408.28</v>
      </c>
      <c r="G1833" s="5">
        <v>862.94</v>
      </c>
      <c r="H1833" s="6">
        <v>1</v>
      </c>
      <c r="I1833" s="2" t="s">
        <v>2117</v>
      </c>
    </row>
    <row r="1834" spans="2:9" x14ac:dyDescent="0.3">
      <c r="B1834" s="2" t="s">
        <v>1840</v>
      </c>
      <c r="C1834" s="3">
        <v>45513</v>
      </c>
      <c r="D1834" s="2" t="s">
        <v>2012</v>
      </c>
      <c r="E1834" s="2" t="s">
        <v>2052</v>
      </c>
      <c r="F1834" s="4">
        <v>328.21</v>
      </c>
      <c r="G1834" s="5">
        <v>837.79</v>
      </c>
      <c r="H1834" s="6">
        <v>12</v>
      </c>
      <c r="I1834" s="2" t="s">
        <v>2116</v>
      </c>
    </row>
    <row r="1835" spans="2:9" x14ac:dyDescent="0.3">
      <c r="B1835" s="2" t="s">
        <v>1841</v>
      </c>
      <c r="C1835" s="3">
        <v>44820</v>
      </c>
      <c r="D1835" s="2" t="s">
        <v>2010</v>
      </c>
      <c r="E1835" s="2" t="s">
        <v>2099</v>
      </c>
      <c r="F1835" s="4">
        <v>1797.91</v>
      </c>
      <c r="G1835" s="5">
        <v>339.13</v>
      </c>
      <c r="H1835" s="6">
        <v>19</v>
      </c>
      <c r="I1835" s="2" t="s">
        <v>2116</v>
      </c>
    </row>
    <row r="1836" spans="2:9" x14ac:dyDescent="0.3">
      <c r="B1836" s="2" t="s">
        <v>1842</v>
      </c>
      <c r="C1836" s="3">
        <v>44361</v>
      </c>
      <c r="D1836" s="2" t="s">
        <v>2009</v>
      </c>
      <c r="E1836" s="2" t="s">
        <v>2089</v>
      </c>
      <c r="F1836" s="4">
        <v>4100.82</v>
      </c>
      <c r="G1836" s="5">
        <v>961.25</v>
      </c>
      <c r="H1836" s="6">
        <v>9</v>
      </c>
      <c r="I1836" s="2" t="s">
        <v>2118</v>
      </c>
    </row>
    <row r="1837" spans="2:9" x14ac:dyDescent="0.3">
      <c r="B1837" s="2" t="s">
        <v>1843</v>
      </c>
      <c r="C1837" s="3">
        <v>44434</v>
      </c>
      <c r="D1837" s="2" t="s">
        <v>2010</v>
      </c>
      <c r="E1837" s="2" t="s">
        <v>2108</v>
      </c>
      <c r="F1837" s="4">
        <v>4589.1099999999997</v>
      </c>
      <c r="G1837" s="5">
        <v>71.73</v>
      </c>
      <c r="H1837" s="6">
        <v>2</v>
      </c>
      <c r="I1837" s="2" t="s">
        <v>2118</v>
      </c>
    </row>
    <row r="1838" spans="2:9" x14ac:dyDescent="0.3">
      <c r="B1838" s="2" t="s">
        <v>1844</v>
      </c>
      <c r="C1838" s="3">
        <v>44676</v>
      </c>
      <c r="D1838" s="2" t="s">
        <v>2009</v>
      </c>
      <c r="E1838" s="2" t="s">
        <v>2077</v>
      </c>
      <c r="F1838" s="4">
        <v>4655.37</v>
      </c>
      <c r="G1838" s="5">
        <v>895.65</v>
      </c>
      <c r="H1838" s="6">
        <v>15</v>
      </c>
      <c r="I1838" s="2" t="s">
        <v>2117</v>
      </c>
    </row>
    <row r="1839" spans="2:9" x14ac:dyDescent="0.3">
      <c r="B1839" s="2" t="s">
        <v>1845</v>
      </c>
      <c r="C1839" s="3">
        <v>44263</v>
      </c>
      <c r="D1839" s="2" t="s">
        <v>2011</v>
      </c>
      <c r="E1839" s="2" t="s">
        <v>2029</v>
      </c>
      <c r="F1839" s="4">
        <v>1739.85</v>
      </c>
      <c r="G1839" s="5">
        <v>713.77</v>
      </c>
      <c r="H1839" s="6">
        <v>9</v>
      </c>
      <c r="I1839" s="2" t="s">
        <v>2118</v>
      </c>
    </row>
    <row r="1840" spans="2:9" x14ac:dyDescent="0.3">
      <c r="B1840" s="2" t="s">
        <v>1846</v>
      </c>
      <c r="C1840" s="3">
        <v>44649</v>
      </c>
      <c r="D1840" s="2" t="s">
        <v>2011</v>
      </c>
      <c r="E1840" s="2" t="s">
        <v>2032</v>
      </c>
      <c r="F1840" s="4">
        <v>582.08000000000004</v>
      </c>
      <c r="G1840" s="5">
        <v>547.04999999999995</v>
      </c>
      <c r="H1840" s="6">
        <v>6</v>
      </c>
      <c r="I1840" s="2" t="s">
        <v>2116</v>
      </c>
    </row>
    <row r="1841" spans="2:9" x14ac:dyDescent="0.3">
      <c r="B1841" s="2" t="s">
        <v>1847</v>
      </c>
      <c r="C1841" s="3">
        <v>45345</v>
      </c>
      <c r="D1841" s="2" t="s">
        <v>2009</v>
      </c>
      <c r="E1841" s="2" t="s">
        <v>2098</v>
      </c>
      <c r="F1841" s="4">
        <v>2699.34</v>
      </c>
      <c r="G1841" s="5">
        <v>156.54</v>
      </c>
      <c r="H1841" s="6">
        <v>2</v>
      </c>
      <c r="I1841" s="2" t="s">
        <v>2117</v>
      </c>
    </row>
    <row r="1842" spans="2:9" x14ac:dyDescent="0.3">
      <c r="B1842" s="2" t="s">
        <v>1848</v>
      </c>
      <c r="C1842" s="3">
        <v>44145</v>
      </c>
      <c r="D1842" s="2" t="s">
        <v>2012</v>
      </c>
      <c r="E1842" s="2" t="s">
        <v>2014</v>
      </c>
      <c r="F1842" s="4">
        <v>2573.94</v>
      </c>
      <c r="G1842" s="5">
        <v>34.32</v>
      </c>
      <c r="H1842" s="6">
        <v>14</v>
      </c>
      <c r="I1842" s="2" t="s">
        <v>2118</v>
      </c>
    </row>
    <row r="1843" spans="2:9" x14ac:dyDescent="0.3">
      <c r="B1843" s="2" t="s">
        <v>1849</v>
      </c>
      <c r="C1843" s="3">
        <v>44680</v>
      </c>
      <c r="D1843" s="2" t="s">
        <v>2011</v>
      </c>
      <c r="E1843" s="2" t="s">
        <v>2014</v>
      </c>
      <c r="F1843" s="4">
        <v>1712.23</v>
      </c>
      <c r="G1843" s="5">
        <v>880.42</v>
      </c>
      <c r="H1843" s="6">
        <v>2</v>
      </c>
      <c r="I1843" s="2" t="s">
        <v>2116</v>
      </c>
    </row>
    <row r="1844" spans="2:9" x14ac:dyDescent="0.3">
      <c r="B1844" s="2" t="s">
        <v>1850</v>
      </c>
      <c r="C1844" s="3">
        <v>44181</v>
      </c>
      <c r="D1844" s="2" t="s">
        <v>2009</v>
      </c>
      <c r="E1844" s="2" t="s">
        <v>2037</v>
      </c>
      <c r="F1844" s="4">
        <v>146.31</v>
      </c>
      <c r="G1844" s="5">
        <v>124.36</v>
      </c>
      <c r="H1844" s="6">
        <v>15</v>
      </c>
      <c r="I1844" s="2" t="s">
        <v>2116</v>
      </c>
    </row>
    <row r="1845" spans="2:9" x14ac:dyDescent="0.3">
      <c r="B1845" s="2" t="s">
        <v>1851</v>
      </c>
      <c r="C1845" s="3">
        <v>45348</v>
      </c>
      <c r="D1845" s="2" t="s">
        <v>2011</v>
      </c>
      <c r="E1845" s="2" t="s">
        <v>2061</v>
      </c>
      <c r="F1845" s="4">
        <v>1672.93</v>
      </c>
      <c r="G1845" s="5">
        <v>222.09</v>
      </c>
      <c r="H1845" s="6">
        <v>8</v>
      </c>
      <c r="I1845" s="2" t="s">
        <v>2116</v>
      </c>
    </row>
    <row r="1846" spans="2:9" x14ac:dyDescent="0.3">
      <c r="B1846" s="2" t="s">
        <v>1852</v>
      </c>
      <c r="C1846" s="3">
        <v>45071</v>
      </c>
      <c r="D1846" s="2" t="s">
        <v>2009</v>
      </c>
      <c r="E1846" s="2" t="s">
        <v>2016</v>
      </c>
      <c r="F1846" s="4">
        <v>1475.54</v>
      </c>
      <c r="G1846" s="5">
        <v>69.09</v>
      </c>
      <c r="H1846" s="6">
        <v>12</v>
      </c>
      <c r="I1846" s="2" t="s">
        <v>2116</v>
      </c>
    </row>
    <row r="1847" spans="2:9" x14ac:dyDescent="0.3">
      <c r="B1847" s="2" t="s">
        <v>1853</v>
      </c>
      <c r="C1847" s="3">
        <v>43979</v>
      </c>
      <c r="D1847" s="2" t="s">
        <v>2010</v>
      </c>
      <c r="E1847" s="2" t="s">
        <v>2086</v>
      </c>
      <c r="F1847" s="4">
        <v>3469.63</v>
      </c>
      <c r="G1847" s="5">
        <v>870.71</v>
      </c>
      <c r="H1847" s="6">
        <v>9</v>
      </c>
      <c r="I1847" s="2" t="s">
        <v>2118</v>
      </c>
    </row>
    <row r="1848" spans="2:9" x14ac:dyDescent="0.3">
      <c r="B1848" s="2" t="s">
        <v>1854</v>
      </c>
      <c r="C1848" s="3">
        <v>44276</v>
      </c>
      <c r="D1848" s="2" t="s">
        <v>2009</v>
      </c>
      <c r="E1848" s="2" t="s">
        <v>2031</v>
      </c>
      <c r="F1848" s="4">
        <v>3198.73</v>
      </c>
      <c r="G1848" s="5">
        <v>709.45</v>
      </c>
      <c r="H1848" s="6">
        <v>8</v>
      </c>
      <c r="I1848" s="2" t="s">
        <v>2118</v>
      </c>
    </row>
    <row r="1849" spans="2:9" x14ac:dyDescent="0.3">
      <c r="B1849" s="2" t="s">
        <v>1855</v>
      </c>
      <c r="C1849" s="3">
        <v>44793</v>
      </c>
      <c r="D1849" s="2" t="s">
        <v>2012</v>
      </c>
      <c r="E1849" s="2" t="s">
        <v>2092</v>
      </c>
      <c r="F1849" s="4">
        <v>2764.3</v>
      </c>
      <c r="G1849" s="5">
        <v>633.59</v>
      </c>
      <c r="H1849" s="6">
        <v>20</v>
      </c>
      <c r="I1849" s="2" t="s">
        <v>2117</v>
      </c>
    </row>
    <row r="1850" spans="2:9" x14ac:dyDescent="0.3">
      <c r="B1850" s="2" t="s">
        <v>1856</v>
      </c>
      <c r="C1850" s="3">
        <v>44725</v>
      </c>
      <c r="D1850" s="2" t="s">
        <v>2010</v>
      </c>
      <c r="E1850" s="2" t="s">
        <v>2070</v>
      </c>
      <c r="F1850" s="4">
        <v>421.17</v>
      </c>
      <c r="G1850" s="5">
        <v>724.74</v>
      </c>
      <c r="H1850" s="6">
        <v>20</v>
      </c>
      <c r="I1850" s="2" t="s">
        <v>2117</v>
      </c>
    </row>
    <row r="1851" spans="2:9" x14ac:dyDescent="0.3">
      <c r="B1851" s="2" t="s">
        <v>1857</v>
      </c>
      <c r="C1851" s="3">
        <v>44646</v>
      </c>
      <c r="D1851" s="2" t="s">
        <v>2009</v>
      </c>
      <c r="E1851" s="2" t="s">
        <v>2078</v>
      </c>
      <c r="F1851" s="4">
        <v>3903.64</v>
      </c>
      <c r="G1851" s="5">
        <v>898.03</v>
      </c>
      <c r="H1851" s="6">
        <v>11</v>
      </c>
      <c r="I1851" s="2" t="s">
        <v>2117</v>
      </c>
    </row>
    <row r="1852" spans="2:9" x14ac:dyDescent="0.3">
      <c r="B1852" s="2" t="s">
        <v>1858</v>
      </c>
      <c r="C1852" s="3">
        <v>43894</v>
      </c>
      <c r="D1852" s="2" t="s">
        <v>2012</v>
      </c>
      <c r="E1852" s="2" t="s">
        <v>2016</v>
      </c>
      <c r="F1852" s="4">
        <v>2878.83</v>
      </c>
      <c r="G1852" s="5">
        <v>475.88</v>
      </c>
      <c r="H1852" s="6">
        <v>12</v>
      </c>
      <c r="I1852" s="2" t="s">
        <v>2116</v>
      </c>
    </row>
    <row r="1853" spans="2:9" x14ac:dyDescent="0.3">
      <c r="B1853" s="2" t="s">
        <v>1859</v>
      </c>
      <c r="C1853" s="3">
        <v>44544</v>
      </c>
      <c r="D1853" s="2" t="s">
        <v>2011</v>
      </c>
      <c r="E1853" s="2" t="s">
        <v>2104</v>
      </c>
      <c r="F1853" s="4">
        <v>3470.41</v>
      </c>
      <c r="G1853" s="5">
        <v>856.48</v>
      </c>
      <c r="H1853" s="6">
        <v>13</v>
      </c>
      <c r="I1853" s="2" t="s">
        <v>2116</v>
      </c>
    </row>
    <row r="1854" spans="2:9" x14ac:dyDescent="0.3">
      <c r="B1854" s="2" t="s">
        <v>1860</v>
      </c>
      <c r="C1854" s="3">
        <v>45080</v>
      </c>
      <c r="D1854" s="2" t="s">
        <v>2012</v>
      </c>
      <c r="E1854" s="2" t="s">
        <v>2068</v>
      </c>
      <c r="F1854" s="4">
        <v>4019.74</v>
      </c>
      <c r="G1854" s="5">
        <v>115.52</v>
      </c>
      <c r="H1854" s="6">
        <v>17</v>
      </c>
      <c r="I1854" s="2" t="s">
        <v>2116</v>
      </c>
    </row>
    <row r="1855" spans="2:9" x14ac:dyDescent="0.3">
      <c r="B1855" s="2" t="s">
        <v>1861</v>
      </c>
      <c r="C1855" s="3">
        <v>44525</v>
      </c>
      <c r="D1855" s="2" t="s">
        <v>2011</v>
      </c>
      <c r="E1855" s="2" t="s">
        <v>2100</v>
      </c>
      <c r="F1855" s="4">
        <v>3228.31</v>
      </c>
      <c r="G1855" s="5">
        <v>675.83</v>
      </c>
      <c r="H1855" s="6">
        <v>20</v>
      </c>
      <c r="I1855" s="2" t="s">
        <v>2117</v>
      </c>
    </row>
    <row r="1856" spans="2:9" x14ac:dyDescent="0.3">
      <c r="B1856" s="2" t="s">
        <v>1862</v>
      </c>
      <c r="C1856" s="3">
        <v>43945</v>
      </c>
      <c r="D1856" s="2" t="s">
        <v>2009</v>
      </c>
      <c r="E1856" s="2" t="s">
        <v>2047</v>
      </c>
      <c r="F1856" s="4">
        <v>3503.73</v>
      </c>
      <c r="G1856" s="5">
        <v>408.46</v>
      </c>
      <c r="H1856" s="6">
        <v>17</v>
      </c>
      <c r="I1856" s="2" t="s">
        <v>2117</v>
      </c>
    </row>
    <row r="1857" spans="2:9" x14ac:dyDescent="0.3">
      <c r="B1857" s="2" t="s">
        <v>1863</v>
      </c>
      <c r="C1857" s="3">
        <v>44096</v>
      </c>
      <c r="D1857" s="2" t="s">
        <v>2011</v>
      </c>
      <c r="E1857" s="2" t="s">
        <v>2067</v>
      </c>
      <c r="F1857" s="4">
        <v>4294.7700000000004</v>
      </c>
      <c r="G1857" s="5">
        <v>327.16000000000003</v>
      </c>
      <c r="H1857" s="6">
        <v>13</v>
      </c>
      <c r="I1857" s="2" t="s">
        <v>2118</v>
      </c>
    </row>
    <row r="1858" spans="2:9" x14ac:dyDescent="0.3">
      <c r="B1858" s="2" t="s">
        <v>1864</v>
      </c>
      <c r="C1858" s="3">
        <v>44172</v>
      </c>
      <c r="D1858" s="2" t="s">
        <v>2011</v>
      </c>
      <c r="E1858" s="2" t="s">
        <v>2092</v>
      </c>
      <c r="F1858" s="4">
        <v>2671.69</v>
      </c>
      <c r="G1858" s="5">
        <v>897.08</v>
      </c>
      <c r="H1858" s="6">
        <v>11</v>
      </c>
      <c r="I1858" s="2" t="s">
        <v>2116</v>
      </c>
    </row>
    <row r="1859" spans="2:9" x14ac:dyDescent="0.3">
      <c r="B1859" s="2" t="s">
        <v>1865</v>
      </c>
      <c r="C1859" s="3">
        <v>44133</v>
      </c>
      <c r="D1859" s="2" t="s">
        <v>2011</v>
      </c>
      <c r="E1859" s="2" t="s">
        <v>2022</v>
      </c>
      <c r="F1859" s="4">
        <v>3299.82</v>
      </c>
      <c r="G1859" s="5">
        <v>668.39</v>
      </c>
      <c r="H1859" s="6">
        <v>6</v>
      </c>
      <c r="I1859" s="2" t="s">
        <v>2118</v>
      </c>
    </row>
    <row r="1860" spans="2:9" x14ac:dyDescent="0.3">
      <c r="B1860" s="2" t="s">
        <v>1866</v>
      </c>
      <c r="C1860" s="3">
        <v>45570</v>
      </c>
      <c r="D1860" s="2" t="s">
        <v>2010</v>
      </c>
      <c r="E1860" s="2" t="s">
        <v>2066</v>
      </c>
      <c r="F1860" s="4">
        <v>4038.5</v>
      </c>
      <c r="G1860" s="5">
        <v>957.43</v>
      </c>
      <c r="H1860" s="6">
        <v>20</v>
      </c>
      <c r="I1860" s="2" t="s">
        <v>2118</v>
      </c>
    </row>
    <row r="1861" spans="2:9" x14ac:dyDescent="0.3">
      <c r="B1861" s="2" t="s">
        <v>1867</v>
      </c>
      <c r="C1861" s="3">
        <v>43919</v>
      </c>
      <c r="D1861" s="2" t="s">
        <v>2011</v>
      </c>
      <c r="E1861" s="2" t="s">
        <v>2048</v>
      </c>
      <c r="F1861" s="4">
        <v>1947.91</v>
      </c>
      <c r="G1861" s="5">
        <v>989.42</v>
      </c>
      <c r="H1861" s="6">
        <v>3</v>
      </c>
      <c r="I1861" s="2" t="s">
        <v>2117</v>
      </c>
    </row>
    <row r="1862" spans="2:9" x14ac:dyDescent="0.3">
      <c r="B1862" s="2" t="s">
        <v>1868</v>
      </c>
      <c r="C1862" s="3">
        <v>44038</v>
      </c>
      <c r="D1862" s="2" t="s">
        <v>2010</v>
      </c>
      <c r="E1862" s="2" t="s">
        <v>2109</v>
      </c>
      <c r="F1862" s="4">
        <v>1316.69</v>
      </c>
      <c r="G1862" s="5">
        <v>252.66</v>
      </c>
      <c r="H1862" s="6">
        <v>13</v>
      </c>
      <c r="I1862" s="2" t="s">
        <v>2117</v>
      </c>
    </row>
    <row r="1863" spans="2:9" x14ac:dyDescent="0.3">
      <c r="B1863" s="2" t="s">
        <v>1869</v>
      </c>
      <c r="C1863" s="3">
        <v>43844</v>
      </c>
      <c r="D1863" s="2" t="s">
        <v>2009</v>
      </c>
      <c r="E1863" s="2" t="s">
        <v>2054</v>
      </c>
      <c r="F1863" s="4">
        <v>1936.05</v>
      </c>
      <c r="G1863" s="5">
        <v>386.8</v>
      </c>
      <c r="H1863" s="6">
        <v>8</v>
      </c>
      <c r="I1863" s="2" t="s">
        <v>2116</v>
      </c>
    </row>
    <row r="1864" spans="2:9" x14ac:dyDescent="0.3">
      <c r="B1864" s="2" t="s">
        <v>1870</v>
      </c>
      <c r="C1864" s="3">
        <v>44670</v>
      </c>
      <c r="D1864" s="2" t="s">
        <v>2011</v>
      </c>
      <c r="E1864" s="2" t="s">
        <v>2111</v>
      </c>
      <c r="F1864" s="4">
        <v>1119.47</v>
      </c>
      <c r="G1864" s="5">
        <v>289.98</v>
      </c>
      <c r="H1864" s="6">
        <v>9</v>
      </c>
      <c r="I1864" s="2" t="s">
        <v>2116</v>
      </c>
    </row>
    <row r="1865" spans="2:9" x14ac:dyDescent="0.3">
      <c r="B1865" s="2" t="s">
        <v>1871</v>
      </c>
      <c r="C1865" s="3">
        <v>44391</v>
      </c>
      <c r="D1865" s="2" t="s">
        <v>2009</v>
      </c>
      <c r="E1865" s="2" t="s">
        <v>2105</v>
      </c>
      <c r="F1865" s="4">
        <v>1278.28</v>
      </c>
      <c r="G1865" s="5">
        <v>117.47</v>
      </c>
      <c r="H1865" s="6">
        <v>2</v>
      </c>
      <c r="I1865" s="2" t="s">
        <v>2118</v>
      </c>
    </row>
    <row r="1866" spans="2:9" x14ac:dyDescent="0.3">
      <c r="B1866" s="2" t="s">
        <v>1872</v>
      </c>
      <c r="C1866" s="3">
        <v>44300</v>
      </c>
      <c r="D1866" s="2" t="s">
        <v>2012</v>
      </c>
      <c r="E1866" s="2" t="s">
        <v>2043</v>
      </c>
      <c r="F1866" s="4">
        <v>1814.21</v>
      </c>
      <c r="G1866" s="5">
        <v>832.58</v>
      </c>
      <c r="H1866" s="6">
        <v>11</v>
      </c>
      <c r="I1866" s="2" t="s">
        <v>2116</v>
      </c>
    </row>
    <row r="1867" spans="2:9" x14ac:dyDescent="0.3">
      <c r="B1867" s="2" t="s">
        <v>1873</v>
      </c>
      <c r="C1867" s="3">
        <v>44108</v>
      </c>
      <c r="D1867" s="2" t="s">
        <v>2011</v>
      </c>
      <c r="E1867" s="2" t="s">
        <v>2063</v>
      </c>
      <c r="F1867" s="4">
        <v>79.83</v>
      </c>
      <c r="G1867" s="5">
        <v>112.67</v>
      </c>
      <c r="H1867" s="6">
        <v>11</v>
      </c>
      <c r="I1867" s="2" t="s">
        <v>2116</v>
      </c>
    </row>
    <row r="1868" spans="2:9" x14ac:dyDescent="0.3">
      <c r="B1868" s="2" t="s">
        <v>1874</v>
      </c>
      <c r="C1868" s="3">
        <v>44500</v>
      </c>
      <c r="D1868" s="2" t="s">
        <v>2012</v>
      </c>
      <c r="E1868" s="2" t="s">
        <v>2044</v>
      </c>
      <c r="F1868" s="4">
        <v>3093.7</v>
      </c>
      <c r="G1868" s="5">
        <v>379.87</v>
      </c>
      <c r="H1868" s="6">
        <v>18</v>
      </c>
      <c r="I1868" s="2" t="s">
        <v>2118</v>
      </c>
    </row>
    <row r="1869" spans="2:9" x14ac:dyDescent="0.3">
      <c r="B1869" s="2" t="s">
        <v>1875</v>
      </c>
      <c r="C1869" s="3">
        <v>44856</v>
      </c>
      <c r="D1869" s="2" t="s">
        <v>2009</v>
      </c>
      <c r="E1869" s="2" t="s">
        <v>2040</v>
      </c>
      <c r="F1869" s="4">
        <v>4593.71</v>
      </c>
      <c r="G1869" s="5">
        <v>58.14</v>
      </c>
      <c r="H1869" s="6">
        <v>8</v>
      </c>
      <c r="I1869" s="2" t="s">
        <v>2118</v>
      </c>
    </row>
    <row r="1870" spans="2:9" x14ac:dyDescent="0.3">
      <c r="B1870" s="2" t="s">
        <v>1876</v>
      </c>
      <c r="C1870" s="3">
        <v>44955</v>
      </c>
      <c r="D1870" s="2" t="s">
        <v>2009</v>
      </c>
      <c r="E1870" s="2" t="s">
        <v>2067</v>
      </c>
      <c r="F1870" s="4">
        <v>1427.37</v>
      </c>
      <c r="G1870" s="5">
        <v>415.94</v>
      </c>
      <c r="H1870" s="6">
        <v>3</v>
      </c>
      <c r="I1870" s="2" t="s">
        <v>2117</v>
      </c>
    </row>
    <row r="1871" spans="2:9" x14ac:dyDescent="0.3">
      <c r="B1871" s="2" t="s">
        <v>1877</v>
      </c>
      <c r="C1871" s="3">
        <v>45409</v>
      </c>
      <c r="D1871" s="2" t="s">
        <v>2012</v>
      </c>
      <c r="E1871" s="2" t="s">
        <v>2099</v>
      </c>
      <c r="F1871" s="4">
        <v>2050.88</v>
      </c>
      <c r="G1871" s="5">
        <v>255.39</v>
      </c>
      <c r="H1871" s="6">
        <v>16</v>
      </c>
      <c r="I1871" s="2" t="s">
        <v>2117</v>
      </c>
    </row>
    <row r="1872" spans="2:9" x14ac:dyDescent="0.3">
      <c r="B1872" s="2" t="s">
        <v>1878</v>
      </c>
      <c r="C1872" s="3">
        <v>45091</v>
      </c>
      <c r="D1872" s="2" t="s">
        <v>2011</v>
      </c>
      <c r="E1872" s="2" t="s">
        <v>2029</v>
      </c>
      <c r="F1872" s="4">
        <v>3327.05</v>
      </c>
      <c r="G1872" s="5">
        <v>279.52999999999997</v>
      </c>
      <c r="H1872" s="6">
        <v>9</v>
      </c>
      <c r="I1872" s="2" t="s">
        <v>2118</v>
      </c>
    </row>
    <row r="1873" spans="2:9" x14ac:dyDescent="0.3">
      <c r="B1873" s="2" t="s">
        <v>1879</v>
      </c>
      <c r="C1873" s="3">
        <v>45309</v>
      </c>
      <c r="D1873" s="2" t="s">
        <v>2011</v>
      </c>
      <c r="E1873" s="2" t="s">
        <v>2055</v>
      </c>
      <c r="F1873" s="4">
        <v>971.74</v>
      </c>
      <c r="G1873" s="5">
        <v>829.75</v>
      </c>
      <c r="H1873" s="6">
        <v>19</v>
      </c>
      <c r="I1873" s="2" t="s">
        <v>2117</v>
      </c>
    </row>
    <row r="1874" spans="2:9" x14ac:dyDescent="0.3">
      <c r="B1874" s="2" t="s">
        <v>1880</v>
      </c>
      <c r="C1874" s="3">
        <v>44170</v>
      </c>
      <c r="D1874" s="2" t="s">
        <v>2009</v>
      </c>
      <c r="E1874" s="2" t="s">
        <v>2087</v>
      </c>
      <c r="F1874" s="4">
        <v>2802.73</v>
      </c>
      <c r="G1874" s="5">
        <v>566.23</v>
      </c>
      <c r="H1874" s="6">
        <v>3</v>
      </c>
      <c r="I1874" s="2" t="s">
        <v>2117</v>
      </c>
    </row>
    <row r="1875" spans="2:9" x14ac:dyDescent="0.3">
      <c r="B1875" s="2" t="s">
        <v>1881</v>
      </c>
      <c r="C1875" s="3">
        <v>45435</v>
      </c>
      <c r="D1875" s="2" t="s">
        <v>2010</v>
      </c>
      <c r="E1875" s="2" t="s">
        <v>2097</v>
      </c>
      <c r="F1875" s="4">
        <v>2274.8000000000002</v>
      </c>
      <c r="G1875" s="5">
        <v>449.25</v>
      </c>
      <c r="H1875" s="6">
        <v>2</v>
      </c>
      <c r="I1875" s="2" t="s">
        <v>2118</v>
      </c>
    </row>
    <row r="1876" spans="2:9" x14ac:dyDescent="0.3">
      <c r="B1876" s="2" t="s">
        <v>1882</v>
      </c>
      <c r="C1876" s="3">
        <v>45011</v>
      </c>
      <c r="D1876" s="2" t="s">
        <v>2012</v>
      </c>
      <c r="E1876" s="2" t="s">
        <v>2020</v>
      </c>
      <c r="F1876" s="4">
        <v>4220.12</v>
      </c>
      <c r="G1876" s="5">
        <v>573.80999999999995</v>
      </c>
      <c r="H1876" s="6">
        <v>20</v>
      </c>
      <c r="I1876" s="2" t="s">
        <v>2117</v>
      </c>
    </row>
    <row r="1877" spans="2:9" x14ac:dyDescent="0.3">
      <c r="B1877" s="2" t="s">
        <v>1883</v>
      </c>
      <c r="C1877" s="3">
        <v>44801</v>
      </c>
      <c r="D1877" s="2" t="s">
        <v>2011</v>
      </c>
      <c r="E1877" s="2" t="s">
        <v>2073</v>
      </c>
      <c r="F1877" s="4">
        <v>2628.44</v>
      </c>
      <c r="G1877" s="5">
        <v>745.34</v>
      </c>
      <c r="H1877" s="6">
        <v>2</v>
      </c>
      <c r="I1877" s="2" t="s">
        <v>2116</v>
      </c>
    </row>
    <row r="1878" spans="2:9" x14ac:dyDescent="0.3">
      <c r="B1878" s="2" t="s">
        <v>1884</v>
      </c>
      <c r="C1878" s="3">
        <v>44653</v>
      </c>
      <c r="D1878" s="2" t="s">
        <v>2011</v>
      </c>
      <c r="E1878" s="2" t="s">
        <v>2084</v>
      </c>
      <c r="F1878" s="4">
        <v>4519.01</v>
      </c>
      <c r="G1878" s="5">
        <v>369.67</v>
      </c>
      <c r="H1878" s="6">
        <v>3</v>
      </c>
      <c r="I1878" s="2" t="s">
        <v>2118</v>
      </c>
    </row>
    <row r="1879" spans="2:9" x14ac:dyDescent="0.3">
      <c r="B1879" s="2" t="s">
        <v>1885</v>
      </c>
      <c r="C1879" s="3">
        <v>43920</v>
      </c>
      <c r="D1879" s="2" t="s">
        <v>2012</v>
      </c>
      <c r="E1879" s="2" t="s">
        <v>2031</v>
      </c>
      <c r="F1879" s="4">
        <v>3115.74</v>
      </c>
      <c r="G1879" s="5">
        <v>136.55000000000001</v>
      </c>
      <c r="H1879" s="6">
        <v>10</v>
      </c>
      <c r="I1879" s="2" t="s">
        <v>2118</v>
      </c>
    </row>
    <row r="1880" spans="2:9" x14ac:dyDescent="0.3">
      <c r="B1880" s="2" t="s">
        <v>1886</v>
      </c>
      <c r="C1880" s="3">
        <v>44503</v>
      </c>
      <c r="D1880" s="2" t="s">
        <v>2009</v>
      </c>
      <c r="E1880" s="2" t="s">
        <v>2043</v>
      </c>
      <c r="F1880" s="4">
        <v>2110.23</v>
      </c>
      <c r="G1880" s="5">
        <v>820.61</v>
      </c>
      <c r="H1880" s="6">
        <v>3</v>
      </c>
      <c r="I1880" s="2" t="s">
        <v>2117</v>
      </c>
    </row>
    <row r="1881" spans="2:9" x14ac:dyDescent="0.3">
      <c r="B1881" s="2" t="s">
        <v>1887</v>
      </c>
      <c r="C1881" s="3">
        <v>44383</v>
      </c>
      <c r="D1881" s="2" t="s">
        <v>2010</v>
      </c>
      <c r="E1881" s="2" t="s">
        <v>2048</v>
      </c>
      <c r="F1881" s="4">
        <v>4766.03</v>
      </c>
      <c r="G1881" s="5">
        <v>137.43</v>
      </c>
      <c r="H1881" s="6">
        <v>18</v>
      </c>
      <c r="I1881" s="2" t="s">
        <v>2118</v>
      </c>
    </row>
    <row r="1882" spans="2:9" x14ac:dyDescent="0.3">
      <c r="B1882" s="2" t="s">
        <v>1888</v>
      </c>
      <c r="C1882" s="3">
        <v>44896</v>
      </c>
      <c r="D1882" s="2" t="s">
        <v>2011</v>
      </c>
      <c r="E1882" s="2" t="s">
        <v>2058</v>
      </c>
      <c r="F1882" s="4">
        <v>2943.31</v>
      </c>
      <c r="G1882" s="5">
        <v>110.8</v>
      </c>
      <c r="H1882" s="6">
        <v>20</v>
      </c>
      <c r="I1882" s="2" t="s">
        <v>2116</v>
      </c>
    </row>
    <row r="1883" spans="2:9" x14ac:dyDescent="0.3">
      <c r="B1883" s="2" t="s">
        <v>1889</v>
      </c>
      <c r="C1883" s="3">
        <v>45230</v>
      </c>
      <c r="D1883" s="2" t="s">
        <v>2011</v>
      </c>
      <c r="E1883" s="2" t="s">
        <v>2073</v>
      </c>
      <c r="F1883" s="4">
        <v>518.73</v>
      </c>
      <c r="G1883" s="5">
        <v>293.81</v>
      </c>
      <c r="H1883" s="6">
        <v>11</v>
      </c>
      <c r="I1883" s="2" t="s">
        <v>2118</v>
      </c>
    </row>
    <row r="1884" spans="2:9" x14ac:dyDescent="0.3">
      <c r="B1884" s="2" t="s">
        <v>1890</v>
      </c>
      <c r="C1884" s="3">
        <v>44527</v>
      </c>
      <c r="D1884" s="2" t="s">
        <v>2009</v>
      </c>
      <c r="E1884" s="2" t="s">
        <v>2019</v>
      </c>
      <c r="F1884" s="4">
        <v>594.9</v>
      </c>
      <c r="G1884" s="5">
        <v>552.28</v>
      </c>
      <c r="H1884" s="6">
        <v>17</v>
      </c>
      <c r="I1884" s="2" t="s">
        <v>2118</v>
      </c>
    </row>
    <row r="1885" spans="2:9" x14ac:dyDescent="0.3">
      <c r="B1885" s="2" t="s">
        <v>1891</v>
      </c>
      <c r="C1885" s="3">
        <v>44176</v>
      </c>
      <c r="D1885" s="2" t="s">
        <v>2010</v>
      </c>
      <c r="E1885" s="2" t="s">
        <v>2057</v>
      </c>
      <c r="F1885" s="4">
        <v>359.26</v>
      </c>
      <c r="G1885" s="5">
        <v>237.21</v>
      </c>
      <c r="H1885" s="6">
        <v>12</v>
      </c>
      <c r="I1885" s="2" t="s">
        <v>2118</v>
      </c>
    </row>
    <row r="1886" spans="2:9" x14ac:dyDescent="0.3">
      <c r="B1886" s="2" t="s">
        <v>1892</v>
      </c>
      <c r="C1886" s="3">
        <v>44795</v>
      </c>
      <c r="D1886" s="2" t="s">
        <v>2011</v>
      </c>
      <c r="E1886" s="2" t="s">
        <v>2056</v>
      </c>
      <c r="F1886" s="4">
        <v>1259.74</v>
      </c>
      <c r="G1886" s="5">
        <v>798.14</v>
      </c>
      <c r="H1886" s="6">
        <v>20</v>
      </c>
      <c r="I1886" s="2" t="s">
        <v>2116</v>
      </c>
    </row>
    <row r="1887" spans="2:9" x14ac:dyDescent="0.3">
      <c r="B1887" s="2" t="s">
        <v>1893</v>
      </c>
      <c r="C1887" s="3">
        <v>43837</v>
      </c>
      <c r="D1887" s="2" t="s">
        <v>2009</v>
      </c>
      <c r="E1887" s="2" t="s">
        <v>2026</v>
      </c>
      <c r="F1887" s="4">
        <v>293.23</v>
      </c>
      <c r="G1887" s="5">
        <v>420.97</v>
      </c>
      <c r="H1887" s="6">
        <v>1</v>
      </c>
      <c r="I1887" s="2" t="s">
        <v>2118</v>
      </c>
    </row>
    <row r="1888" spans="2:9" x14ac:dyDescent="0.3">
      <c r="B1888" s="2" t="s">
        <v>1894</v>
      </c>
      <c r="C1888" s="3">
        <v>44329</v>
      </c>
      <c r="D1888" s="2" t="s">
        <v>2010</v>
      </c>
      <c r="E1888" s="2" t="s">
        <v>2076</v>
      </c>
      <c r="F1888" s="4">
        <v>2489.85</v>
      </c>
      <c r="G1888" s="5">
        <v>63.5</v>
      </c>
      <c r="H1888" s="6">
        <v>13</v>
      </c>
      <c r="I1888" s="2" t="s">
        <v>2118</v>
      </c>
    </row>
    <row r="1889" spans="2:9" x14ac:dyDescent="0.3">
      <c r="B1889" s="2" t="s">
        <v>1895</v>
      </c>
      <c r="C1889" s="3">
        <v>45552</v>
      </c>
      <c r="D1889" s="2" t="s">
        <v>2011</v>
      </c>
      <c r="E1889" s="2" t="s">
        <v>2081</v>
      </c>
      <c r="F1889" s="4">
        <v>4596.5200000000004</v>
      </c>
      <c r="G1889" s="5">
        <v>514.59</v>
      </c>
      <c r="H1889" s="6">
        <v>9</v>
      </c>
      <c r="I1889" s="2" t="s">
        <v>2117</v>
      </c>
    </row>
    <row r="1890" spans="2:9" x14ac:dyDescent="0.3">
      <c r="B1890" s="2" t="s">
        <v>1896</v>
      </c>
      <c r="C1890" s="3">
        <v>44292</v>
      </c>
      <c r="D1890" s="2" t="s">
        <v>2010</v>
      </c>
      <c r="E1890" s="2" t="s">
        <v>2081</v>
      </c>
      <c r="F1890" s="4">
        <v>3035.86</v>
      </c>
      <c r="G1890" s="5">
        <v>328.21</v>
      </c>
      <c r="H1890" s="6">
        <v>14</v>
      </c>
      <c r="I1890" s="2" t="s">
        <v>2116</v>
      </c>
    </row>
    <row r="1891" spans="2:9" x14ac:dyDescent="0.3">
      <c r="B1891" s="2" t="s">
        <v>1897</v>
      </c>
      <c r="C1891" s="3">
        <v>45516</v>
      </c>
      <c r="D1891" s="2" t="s">
        <v>2012</v>
      </c>
      <c r="E1891" s="2" t="s">
        <v>2091</v>
      </c>
      <c r="F1891" s="4">
        <v>1006.26</v>
      </c>
      <c r="G1891" s="5">
        <v>143.88999999999999</v>
      </c>
      <c r="H1891" s="6">
        <v>6</v>
      </c>
      <c r="I1891" s="2" t="s">
        <v>2116</v>
      </c>
    </row>
    <row r="1892" spans="2:9" x14ac:dyDescent="0.3">
      <c r="B1892" s="2" t="s">
        <v>1898</v>
      </c>
      <c r="C1892" s="3">
        <v>44823</v>
      </c>
      <c r="D1892" s="2" t="s">
        <v>2012</v>
      </c>
      <c r="E1892" s="2" t="s">
        <v>2029</v>
      </c>
      <c r="F1892" s="4">
        <v>1405.9</v>
      </c>
      <c r="G1892" s="5">
        <v>466.05</v>
      </c>
      <c r="H1892" s="6">
        <v>5</v>
      </c>
      <c r="I1892" s="2" t="s">
        <v>2117</v>
      </c>
    </row>
    <row r="1893" spans="2:9" x14ac:dyDescent="0.3">
      <c r="B1893" s="2" t="s">
        <v>1899</v>
      </c>
      <c r="C1893" s="3">
        <v>44015</v>
      </c>
      <c r="D1893" s="2" t="s">
        <v>2012</v>
      </c>
      <c r="E1893" s="2" t="s">
        <v>2022</v>
      </c>
      <c r="F1893" s="4">
        <v>4048.81</v>
      </c>
      <c r="G1893" s="5">
        <v>295.77999999999997</v>
      </c>
      <c r="H1893" s="6">
        <v>12</v>
      </c>
      <c r="I1893" s="2" t="s">
        <v>2118</v>
      </c>
    </row>
    <row r="1894" spans="2:9" x14ac:dyDescent="0.3">
      <c r="B1894" s="2" t="s">
        <v>1900</v>
      </c>
      <c r="C1894" s="3">
        <v>45453</v>
      </c>
      <c r="D1894" s="2" t="s">
        <v>2010</v>
      </c>
      <c r="E1894" s="2" t="s">
        <v>2035</v>
      </c>
      <c r="F1894" s="4">
        <v>506.21</v>
      </c>
      <c r="G1894" s="5">
        <v>551.74</v>
      </c>
      <c r="H1894" s="6">
        <v>13</v>
      </c>
      <c r="I1894" s="2" t="s">
        <v>2117</v>
      </c>
    </row>
    <row r="1895" spans="2:9" x14ac:dyDescent="0.3">
      <c r="B1895" s="2" t="s">
        <v>1901</v>
      </c>
      <c r="C1895" s="3">
        <v>44925</v>
      </c>
      <c r="D1895" s="2" t="s">
        <v>2009</v>
      </c>
      <c r="E1895" s="2" t="s">
        <v>2090</v>
      </c>
      <c r="F1895" s="4">
        <v>3513.19</v>
      </c>
      <c r="G1895" s="5">
        <v>707.62</v>
      </c>
      <c r="H1895" s="6">
        <v>16</v>
      </c>
      <c r="I1895" s="2" t="s">
        <v>2117</v>
      </c>
    </row>
    <row r="1896" spans="2:9" x14ac:dyDescent="0.3">
      <c r="B1896" s="2" t="s">
        <v>1902</v>
      </c>
      <c r="C1896" s="3">
        <v>45282</v>
      </c>
      <c r="D1896" s="2" t="s">
        <v>2012</v>
      </c>
      <c r="E1896" s="2" t="s">
        <v>2079</v>
      </c>
      <c r="F1896" s="4">
        <v>795.49</v>
      </c>
      <c r="G1896" s="5">
        <v>128.37</v>
      </c>
      <c r="H1896" s="6">
        <v>8</v>
      </c>
      <c r="I1896" s="2" t="s">
        <v>2116</v>
      </c>
    </row>
    <row r="1897" spans="2:9" x14ac:dyDescent="0.3">
      <c r="B1897" s="2" t="s">
        <v>1903</v>
      </c>
      <c r="C1897" s="3">
        <v>43868</v>
      </c>
      <c r="D1897" s="2" t="s">
        <v>2011</v>
      </c>
      <c r="E1897" s="2" t="s">
        <v>2100</v>
      </c>
      <c r="F1897" s="4">
        <v>2817.44</v>
      </c>
      <c r="G1897" s="5">
        <v>784.14</v>
      </c>
      <c r="H1897" s="6">
        <v>16</v>
      </c>
      <c r="I1897" s="2" t="s">
        <v>2117</v>
      </c>
    </row>
    <row r="1898" spans="2:9" x14ac:dyDescent="0.3">
      <c r="B1898" s="2" t="s">
        <v>1904</v>
      </c>
      <c r="C1898" s="3">
        <v>45485</v>
      </c>
      <c r="D1898" s="2" t="s">
        <v>2009</v>
      </c>
      <c r="E1898" s="2" t="s">
        <v>2084</v>
      </c>
      <c r="F1898" s="4">
        <v>1884.47</v>
      </c>
      <c r="G1898" s="5">
        <v>733.32</v>
      </c>
      <c r="H1898" s="6">
        <v>17</v>
      </c>
      <c r="I1898" s="2" t="s">
        <v>2118</v>
      </c>
    </row>
    <row r="1899" spans="2:9" x14ac:dyDescent="0.3">
      <c r="B1899" s="2" t="s">
        <v>1905</v>
      </c>
      <c r="C1899" s="3">
        <v>44454</v>
      </c>
      <c r="D1899" s="2" t="s">
        <v>2009</v>
      </c>
      <c r="E1899" s="2" t="s">
        <v>2060</v>
      </c>
      <c r="F1899" s="4">
        <v>557.22</v>
      </c>
      <c r="G1899" s="5">
        <v>455.32</v>
      </c>
      <c r="H1899" s="6">
        <v>4</v>
      </c>
      <c r="I1899" s="2" t="s">
        <v>2118</v>
      </c>
    </row>
    <row r="1900" spans="2:9" x14ac:dyDescent="0.3">
      <c r="B1900" s="2" t="s">
        <v>1906</v>
      </c>
      <c r="C1900" s="3">
        <v>43960</v>
      </c>
      <c r="D1900" s="2" t="s">
        <v>2011</v>
      </c>
      <c r="E1900" s="2" t="s">
        <v>2037</v>
      </c>
      <c r="F1900" s="4">
        <v>2354.5100000000002</v>
      </c>
      <c r="G1900" s="5">
        <v>617.19000000000005</v>
      </c>
      <c r="H1900" s="6">
        <v>14</v>
      </c>
      <c r="I1900" s="2" t="s">
        <v>2116</v>
      </c>
    </row>
    <row r="1901" spans="2:9" x14ac:dyDescent="0.3">
      <c r="B1901" s="2" t="s">
        <v>1907</v>
      </c>
      <c r="C1901" s="3">
        <v>45529</v>
      </c>
      <c r="D1901" s="2" t="s">
        <v>2012</v>
      </c>
      <c r="E1901" s="2" t="s">
        <v>2080</v>
      </c>
      <c r="F1901" s="4">
        <v>3156.57</v>
      </c>
      <c r="G1901" s="5">
        <v>948.82</v>
      </c>
      <c r="H1901" s="6">
        <v>15</v>
      </c>
      <c r="I1901" s="2" t="s">
        <v>2117</v>
      </c>
    </row>
    <row r="1902" spans="2:9" x14ac:dyDescent="0.3">
      <c r="B1902" s="2" t="s">
        <v>1908</v>
      </c>
      <c r="C1902" s="3">
        <v>44462</v>
      </c>
      <c r="D1902" s="2" t="s">
        <v>2011</v>
      </c>
      <c r="E1902" s="2" t="s">
        <v>2076</v>
      </c>
      <c r="F1902" s="4">
        <v>4175.41</v>
      </c>
      <c r="G1902" s="5">
        <v>586.09</v>
      </c>
      <c r="H1902" s="6">
        <v>18</v>
      </c>
      <c r="I1902" s="2" t="s">
        <v>2117</v>
      </c>
    </row>
    <row r="1903" spans="2:9" x14ac:dyDescent="0.3">
      <c r="B1903" s="2" t="s">
        <v>1909</v>
      </c>
      <c r="C1903" s="3">
        <v>45430</v>
      </c>
      <c r="D1903" s="2" t="s">
        <v>2012</v>
      </c>
      <c r="E1903" s="2" t="s">
        <v>2082</v>
      </c>
      <c r="F1903" s="4">
        <v>3801.53</v>
      </c>
      <c r="G1903" s="5">
        <v>352.53</v>
      </c>
      <c r="H1903" s="6">
        <v>9</v>
      </c>
      <c r="I1903" s="2" t="s">
        <v>2116</v>
      </c>
    </row>
    <row r="1904" spans="2:9" x14ac:dyDescent="0.3">
      <c r="B1904" s="2" t="s">
        <v>1910</v>
      </c>
      <c r="C1904" s="3">
        <v>44793</v>
      </c>
      <c r="D1904" s="2" t="s">
        <v>2009</v>
      </c>
      <c r="E1904" s="2" t="s">
        <v>2029</v>
      </c>
      <c r="F1904" s="4">
        <v>2028.64</v>
      </c>
      <c r="G1904" s="5">
        <v>857.37</v>
      </c>
      <c r="H1904" s="6">
        <v>17</v>
      </c>
      <c r="I1904" s="2" t="s">
        <v>2118</v>
      </c>
    </row>
    <row r="1905" spans="2:9" x14ac:dyDescent="0.3">
      <c r="B1905" s="2" t="s">
        <v>1911</v>
      </c>
      <c r="C1905" s="3">
        <v>45065</v>
      </c>
      <c r="D1905" s="2" t="s">
        <v>2011</v>
      </c>
      <c r="E1905" s="2" t="s">
        <v>2028</v>
      </c>
      <c r="F1905" s="4">
        <v>1683.28</v>
      </c>
      <c r="G1905" s="5">
        <v>910.6</v>
      </c>
      <c r="H1905" s="6">
        <v>12</v>
      </c>
      <c r="I1905" s="2" t="s">
        <v>2118</v>
      </c>
    </row>
    <row r="1906" spans="2:9" x14ac:dyDescent="0.3">
      <c r="B1906" s="2" t="s">
        <v>1912</v>
      </c>
      <c r="C1906" s="3">
        <v>44275</v>
      </c>
      <c r="D1906" s="2" t="s">
        <v>2011</v>
      </c>
      <c r="E1906" s="2" t="s">
        <v>2047</v>
      </c>
      <c r="F1906" s="4">
        <v>1139.94</v>
      </c>
      <c r="G1906" s="5">
        <v>923.62</v>
      </c>
      <c r="H1906" s="6">
        <v>13</v>
      </c>
      <c r="I1906" s="2" t="s">
        <v>2118</v>
      </c>
    </row>
    <row r="1907" spans="2:9" x14ac:dyDescent="0.3">
      <c r="B1907" s="2" t="s">
        <v>1913</v>
      </c>
      <c r="C1907" s="3">
        <v>44992</v>
      </c>
      <c r="D1907" s="2" t="s">
        <v>2011</v>
      </c>
      <c r="E1907" s="2" t="s">
        <v>2111</v>
      </c>
      <c r="F1907" s="4">
        <v>3129.77</v>
      </c>
      <c r="G1907" s="5">
        <v>926.89</v>
      </c>
      <c r="H1907" s="6">
        <v>10</v>
      </c>
      <c r="I1907" s="2" t="s">
        <v>2117</v>
      </c>
    </row>
    <row r="1908" spans="2:9" x14ac:dyDescent="0.3">
      <c r="B1908" s="2" t="s">
        <v>1914</v>
      </c>
      <c r="C1908" s="3">
        <v>44679</v>
      </c>
      <c r="D1908" s="2" t="s">
        <v>2012</v>
      </c>
      <c r="E1908" s="2" t="s">
        <v>2046</v>
      </c>
      <c r="F1908" s="4">
        <v>2029.65</v>
      </c>
      <c r="G1908" s="5">
        <v>995.66</v>
      </c>
      <c r="H1908" s="6">
        <v>11</v>
      </c>
      <c r="I1908" s="2" t="s">
        <v>2116</v>
      </c>
    </row>
    <row r="1909" spans="2:9" x14ac:dyDescent="0.3">
      <c r="B1909" s="2" t="s">
        <v>1915</v>
      </c>
      <c r="C1909" s="3">
        <v>44503</v>
      </c>
      <c r="D1909" s="2" t="s">
        <v>2010</v>
      </c>
      <c r="E1909" s="2" t="s">
        <v>2042</v>
      </c>
      <c r="F1909" s="4">
        <v>342.54</v>
      </c>
      <c r="G1909" s="5">
        <v>939.88</v>
      </c>
      <c r="H1909" s="6">
        <v>19</v>
      </c>
      <c r="I1909" s="2" t="s">
        <v>2118</v>
      </c>
    </row>
    <row r="1910" spans="2:9" x14ac:dyDescent="0.3">
      <c r="B1910" s="2" t="s">
        <v>1916</v>
      </c>
      <c r="C1910" s="3">
        <v>44355</v>
      </c>
      <c r="D1910" s="2" t="s">
        <v>2009</v>
      </c>
      <c r="E1910" s="2" t="s">
        <v>2031</v>
      </c>
      <c r="F1910" s="4">
        <v>2915.52</v>
      </c>
      <c r="G1910" s="5">
        <v>751.86</v>
      </c>
      <c r="H1910" s="6">
        <v>2</v>
      </c>
      <c r="I1910" s="2" t="s">
        <v>2116</v>
      </c>
    </row>
    <row r="1911" spans="2:9" x14ac:dyDescent="0.3">
      <c r="B1911" s="2" t="s">
        <v>1917</v>
      </c>
      <c r="C1911" s="3">
        <v>44489</v>
      </c>
      <c r="D1911" s="2" t="s">
        <v>2012</v>
      </c>
      <c r="E1911" s="2" t="s">
        <v>2030</v>
      </c>
      <c r="F1911" s="4">
        <v>1694.71</v>
      </c>
      <c r="G1911" s="5">
        <v>88.01</v>
      </c>
      <c r="H1911" s="6">
        <v>16</v>
      </c>
      <c r="I1911" s="2" t="s">
        <v>2116</v>
      </c>
    </row>
    <row r="1912" spans="2:9" x14ac:dyDescent="0.3">
      <c r="B1912" s="2" t="s">
        <v>1918</v>
      </c>
      <c r="C1912" s="3">
        <v>44777</v>
      </c>
      <c r="D1912" s="2" t="s">
        <v>2012</v>
      </c>
      <c r="E1912" s="2" t="s">
        <v>2035</v>
      </c>
      <c r="F1912" s="4">
        <v>890.05</v>
      </c>
      <c r="G1912" s="5">
        <v>692.94</v>
      </c>
      <c r="H1912" s="6">
        <v>3</v>
      </c>
      <c r="I1912" s="2" t="s">
        <v>2118</v>
      </c>
    </row>
    <row r="1913" spans="2:9" x14ac:dyDescent="0.3">
      <c r="B1913" s="2" t="s">
        <v>1919</v>
      </c>
      <c r="C1913" s="3">
        <v>44077</v>
      </c>
      <c r="D1913" s="2" t="s">
        <v>2011</v>
      </c>
      <c r="E1913" s="2" t="s">
        <v>2101</v>
      </c>
      <c r="F1913" s="4">
        <v>4680.13</v>
      </c>
      <c r="G1913" s="5">
        <v>546.1</v>
      </c>
      <c r="H1913" s="6">
        <v>7</v>
      </c>
      <c r="I1913" s="2" t="s">
        <v>2118</v>
      </c>
    </row>
    <row r="1914" spans="2:9" x14ac:dyDescent="0.3">
      <c r="B1914" s="2" t="s">
        <v>1920</v>
      </c>
      <c r="C1914" s="3">
        <v>44409</v>
      </c>
      <c r="D1914" s="2" t="s">
        <v>2011</v>
      </c>
      <c r="E1914" s="2" t="s">
        <v>2092</v>
      </c>
      <c r="F1914" s="4">
        <v>1593.5</v>
      </c>
      <c r="G1914" s="5">
        <v>821.32</v>
      </c>
      <c r="H1914" s="6">
        <v>20</v>
      </c>
      <c r="I1914" s="2" t="s">
        <v>2117</v>
      </c>
    </row>
    <row r="1915" spans="2:9" x14ac:dyDescent="0.3">
      <c r="B1915" s="2" t="s">
        <v>1921</v>
      </c>
      <c r="C1915" s="3">
        <v>44517</v>
      </c>
      <c r="D1915" s="2" t="s">
        <v>2012</v>
      </c>
      <c r="E1915" s="2" t="s">
        <v>2109</v>
      </c>
      <c r="F1915" s="4">
        <v>4203.2</v>
      </c>
      <c r="G1915" s="5">
        <v>378.33</v>
      </c>
      <c r="H1915" s="6">
        <v>6</v>
      </c>
      <c r="I1915" s="2" t="s">
        <v>2116</v>
      </c>
    </row>
    <row r="1916" spans="2:9" x14ac:dyDescent="0.3">
      <c r="B1916" s="2" t="s">
        <v>1922</v>
      </c>
      <c r="C1916" s="3">
        <v>44088</v>
      </c>
      <c r="D1916" s="2" t="s">
        <v>2011</v>
      </c>
      <c r="E1916" s="2" t="s">
        <v>2080</v>
      </c>
      <c r="F1916" s="4">
        <v>975.86</v>
      </c>
      <c r="G1916" s="5">
        <v>397.62</v>
      </c>
      <c r="H1916" s="6">
        <v>19</v>
      </c>
      <c r="I1916" s="2" t="s">
        <v>2116</v>
      </c>
    </row>
    <row r="1917" spans="2:9" x14ac:dyDescent="0.3">
      <c r="B1917" s="2" t="s">
        <v>1923</v>
      </c>
      <c r="C1917" s="3">
        <v>45319</v>
      </c>
      <c r="D1917" s="2" t="s">
        <v>2009</v>
      </c>
      <c r="E1917" s="2" t="s">
        <v>2040</v>
      </c>
      <c r="F1917" s="4">
        <v>2662.08</v>
      </c>
      <c r="G1917" s="5">
        <v>22.23</v>
      </c>
      <c r="H1917" s="6">
        <v>9</v>
      </c>
      <c r="I1917" s="2" t="s">
        <v>2116</v>
      </c>
    </row>
    <row r="1918" spans="2:9" x14ac:dyDescent="0.3">
      <c r="B1918" s="2" t="s">
        <v>1924</v>
      </c>
      <c r="C1918" s="3">
        <v>44854</v>
      </c>
      <c r="D1918" s="2" t="s">
        <v>2010</v>
      </c>
      <c r="E1918" s="2" t="s">
        <v>2015</v>
      </c>
      <c r="F1918" s="4">
        <v>3694.76</v>
      </c>
      <c r="G1918" s="5">
        <v>675.04</v>
      </c>
      <c r="H1918" s="6">
        <v>20</v>
      </c>
      <c r="I1918" s="2" t="s">
        <v>2116</v>
      </c>
    </row>
    <row r="1919" spans="2:9" x14ac:dyDescent="0.3">
      <c r="B1919" s="2" t="s">
        <v>1925</v>
      </c>
      <c r="C1919" s="3">
        <v>44038</v>
      </c>
      <c r="D1919" s="2" t="s">
        <v>2011</v>
      </c>
      <c r="E1919" s="2" t="s">
        <v>2092</v>
      </c>
      <c r="F1919" s="4">
        <v>2772.79</v>
      </c>
      <c r="G1919" s="5">
        <v>164.93</v>
      </c>
      <c r="H1919" s="6">
        <v>7</v>
      </c>
      <c r="I1919" s="2" t="s">
        <v>2116</v>
      </c>
    </row>
    <row r="1920" spans="2:9" x14ac:dyDescent="0.3">
      <c r="B1920" s="2" t="s">
        <v>1926</v>
      </c>
      <c r="C1920" s="3">
        <v>45019</v>
      </c>
      <c r="D1920" s="2" t="s">
        <v>2010</v>
      </c>
      <c r="E1920" s="2" t="s">
        <v>2094</v>
      </c>
      <c r="F1920" s="4">
        <v>2786.62</v>
      </c>
      <c r="G1920" s="5">
        <v>323.52</v>
      </c>
      <c r="H1920" s="6">
        <v>2</v>
      </c>
      <c r="I1920" s="2" t="s">
        <v>2116</v>
      </c>
    </row>
    <row r="1921" spans="2:9" x14ac:dyDescent="0.3">
      <c r="B1921" s="2" t="s">
        <v>1927</v>
      </c>
      <c r="C1921" s="3">
        <v>44957</v>
      </c>
      <c r="D1921" s="2" t="s">
        <v>2009</v>
      </c>
      <c r="E1921" s="2" t="s">
        <v>2041</v>
      </c>
      <c r="F1921" s="4">
        <v>523.36</v>
      </c>
      <c r="G1921" s="5">
        <v>193.82</v>
      </c>
      <c r="H1921" s="6">
        <v>13</v>
      </c>
      <c r="I1921" s="2" t="s">
        <v>2117</v>
      </c>
    </row>
    <row r="1922" spans="2:9" x14ac:dyDescent="0.3">
      <c r="B1922" s="2" t="s">
        <v>1928</v>
      </c>
      <c r="C1922" s="3">
        <v>43901</v>
      </c>
      <c r="D1922" s="2" t="s">
        <v>2010</v>
      </c>
      <c r="E1922" s="2" t="s">
        <v>2098</v>
      </c>
      <c r="F1922" s="4">
        <v>3926.31</v>
      </c>
      <c r="G1922" s="5">
        <v>455.81</v>
      </c>
      <c r="H1922" s="6">
        <v>15</v>
      </c>
      <c r="I1922" s="2" t="s">
        <v>2118</v>
      </c>
    </row>
    <row r="1923" spans="2:9" x14ac:dyDescent="0.3">
      <c r="B1923" s="2" t="s">
        <v>1929</v>
      </c>
      <c r="C1923" s="3">
        <v>44411</v>
      </c>
      <c r="D1923" s="2" t="s">
        <v>2009</v>
      </c>
      <c r="E1923" s="2" t="s">
        <v>2103</v>
      </c>
      <c r="F1923" s="4">
        <v>2196.1</v>
      </c>
      <c r="G1923" s="5">
        <v>747.3</v>
      </c>
      <c r="H1923" s="6">
        <v>15</v>
      </c>
      <c r="I1923" s="2" t="s">
        <v>2117</v>
      </c>
    </row>
    <row r="1924" spans="2:9" x14ac:dyDescent="0.3">
      <c r="B1924" s="2" t="s">
        <v>1930</v>
      </c>
      <c r="C1924" s="3">
        <v>44536</v>
      </c>
      <c r="D1924" s="2" t="s">
        <v>2010</v>
      </c>
      <c r="E1924" s="2" t="s">
        <v>2098</v>
      </c>
      <c r="F1924" s="4">
        <v>2121.96</v>
      </c>
      <c r="G1924" s="5">
        <v>297.11</v>
      </c>
      <c r="H1924" s="6">
        <v>18</v>
      </c>
      <c r="I1924" s="2" t="s">
        <v>2116</v>
      </c>
    </row>
    <row r="1925" spans="2:9" x14ac:dyDescent="0.3">
      <c r="B1925" s="2" t="s">
        <v>1931</v>
      </c>
      <c r="C1925" s="3">
        <v>43919</v>
      </c>
      <c r="D1925" s="2" t="s">
        <v>2010</v>
      </c>
      <c r="E1925" s="2" t="s">
        <v>2062</v>
      </c>
      <c r="F1925" s="4">
        <v>2540.15</v>
      </c>
      <c r="G1925" s="5">
        <v>478.16</v>
      </c>
      <c r="H1925" s="6">
        <v>3</v>
      </c>
      <c r="I1925" s="2" t="s">
        <v>2116</v>
      </c>
    </row>
    <row r="1926" spans="2:9" x14ac:dyDescent="0.3">
      <c r="B1926" s="2" t="s">
        <v>1932</v>
      </c>
      <c r="C1926" s="3">
        <v>44003</v>
      </c>
      <c r="D1926" s="2" t="s">
        <v>2011</v>
      </c>
      <c r="E1926" s="2" t="s">
        <v>2086</v>
      </c>
      <c r="F1926" s="4">
        <v>4157.67</v>
      </c>
      <c r="G1926" s="5">
        <v>147.09</v>
      </c>
      <c r="H1926" s="6">
        <v>6</v>
      </c>
      <c r="I1926" s="2" t="s">
        <v>2118</v>
      </c>
    </row>
    <row r="1927" spans="2:9" x14ac:dyDescent="0.3">
      <c r="B1927" s="2" t="s">
        <v>1933</v>
      </c>
      <c r="C1927" s="3">
        <v>44445</v>
      </c>
      <c r="D1927" s="2" t="s">
        <v>2012</v>
      </c>
      <c r="E1927" s="2" t="s">
        <v>2019</v>
      </c>
      <c r="F1927" s="4">
        <v>1398.25</v>
      </c>
      <c r="G1927" s="5">
        <v>337.64</v>
      </c>
      <c r="H1927" s="6">
        <v>20</v>
      </c>
      <c r="I1927" s="2" t="s">
        <v>2116</v>
      </c>
    </row>
    <row r="1928" spans="2:9" x14ac:dyDescent="0.3">
      <c r="B1928" s="2" t="s">
        <v>1934</v>
      </c>
      <c r="C1928" s="3">
        <v>44667</v>
      </c>
      <c r="D1928" s="2" t="s">
        <v>2010</v>
      </c>
      <c r="E1928" s="2" t="s">
        <v>2096</v>
      </c>
      <c r="F1928" s="4">
        <v>3158.07</v>
      </c>
      <c r="G1928" s="5">
        <v>441.92</v>
      </c>
      <c r="H1928" s="6">
        <v>8</v>
      </c>
      <c r="I1928" s="2" t="s">
        <v>2117</v>
      </c>
    </row>
    <row r="1929" spans="2:9" x14ac:dyDescent="0.3">
      <c r="B1929" s="2" t="s">
        <v>1935</v>
      </c>
      <c r="C1929" s="3">
        <v>45503</v>
      </c>
      <c r="D1929" s="2" t="s">
        <v>2012</v>
      </c>
      <c r="E1929" s="2" t="s">
        <v>2017</v>
      </c>
      <c r="F1929" s="4">
        <v>596.84</v>
      </c>
      <c r="G1929" s="5">
        <v>891.82</v>
      </c>
      <c r="H1929" s="6">
        <v>3</v>
      </c>
      <c r="I1929" s="2" t="s">
        <v>2117</v>
      </c>
    </row>
    <row r="1930" spans="2:9" x14ac:dyDescent="0.3">
      <c r="B1930" s="2" t="s">
        <v>1936</v>
      </c>
      <c r="C1930" s="3">
        <v>43983</v>
      </c>
      <c r="D1930" s="2" t="s">
        <v>2012</v>
      </c>
      <c r="E1930" s="2" t="s">
        <v>2050</v>
      </c>
      <c r="F1930" s="4">
        <v>2628.97</v>
      </c>
      <c r="G1930" s="5">
        <v>313.51</v>
      </c>
      <c r="H1930" s="6">
        <v>18</v>
      </c>
      <c r="I1930" s="2" t="s">
        <v>2117</v>
      </c>
    </row>
    <row r="1931" spans="2:9" x14ac:dyDescent="0.3">
      <c r="B1931" s="2" t="s">
        <v>1937</v>
      </c>
      <c r="C1931" s="3">
        <v>45520</v>
      </c>
      <c r="D1931" s="2" t="s">
        <v>2009</v>
      </c>
      <c r="E1931" s="2" t="s">
        <v>2033</v>
      </c>
      <c r="F1931" s="4">
        <v>3511.28</v>
      </c>
      <c r="G1931" s="5">
        <v>756.63</v>
      </c>
      <c r="H1931" s="6">
        <v>13</v>
      </c>
      <c r="I1931" s="2" t="s">
        <v>2116</v>
      </c>
    </row>
    <row r="1932" spans="2:9" x14ac:dyDescent="0.3">
      <c r="B1932" s="2" t="s">
        <v>1938</v>
      </c>
      <c r="C1932" s="3">
        <v>44937</v>
      </c>
      <c r="D1932" s="2" t="s">
        <v>2010</v>
      </c>
      <c r="E1932" s="2" t="s">
        <v>2033</v>
      </c>
      <c r="F1932" s="4">
        <v>1771.8</v>
      </c>
      <c r="G1932" s="5">
        <v>707.01</v>
      </c>
      <c r="H1932" s="6">
        <v>17</v>
      </c>
      <c r="I1932" s="2" t="s">
        <v>2117</v>
      </c>
    </row>
    <row r="1933" spans="2:9" x14ac:dyDescent="0.3">
      <c r="B1933" s="2" t="s">
        <v>1939</v>
      </c>
      <c r="C1933" s="3">
        <v>45485</v>
      </c>
      <c r="D1933" s="2" t="s">
        <v>2011</v>
      </c>
      <c r="E1933" s="2" t="s">
        <v>2068</v>
      </c>
      <c r="F1933" s="4">
        <v>3566.35</v>
      </c>
      <c r="G1933" s="5">
        <v>695.21</v>
      </c>
      <c r="H1933" s="6">
        <v>18</v>
      </c>
      <c r="I1933" s="2" t="s">
        <v>2117</v>
      </c>
    </row>
    <row r="1934" spans="2:9" x14ac:dyDescent="0.3">
      <c r="B1934" s="2" t="s">
        <v>1940</v>
      </c>
      <c r="C1934" s="3">
        <v>45470</v>
      </c>
      <c r="D1934" s="2" t="s">
        <v>2011</v>
      </c>
      <c r="E1934" s="2" t="s">
        <v>2108</v>
      </c>
      <c r="F1934" s="4">
        <v>3678.21</v>
      </c>
      <c r="G1934" s="5">
        <v>332.25</v>
      </c>
      <c r="H1934" s="6">
        <v>19</v>
      </c>
      <c r="I1934" s="2" t="s">
        <v>2116</v>
      </c>
    </row>
    <row r="1935" spans="2:9" x14ac:dyDescent="0.3">
      <c r="B1935" s="2" t="s">
        <v>1941</v>
      </c>
      <c r="C1935" s="3">
        <v>44057</v>
      </c>
      <c r="D1935" s="2" t="s">
        <v>2009</v>
      </c>
      <c r="E1935" s="2" t="s">
        <v>2039</v>
      </c>
      <c r="F1935" s="4">
        <v>4290.25</v>
      </c>
      <c r="G1935" s="5">
        <v>36.200000000000003</v>
      </c>
      <c r="H1935" s="6">
        <v>9</v>
      </c>
      <c r="I1935" s="2" t="s">
        <v>2116</v>
      </c>
    </row>
    <row r="1936" spans="2:9" x14ac:dyDescent="0.3">
      <c r="B1936" s="2" t="s">
        <v>1942</v>
      </c>
      <c r="C1936" s="3">
        <v>44810</v>
      </c>
      <c r="D1936" s="2" t="s">
        <v>2012</v>
      </c>
      <c r="E1936" s="2" t="s">
        <v>2049</v>
      </c>
      <c r="F1936" s="4">
        <v>2254.09</v>
      </c>
      <c r="G1936" s="5">
        <v>677.01</v>
      </c>
      <c r="H1936" s="6">
        <v>1</v>
      </c>
      <c r="I1936" s="2" t="s">
        <v>2116</v>
      </c>
    </row>
    <row r="1937" spans="2:9" x14ac:dyDescent="0.3">
      <c r="B1937" s="2" t="s">
        <v>1943</v>
      </c>
      <c r="C1937" s="3">
        <v>45252</v>
      </c>
      <c r="D1937" s="2" t="s">
        <v>2010</v>
      </c>
      <c r="E1937" s="2" t="s">
        <v>2074</v>
      </c>
      <c r="F1937" s="4">
        <v>3606.48</v>
      </c>
      <c r="G1937" s="5">
        <v>689.27</v>
      </c>
      <c r="H1937" s="6">
        <v>7</v>
      </c>
      <c r="I1937" s="2" t="s">
        <v>2116</v>
      </c>
    </row>
    <row r="1938" spans="2:9" x14ac:dyDescent="0.3">
      <c r="B1938" s="2" t="s">
        <v>1944</v>
      </c>
      <c r="C1938" s="3">
        <v>45088</v>
      </c>
      <c r="D1938" s="2" t="s">
        <v>2012</v>
      </c>
      <c r="E1938" s="2" t="s">
        <v>2050</v>
      </c>
      <c r="F1938" s="4">
        <v>3247.43</v>
      </c>
      <c r="G1938" s="5">
        <v>707.72</v>
      </c>
      <c r="H1938" s="6">
        <v>12</v>
      </c>
      <c r="I1938" s="2" t="s">
        <v>2116</v>
      </c>
    </row>
    <row r="1939" spans="2:9" x14ac:dyDescent="0.3">
      <c r="B1939" s="2" t="s">
        <v>1945</v>
      </c>
      <c r="C1939" s="3">
        <v>45188</v>
      </c>
      <c r="D1939" s="2" t="s">
        <v>2012</v>
      </c>
      <c r="E1939" s="2" t="s">
        <v>2091</v>
      </c>
      <c r="F1939" s="4">
        <v>3952.28</v>
      </c>
      <c r="G1939" s="5">
        <v>414.14</v>
      </c>
      <c r="H1939" s="6">
        <v>9</v>
      </c>
      <c r="I1939" s="2" t="s">
        <v>2116</v>
      </c>
    </row>
    <row r="1940" spans="2:9" x14ac:dyDescent="0.3">
      <c r="B1940" s="2" t="s">
        <v>1946</v>
      </c>
      <c r="C1940" s="3">
        <v>44724</v>
      </c>
      <c r="D1940" s="2" t="s">
        <v>2012</v>
      </c>
      <c r="E1940" s="2" t="s">
        <v>2070</v>
      </c>
      <c r="F1940" s="4">
        <v>2024.81</v>
      </c>
      <c r="G1940" s="5">
        <v>860.63</v>
      </c>
      <c r="H1940" s="6">
        <v>16</v>
      </c>
      <c r="I1940" s="2" t="s">
        <v>2117</v>
      </c>
    </row>
    <row r="1941" spans="2:9" x14ac:dyDescent="0.3">
      <c r="B1941" s="2" t="s">
        <v>1947</v>
      </c>
      <c r="C1941" s="3">
        <v>44201</v>
      </c>
      <c r="D1941" s="2" t="s">
        <v>2012</v>
      </c>
      <c r="E1941" s="2" t="s">
        <v>2094</v>
      </c>
      <c r="F1941" s="4">
        <v>314.83999999999997</v>
      </c>
      <c r="G1941" s="5">
        <v>350.2</v>
      </c>
      <c r="H1941" s="6">
        <v>5</v>
      </c>
      <c r="I1941" s="2" t="s">
        <v>2117</v>
      </c>
    </row>
    <row r="1942" spans="2:9" x14ac:dyDescent="0.3">
      <c r="B1942" s="2" t="s">
        <v>1948</v>
      </c>
      <c r="C1942" s="3">
        <v>44294</v>
      </c>
      <c r="D1942" s="2" t="s">
        <v>2012</v>
      </c>
      <c r="E1942" s="2" t="s">
        <v>2048</v>
      </c>
      <c r="F1942" s="4">
        <v>2940.85</v>
      </c>
      <c r="G1942" s="5">
        <v>870.77</v>
      </c>
      <c r="H1942" s="6">
        <v>1</v>
      </c>
      <c r="I1942" s="2" t="s">
        <v>2116</v>
      </c>
    </row>
    <row r="1943" spans="2:9" x14ac:dyDescent="0.3">
      <c r="B1943" s="2" t="s">
        <v>1949</v>
      </c>
      <c r="C1943" s="3">
        <v>44401</v>
      </c>
      <c r="D1943" s="2" t="s">
        <v>2009</v>
      </c>
      <c r="E1943" s="2" t="s">
        <v>2030</v>
      </c>
      <c r="F1943" s="4">
        <v>4213.17</v>
      </c>
      <c r="G1943" s="5">
        <v>386</v>
      </c>
      <c r="H1943" s="6">
        <v>3</v>
      </c>
      <c r="I1943" s="2" t="s">
        <v>2116</v>
      </c>
    </row>
    <row r="1944" spans="2:9" x14ac:dyDescent="0.3">
      <c r="B1944" s="2" t="s">
        <v>1950</v>
      </c>
      <c r="C1944" s="3">
        <v>44243</v>
      </c>
      <c r="D1944" s="2" t="s">
        <v>2009</v>
      </c>
      <c r="E1944" s="2" t="s">
        <v>2062</v>
      </c>
      <c r="F1944" s="4">
        <v>1889.48</v>
      </c>
      <c r="G1944" s="5">
        <v>196.01</v>
      </c>
      <c r="H1944" s="6">
        <v>9</v>
      </c>
      <c r="I1944" s="2" t="s">
        <v>2118</v>
      </c>
    </row>
    <row r="1945" spans="2:9" x14ac:dyDescent="0.3">
      <c r="B1945" s="2" t="s">
        <v>1951</v>
      </c>
      <c r="C1945" s="3">
        <v>44893</v>
      </c>
      <c r="D1945" s="2" t="s">
        <v>2010</v>
      </c>
      <c r="E1945" s="2" t="s">
        <v>2047</v>
      </c>
      <c r="F1945" s="4">
        <v>2647.84</v>
      </c>
      <c r="G1945" s="5">
        <v>332.03</v>
      </c>
      <c r="H1945" s="6">
        <v>9</v>
      </c>
      <c r="I1945" s="2" t="s">
        <v>2116</v>
      </c>
    </row>
    <row r="1946" spans="2:9" x14ac:dyDescent="0.3">
      <c r="B1946" s="2" t="s">
        <v>1952</v>
      </c>
      <c r="C1946" s="3">
        <v>44783</v>
      </c>
      <c r="D1946" s="2" t="s">
        <v>2009</v>
      </c>
      <c r="E1946" s="2" t="s">
        <v>2033</v>
      </c>
      <c r="F1946" s="4">
        <v>2795.2</v>
      </c>
      <c r="G1946" s="5">
        <v>909.87</v>
      </c>
      <c r="H1946" s="6">
        <v>14</v>
      </c>
      <c r="I1946" s="2" t="s">
        <v>2118</v>
      </c>
    </row>
    <row r="1947" spans="2:9" x14ac:dyDescent="0.3">
      <c r="B1947" s="2" t="s">
        <v>1953</v>
      </c>
      <c r="C1947" s="3">
        <v>44428</v>
      </c>
      <c r="D1947" s="2" t="s">
        <v>2009</v>
      </c>
      <c r="E1947" s="2" t="s">
        <v>2049</v>
      </c>
      <c r="F1947" s="4">
        <v>4422.2700000000004</v>
      </c>
      <c r="G1947" s="5">
        <v>675.29</v>
      </c>
      <c r="H1947" s="6">
        <v>7</v>
      </c>
      <c r="I1947" s="2" t="s">
        <v>2116</v>
      </c>
    </row>
    <row r="1948" spans="2:9" x14ac:dyDescent="0.3">
      <c r="B1948" s="2" t="s">
        <v>1954</v>
      </c>
      <c r="C1948" s="3">
        <v>44075</v>
      </c>
      <c r="D1948" s="2" t="s">
        <v>2012</v>
      </c>
      <c r="E1948" s="2" t="s">
        <v>2033</v>
      </c>
      <c r="F1948" s="4">
        <v>4777.13</v>
      </c>
      <c r="G1948" s="5">
        <v>172.08</v>
      </c>
      <c r="H1948" s="6">
        <v>12</v>
      </c>
      <c r="I1948" s="2" t="s">
        <v>2118</v>
      </c>
    </row>
    <row r="1949" spans="2:9" x14ac:dyDescent="0.3">
      <c r="B1949" s="2" t="s">
        <v>1955</v>
      </c>
      <c r="C1949" s="3">
        <v>44993</v>
      </c>
      <c r="D1949" s="2" t="s">
        <v>2010</v>
      </c>
      <c r="E1949" s="2" t="s">
        <v>2101</v>
      </c>
      <c r="F1949" s="4">
        <v>3562.4</v>
      </c>
      <c r="G1949" s="5">
        <v>955.45</v>
      </c>
      <c r="H1949" s="6">
        <v>2</v>
      </c>
      <c r="I1949" s="2" t="s">
        <v>2118</v>
      </c>
    </row>
    <row r="1950" spans="2:9" x14ac:dyDescent="0.3">
      <c r="B1950" s="2" t="s">
        <v>1956</v>
      </c>
      <c r="C1950" s="3">
        <v>44888</v>
      </c>
      <c r="D1950" s="2" t="s">
        <v>2010</v>
      </c>
      <c r="E1950" s="2" t="s">
        <v>2055</v>
      </c>
      <c r="F1950" s="4">
        <v>154.06</v>
      </c>
      <c r="G1950" s="5">
        <v>280.10000000000002</v>
      </c>
      <c r="H1950" s="6">
        <v>8</v>
      </c>
      <c r="I1950" s="2" t="s">
        <v>2118</v>
      </c>
    </row>
    <row r="1951" spans="2:9" x14ac:dyDescent="0.3">
      <c r="B1951" s="2" t="s">
        <v>1957</v>
      </c>
      <c r="C1951" s="3">
        <v>43943</v>
      </c>
      <c r="D1951" s="2" t="s">
        <v>2012</v>
      </c>
      <c r="E1951" s="2" t="s">
        <v>2083</v>
      </c>
      <c r="F1951" s="4">
        <v>1626.9</v>
      </c>
      <c r="G1951" s="5">
        <v>433.9</v>
      </c>
      <c r="H1951" s="6">
        <v>14</v>
      </c>
      <c r="I1951" s="2" t="s">
        <v>2116</v>
      </c>
    </row>
    <row r="1952" spans="2:9" x14ac:dyDescent="0.3">
      <c r="B1952" s="2" t="s">
        <v>1958</v>
      </c>
      <c r="C1952" s="3">
        <v>44069</v>
      </c>
      <c r="D1952" s="2" t="s">
        <v>2009</v>
      </c>
      <c r="E1952" s="2" t="s">
        <v>2110</v>
      </c>
      <c r="F1952" s="4">
        <v>304.55</v>
      </c>
      <c r="G1952" s="5">
        <v>276.43</v>
      </c>
      <c r="H1952" s="6">
        <v>11</v>
      </c>
      <c r="I1952" s="2" t="s">
        <v>2116</v>
      </c>
    </row>
    <row r="1953" spans="2:9" x14ac:dyDescent="0.3">
      <c r="B1953" s="2" t="s">
        <v>1959</v>
      </c>
      <c r="C1953" s="3">
        <v>45470</v>
      </c>
      <c r="D1953" s="2" t="s">
        <v>2009</v>
      </c>
      <c r="E1953" s="2" t="s">
        <v>2098</v>
      </c>
      <c r="F1953" s="4">
        <v>4165.26</v>
      </c>
      <c r="G1953" s="5">
        <v>901.42</v>
      </c>
      <c r="H1953" s="6">
        <v>14</v>
      </c>
      <c r="I1953" s="2" t="s">
        <v>2118</v>
      </c>
    </row>
    <row r="1954" spans="2:9" x14ac:dyDescent="0.3">
      <c r="B1954" s="2" t="s">
        <v>1960</v>
      </c>
      <c r="C1954" s="3">
        <v>44208</v>
      </c>
      <c r="D1954" s="2" t="s">
        <v>2010</v>
      </c>
      <c r="E1954" s="2" t="s">
        <v>2091</v>
      </c>
      <c r="F1954" s="4">
        <v>1318.69</v>
      </c>
      <c r="G1954" s="5">
        <v>990.14</v>
      </c>
      <c r="H1954" s="6">
        <v>2</v>
      </c>
      <c r="I1954" s="2" t="s">
        <v>2116</v>
      </c>
    </row>
    <row r="1955" spans="2:9" x14ac:dyDescent="0.3">
      <c r="B1955" s="2" t="s">
        <v>1961</v>
      </c>
      <c r="C1955" s="3">
        <v>45151</v>
      </c>
      <c r="D1955" s="2" t="s">
        <v>2010</v>
      </c>
      <c r="E1955" s="2" t="s">
        <v>2071</v>
      </c>
      <c r="F1955" s="4">
        <v>844.3</v>
      </c>
      <c r="G1955" s="5">
        <v>230.49</v>
      </c>
      <c r="H1955" s="6">
        <v>14</v>
      </c>
      <c r="I1955" s="2" t="s">
        <v>2116</v>
      </c>
    </row>
    <row r="1956" spans="2:9" x14ac:dyDescent="0.3">
      <c r="B1956" s="2" t="s">
        <v>1962</v>
      </c>
      <c r="C1956" s="3">
        <v>44436</v>
      </c>
      <c r="D1956" s="2" t="s">
        <v>2009</v>
      </c>
      <c r="E1956" s="2" t="s">
        <v>2103</v>
      </c>
      <c r="F1956" s="4">
        <v>1535.98</v>
      </c>
      <c r="G1956" s="5">
        <v>755.48</v>
      </c>
      <c r="H1956" s="6">
        <v>13</v>
      </c>
      <c r="I1956" s="2" t="s">
        <v>2117</v>
      </c>
    </row>
    <row r="1957" spans="2:9" x14ac:dyDescent="0.3">
      <c r="B1957" s="2" t="s">
        <v>1963</v>
      </c>
      <c r="C1957" s="3">
        <v>44400</v>
      </c>
      <c r="D1957" s="2" t="s">
        <v>2010</v>
      </c>
      <c r="E1957" s="2" t="s">
        <v>2034</v>
      </c>
      <c r="F1957" s="4">
        <v>4984.25</v>
      </c>
      <c r="G1957" s="5">
        <v>751.13</v>
      </c>
      <c r="H1957" s="6">
        <v>18</v>
      </c>
      <c r="I1957" s="2" t="s">
        <v>2118</v>
      </c>
    </row>
    <row r="1958" spans="2:9" x14ac:dyDescent="0.3">
      <c r="B1958" s="2" t="s">
        <v>1964</v>
      </c>
      <c r="C1958" s="3">
        <v>44566</v>
      </c>
      <c r="D1958" s="2" t="s">
        <v>2010</v>
      </c>
      <c r="E1958" s="2" t="s">
        <v>2086</v>
      </c>
      <c r="F1958" s="4">
        <v>2757.26</v>
      </c>
      <c r="G1958" s="5">
        <v>35.81</v>
      </c>
      <c r="H1958" s="6">
        <v>7</v>
      </c>
      <c r="I1958" s="2" t="s">
        <v>2118</v>
      </c>
    </row>
    <row r="1959" spans="2:9" x14ac:dyDescent="0.3">
      <c r="B1959" s="2" t="s">
        <v>1965</v>
      </c>
      <c r="C1959" s="3">
        <v>45174</v>
      </c>
      <c r="D1959" s="2" t="s">
        <v>2010</v>
      </c>
      <c r="E1959" s="2" t="s">
        <v>2090</v>
      </c>
      <c r="F1959" s="4">
        <v>3957.46</v>
      </c>
      <c r="G1959" s="5">
        <v>85.06</v>
      </c>
      <c r="H1959" s="6">
        <v>20</v>
      </c>
      <c r="I1959" s="2" t="s">
        <v>2117</v>
      </c>
    </row>
    <row r="1960" spans="2:9" x14ac:dyDescent="0.3">
      <c r="B1960" s="2" t="s">
        <v>1966</v>
      </c>
      <c r="C1960" s="3">
        <v>44799</v>
      </c>
      <c r="D1960" s="2" t="s">
        <v>2009</v>
      </c>
      <c r="E1960" s="2" t="s">
        <v>2086</v>
      </c>
      <c r="F1960" s="4">
        <v>3930.55</v>
      </c>
      <c r="G1960" s="5">
        <v>886.25</v>
      </c>
      <c r="H1960" s="6">
        <v>6</v>
      </c>
      <c r="I1960" s="2" t="s">
        <v>2117</v>
      </c>
    </row>
    <row r="1961" spans="2:9" x14ac:dyDescent="0.3">
      <c r="B1961" s="2" t="s">
        <v>1967</v>
      </c>
      <c r="C1961" s="3">
        <v>44606</v>
      </c>
      <c r="D1961" s="2" t="s">
        <v>2009</v>
      </c>
      <c r="E1961" s="2" t="s">
        <v>2083</v>
      </c>
      <c r="F1961" s="4">
        <v>2950.39</v>
      </c>
      <c r="G1961" s="5">
        <v>710.09</v>
      </c>
      <c r="H1961" s="6">
        <v>6</v>
      </c>
      <c r="I1961" s="2" t="s">
        <v>2117</v>
      </c>
    </row>
    <row r="1962" spans="2:9" x14ac:dyDescent="0.3">
      <c r="B1962" s="2" t="s">
        <v>1968</v>
      </c>
      <c r="C1962" s="3">
        <v>44749</v>
      </c>
      <c r="D1962" s="2" t="s">
        <v>2010</v>
      </c>
      <c r="E1962" s="2" t="s">
        <v>2025</v>
      </c>
      <c r="F1962" s="4">
        <v>1164.29</v>
      </c>
      <c r="G1962" s="5">
        <v>152.26</v>
      </c>
      <c r="H1962" s="6">
        <v>8</v>
      </c>
      <c r="I1962" s="2" t="s">
        <v>2118</v>
      </c>
    </row>
    <row r="1963" spans="2:9" x14ac:dyDescent="0.3">
      <c r="B1963" s="2" t="s">
        <v>1969</v>
      </c>
      <c r="C1963" s="3">
        <v>45231</v>
      </c>
      <c r="D1963" s="2" t="s">
        <v>2011</v>
      </c>
      <c r="E1963" s="2" t="s">
        <v>2084</v>
      </c>
      <c r="F1963" s="4">
        <v>2161.09</v>
      </c>
      <c r="G1963" s="5">
        <v>65.59</v>
      </c>
      <c r="H1963" s="6">
        <v>8</v>
      </c>
      <c r="I1963" s="2" t="s">
        <v>2117</v>
      </c>
    </row>
    <row r="1964" spans="2:9" x14ac:dyDescent="0.3">
      <c r="B1964" s="2" t="s">
        <v>1970</v>
      </c>
      <c r="C1964" s="3">
        <v>44549</v>
      </c>
      <c r="D1964" s="2" t="s">
        <v>2009</v>
      </c>
      <c r="E1964" s="2" t="s">
        <v>2055</v>
      </c>
      <c r="F1964" s="4">
        <v>1188.77</v>
      </c>
      <c r="G1964" s="5">
        <v>347.54</v>
      </c>
      <c r="H1964" s="6">
        <v>10</v>
      </c>
      <c r="I1964" s="2" t="s">
        <v>2118</v>
      </c>
    </row>
    <row r="1965" spans="2:9" x14ac:dyDescent="0.3">
      <c r="B1965" s="2" t="s">
        <v>1971</v>
      </c>
      <c r="C1965" s="3">
        <v>44508</v>
      </c>
      <c r="D1965" s="2" t="s">
        <v>2012</v>
      </c>
      <c r="E1965" s="2" t="s">
        <v>2013</v>
      </c>
      <c r="F1965" s="4">
        <v>532.24</v>
      </c>
      <c r="G1965" s="5">
        <v>937.39</v>
      </c>
      <c r="H1965" s="6">
        <v>12</v>
      </c>
      <c r="I1965" s="2" t="s">
        <v>2117</v>
      </c>
    </row>
    <row r="1966" spans="2:9" x14ac:dyDescent="0.3">
      <c r="B1966" s="2" t="s">
        <v>1972</v>
      </c>
      <c r="C1966" s="3">
        <v>45263</v>
      </c>
      <c r="D1966" s="2" t="s">
        <v>2009</v>
      </c>
      <c r="E1966" s="2" t="s">
        <v>2042</v>
      </c>
      <c r="F1966" s="4">
        <v>4051.48</v>
      </c>
      <c r="G1966" s="5">
        <v>624.01</v>
      </c>
      <c r="H1966" s="6">
        <v>16</v>
      </c>
      <c r="I1966" s="2" t="s">
        <v>2118</v>
      </c>
    </row>
    <row r="1967" spans="2:9" x14ac:dyDescent="0.3">
      <c r="B1967" s="2" t="s">
        <v>1973</v>
      </c>
      <c r="C1967" s="3">
        <v>44261</v>
      </c>
      <c r="D1967" s="2" t="s">
        <v>2012</v>
      </c>
      <c r="E1967" s="2" t="s">
        <v>2084</v>
      </c>
      <c r="F1967" s="4">
        <v>4557.45</v>
      </c>
      <c r="G1967" s="5">
        <v>855.18</v>
      </c>
      <c r="H1967" s="6">
        <v>13</v>
      </c>
      <c r="I1967" s="2" t="s">
        <v>2116</v>
      </c>
    </row>
    <row r="1968" spans="2:9" x14ac:dyDescent="0.3">
      <c r="B1968" s="2" t="s">
        <v>1974</v>
      </c>
      <c r="C1968" s="3">
        <v>44030</v>
      </c>
      <c r="D1968" s="2" t="s">
        <v>2010</v>
      </c>
      <c r="E1968" s="2" t="s">
        <v>2037</v>
      </c>
      <c r="F1968" s="4">
        <v>3048.38</v>
      </c>
      <c r="G1968" s="5">
        <v>354.25</v>
      </c>
      <c r="H1968" s="6">
        <v>12</v>
      </c>
      <c r="I1968" s="2" t="s">
        <v>2117</v>
      </c>
    </row>
    <row r="1969" spans="2:9" x14ac:dyDescent="0.3">
      <c r="B1969" s="2" t="s">
        <v>1975</v>
      </c>
      <c r="C1969" s="3">
        <v>45552</v>
      </c>
      <c r="D1969" s="2" t="s">
        <v>2010</v>
      </c>
      <c r="E1969" s="2" t="s">
        <v>2025</v>
      </c>
      <c r="F1969" s="4">
        <v>1744.91</v>
      </c>
      <c r="G1969" s="5">
        <v>901.62</v>
      </c>
      <c r="H1969" s="6">
        <v>13</v>
      </c>
      <c r="I1969" s="2" t="s">
        <v>2118</v>
      </c>
    </row>
    <row r="1970" spans="2:9" x14ac:dyDescent="0.3">
      <c r="B1970" s="2" t="s">
        <v>1976</v>
      </c>
      <c r="C1970" s="3">
        <v>44193</v>
      </c>
      <c r="D1970" s="2" t="s">
        <v>2011</v>
      </c>
      <c r="E1970" s="2" t="s">
        <v>2097</v>
      </c>
      <c r="F1970" s="4">
        <v>4268.3599999999997</v>
      </c>
      <c r="G1970" s="5">
        <v>289.67</v>
      </c>
      <c r="H1970" s="6">
        <v>7</v>
      </c>
      <c r="I1970" s="2" t="s">
        <v>2117</v>
      </c>
    </row>
    <row r="1971" spans="2:9" x14ac:dyDescent="0.3">
      <c r="B1971" s="2" t="s">
        <v>1977</v>
      </c>
      <c r="C1971" s="3">
        <v>45396</v>
      </c>
      <c r="D1971" s="2" t="s">
        <v>2010</v>
      </c>
      <c r="E1971" s="2" t="s">
        <v>2067</v>
      </c>
      <c r="F1971" s="4">
        <v>247.96</v>
      </c>
      <c r="G1971" s="5">
        <v>455.08</v>
      </c>
      <c r="H1971" s="6">
        <v>11</v>
      </c>
      <c r="I1971" s="2" t="s">
        <v>2116</v>
      </c>
    </row>
    <row r="1972" spans="2:9" x14ac:dyDescent="0.3">
      <c r="B1972" s="2" t="s">
        <v>1978</v>
      </c>
      <c r="C1972" s="3">
        <v>44018</v>
      </c>
      <c r="D1972" s="2" t="s">
        <v>2009</v>
      </c>
      <c r="E1972" s="2" t="s">
        <v>2062</v>
      </c>
      <c r="F1972" s="4">
        <v>3641.35</v>
      </c>
      <c r="G1972" s="5">
        <v>456.18</v>
      </c>
      <c r="H1972" s="6">
        <v>7</v>
      </c>
      <c r="I1972" s="2" t="s">
        <v>2117</v>
      </c>
    </row>
    <row r="1973" spans="2:9" x14ac:dyDescent="0.3">
      <c r="B1973" s="2" t="s">
        <v>1979</v>
      </c>
      <c r="C1973" s="3">
        <v>45341</v>
      </c>
      <c r="D1973" s="2" t="s">
        <v>2010</v>
      </c>
      <c r="E1973" s="2" t="s">
        <v>2079</v>
      </c>
      <c r="F1973" s="4">
        <v>2620.06</v>
      </c>
      <c r="G1973" s="5">
        <v>638.98</v>
      </c>
      <c r="H1973" s="6">
        <v>6</v>
      </c>
      <c r="I1973" s="2" t="s">
        <v>2117</v>
      </c>
    </row>
    <row r="1974" spans="2:9" x14ac:dyDescent="0.3">
      <c r="B1974" s="2" t="s">
        <v>1980</v>
      </c>
      <c r="C1974" s="3">
        <v>45011</v>
      </c>
      <c r="D1974" s="2" t="s">
        <v>2011</v>
      </c>
      <c r="E1974" s="2" t="s">
        <v>2014</v>
      </c>
      <c r="F1974" s="4">
        <v>4778.53</v>
      </c>
      <c r="G1974" s="5">
        <v>371.08</v>
      </c>
      <c r="H1974" s="6">
        <v>8</v>
      </c>
      <c r="I1974" s="2" t="s">
        <v>2116</v>
      </c>
    </row>
    <row r="1975" spans="2:9" x14ac:dyDescent="0.3">
      <c r="B1975" s="2" t="s">
        <v>1981</v>
      </c>
      <c r="C1975" s="3">
        <v>45450</v>
      </c>
      <c r="D1975" s="2" t="s">
        <v>2011</v>
      </c>
      <c r="E1975" s="2" t="s">
        <v>2081</v>
      </c>
      <c r="F1975" s="4">
        <v>4489.5</v>
      </c>
      <c r="G1975" s="5">
        <v>73.91</v>
      </c>
      <c r="H1975" s="6">
        <v>10</v>
      </c>
      <c r="I1975" s="2" t="s">
        <v>2117</v>
      </c>
    </row>
    <row r="1976" spans="2:9" x14ac:dyDescent="0.3">
      <c r="B1976" s="2" t="s">
        <v>1982</v>
      </c>
      <c r="C1976" s="3">
        <v>45153</v>
      </c>
      <c r="D1976" s="2" t="s">
        <v>2012</v>
      </c>
      <c r="E1976" s="2" t="s">
        <v>2046</v>
      </c>
      <c r="F1976" s="4">
        <v>3344.17</v>
      </c>
      <c r="G1976" s="5">
        <v>722.23</v>
      </c>
      <c r="H1976" s="6">
        <v>5</v>
      </c>
      <c r="I1976" s="2" t="s">
        <v>2118</v>
      </c>
    </row>
    <row r="1977" spans="2:9" x14ac:dyDescent="0.3">
      <c r="B1977" s="2" t="s">
        <v>1983</v>
      </c>
      <c r="C1977" s="3">
        <v>44917</v>
      </c>
      <c r="D1977" s="2" t="s">
        <v>2012</v>
      </c>
      <c r="E1977" s="2" t="s">
        <v>2107</v>
      </c>
      <c r="F1977" s="4">
        <v>109.25</v>
      </c>
      <c r="G1977" s="5">
        <v>316.64999999999998</v>
      </c>
      <c r="H1977" s="6">
        <v>7</v>
      </c>
      <c r="I1977" s="2" t="s">
        <v>2117</v>
      </c>
    </row>
    <row r="1978" spans="2:9" x14ac:dyDescent="0.3">
      <c r="B1978" s="2" t="s">
        <v>1984</v>
      </c>
      <c r="C1978" s="3">
        <v>45099</v>
      </c>
      <c r="D1978" s="2" t="s">
        <v>2012</v>
      </c>
      <c r="E1978" s="2" t="s">
        <v>2081</v>
      </c>
      <c r="F1978" s="4">
        <v>1325.26</v>
      </c>
      <c r="G1978" s="5">
        <v>56.57</v>
      </c>
      <c r="H1978" s="6">
        <v>12</v>
      </c>
      <c r="I1978" s="2" t="s">
        <v>2118</v>
      </c>
    </row>
    <row r="1979" spans="2:9" x14ac:dyDescent="0.3">
      <c r="B1979" s="2" t="s">
        <v>1985</v>
      </c>
      <c r="C1979" s="3">
        <v>44562</v>
      </c>
      <c r="D1979" s="2" t="s">
        <v>2012</v>
      </c>
      <c r="E1979" s="2" t="s">
        <v>2111</v>
      </c>
      <c r="F1979" s="4">
        <v>3576.2</v>
      </c>
      <c r="G1979" s="5">
        <v>758.38</v>
      </c>
      <c r="H1979" s="6">
        <v>4</v>
      </c>
      <c r="I1979" s="2" t="s">
        <v>2117</v>
      </c>
    </row>
    <row r="1980" spans="2:9" x14ac:dyDescent="0.3">
      <c r="B1980" s="2" t="s">
        <v>1986</v>
      </c>
      <c r="C1980" s="3">
        <v>44431</v>
      </c>
      <c r="D1980" s="2" t="s">
        <v>2010</v>
      </c>
      <c r="E1980" s="2" t="s">
        <v>2068</v>
      </c>
      <c r="F1980" s="4">
        <v>2955.71</v>
      </c>
      <c r="G1980" s="5">
        <v>505.04</v>
      </c>
      <c r="H1980" s="6">
        <v>12</v>
      </c>
      <c r="I1980" s="2" t="s">
        <v>2116</v>
      </c>
    </row>
    <row r="1981" spans="2:9" x14ac:dyDescent="0.3">
      <c r="B1981" s="2" t="s">
        <v>1987</v>
      </c>
      <c r="C1981" s="3">
        <v>45081</v>
      </c>
      <c r="D1981" s="2" t="s">
        <v>2011</v>
      </c>
      <c r="E1981" s="2" t="s">
        <v>2040</v>
      </c>
      <c r="F1981" s="4">
        <v>4214.6499999999996</v>
      </c>
      <c r="G1981" s="5">
        <v>800.14</v>
      </c>
      <c r="H1981" s="6">
        <v>20</v>
      </c>
      <c r="I1981" s="2" t="s">
        <v>2117</v>
      </c>
    </row>
    <row r="1982" spans="2:9" x14ac:dyDescent="0.3">
      <c r="B1982" s="2" t="s">
        <v>1988</v>
      </c>
      <c r="C1982" s="3">
        <v>44283</v>
      </c>
      <c r="D1982" s="2" t="s">
        <v>2012</v>
      </c>
      <c r="E1982" s="2" t="s">
        <v>2101</v>
      </c>
      <c r="F1982" s="4">
        <v>2702.14</v>
      </c>
      <c r="G1982" s="5">
        <v>560.71</v>
      </c>
      <c r="H1982" s="6">
        <v>7</v>
      </c>
      <c r="I1982" s="2" t="s">
        <v>2118</v>
      </c>
    </row>
    <row r="1983" spans="2:9" x14ac:dyDescent="0.3">
      <c r="B1983" s="2" t="s">
        <v>1989</v>
      </c>
      <c r="C1983" s="3">
        <v>44907</v>
      </c>
      <c r="D1983" s="2" t="s">
        <v>2012</v>
      </c>
      <c r="E1983" s="2" t="s">
        <v>2031</v>
      </c>
      <c r="F1983" s="4">
        <v>2784.87</v>
      </c>
      <c r="G1983" s="5">
        <v>571.86</v>
      </c>
      <c r="H1983" s="6">
        <v>7</v>
      </c>
      <c r="I1983" s="2" t="s">
        <v>2116</v>
      </c>
    </row>
    <row r="1984" spans="2:9" x14ac:dyDescent="0.3">
      <c r="B1984" s="2" t="s">
        <v>1990</v>
      </c>
      <c r="C1984" s="3">
        <v>44250</v>
      </c>
      <c r="D1984" s="2" t="s">
        <v>2010</v>
      </c>
      <c r="E1984" s="2" t="s">
        <v>2106</v>
      </c>
      <c r="F1984" s="4">
        <v>745.65</v>
      </c>
      <c r="G1984" s="5">
        <v>943.42</v>
      </c>
      <c r="H1984" s="6">
        <v>11</v>
      </c>
      <c r="I1984" s="2" t="s">
        <v>2116</v>
      </c>
    </row>
    <row r="1985" spans="2:9" x14ac:dyDescent="0.3">
      <c r="B1985" s="2" t="s">
        <v>1991</v>
      </c>
      <c r="C1985" s="3">
        <v>45363</v>
      </c>
      <c r="D1985" s="2" t="s">
        <v>2012</v>
      </c>
      <c r="E1985" s="2" t="s">
        <v>2077</v>
      </c>
      <c r="F1985" s="4">
        <v>3339.8</v>
      </c>
      <c r="G1985" s="5">
        <v>850.02</v>
      </c>
      <c r="H1985" s="6">
        <v>10</v>
      </c>
      <c r="I1985" s="2" t="s">
        <v>2118</v>
      </c>
    </row>
    <row r="1986" spans="2:9" x14ac:dyDescent="0.3">
      <c r="B1986" s="2" t="s">
        <v>1992</v>
      </c>
      <c r="C1986" s="3">
        <v>43902</v>
      </c>
      <c r="D1986" s="2" t="s">
        <v>2009</v>
      </c>
      <c r="E1986" s="2" t="s">
        <v>2105</v>
      </c>
      <c r="F1986" s="4">
        <v>1855.42</v>
      </c>
      <c r="G1986" s="5">
        <v>279.48</v>
      </c>
      <c r="H1986" s="6">
        <v>12</v>
      </c>
      <c r="I1986" s="2" t="s">
        <v>2116</v>
      </c>
    </row>
    <row r="1987" spans="2:9" x14ac:dyDescent="0.3">
      <c r="B1987" s="2" t="s">
        <v>1993</v>
      </c>
      <c r="C1987" s="3">
        <v>44457</v>
      </c>
      <c r="D1987" s="2" t="s">
        <v>2009</v>
      </c>
      <c r="E1987" s="2" t="s">
        <v>2066</v>
      </c>
      <c r="F1987" s="4">
        <v>3172.36</v>
      </c>
      <c r="G1987" s="5">
        <v>424.08</v>
      </c>
      <c r="H1987" s="6">
        <v>16</v>
      </c>
      <c r="I1987" s="2" t="s">
        <v>2116</v>
      </c>
    </row>
    <row r="1988" spans="2:9" x14ac:dyDescent="0.3">
      <c r="B1988" s="2" t="s">
        <v>1994</v>
      </c>
      <c r="C1988" s="3">
        <v>45127</v>
      </c>
      <c r="D1988" s="2" t="s">
        <v>2012</v>
      </c>
      <c r="E1988" s="2" t="s">
        <v>2049</v>
      </c>
      <c r="F1988" s="4">
        <v>257.31</v>
      </c>
      <c r="G1988" s="5">
        <v>750.59</v>
      </c>
      <c r="H1988" s="6">
        <v>12</v>
      </c>
      <c r="I1988" s="2" t="s">
        <v>2118</v>
      </c>
    </row>
    <row r="1989" spans="2:9" x14ac:dyDescent="0.3">
      <c r="B1989" s="2" t="s">
        <v>1995</v>
      </c>
      <c r="C1989" s="3">
        <v>44898</v>
      </c>
      <c r="D1989" s="2" t="s">
        <v>2010</v>
      </c>
      <c r="E1989" s="2" t="s">
        <v>2020</v>
      </c>
      <c r="F1989" s="4">
        <v>4972.79</v>
      </c>
      <c r="G1989" s="5">
        <v>575.76</v>
      </c>
      <c r="H1989" s="6">
        <v>5</v>
      </c>
      <c r="I1989" s="2" t="s">
        <v>2116</v>
      </c>
    </row>
    <row r="1990" spans="2:9" x14ac:dyDescent="0.3">
      <c r="B1990" s="2" t="s">
        <v>1996</v>
      </c>
      <c r="C1990" s="3">
        <v>44546</v>
      </c>
      <c r="D1990" s="2" t="s">
        <v>2009</v>
      </c>
      <c r="E1990" s="2" t="s">
        <v>2049</v>
      </c>
      <c r="F1990" s="4">
        <v>4660.82</v>
      </c>
      <c r="G1990" s="5">
        <v>601.11</v>
      </c>
      <c r="H1990" s="6">
        <v>16</v>
      </c>
      <c r="I1990" s="2" t="s">
        <v>2117</v>
      </c>
    </row>
    <row r="1991" spans="2:9" x14ac:dyDescent="0.3">
      <c r="B1991" s="2" t="s">
        <v>1997</v>
      </c>
      <c r="C1991" s="3">
        <v>44665</v>
      </c>
      <c r="D1991" s="2" t="s">
        <v>2009</v>
      </c>
      <c r="E1991" s="2" t="s">
        <v>2076</v>
      </c>
      <c r="F1991" s="4">
        <v>2668.48</v>
      </c>
      <c r="G1991" s="5">
        <v>190.88</v>
      </c>
      <c r="H1991" s="6">
        <v>4</v>
      </c>
      <c r="I1991" s="2" t="s">
        <v>2117</v>
      </c>
    </row>
    <row r="1992" spans="2:9" x14ac:dyDescent="0.3">
      <c r="B1992" s="2" t="s">
        <v>1998</v>
      </c>
      <c r="C1992" s="3">
        <v>44346</v>
      </c>
      <c r="D1992" s="2" t="s">
        <v>2011</v>
      </c>
      <c r="E1992" s="2" t="s">
        <v>2071</v>
      </c>
      <c r="F1992" s="4">
        <v>765.73</v>
      </c>
      <c r="G1992" s="5">
        <v>215.81</v>
      </c>
      <c r="H1992" s="6">
        <v>13</v>
      </c>
      <c r="I1992" s="2" t="s">
        <v>2117</v>
      </c>
    </row>
    <row r="1993" spans="2:9" x14ac:dyDescent="0.3">
      <c r="B1993" s="2" t="s">
        <v>1999</v>
      </c>
      <c r="C1993" s="3">
        <v>44909</v>
      </c>
      <c r="D1993" s="2" t="s">
        <v>2012</v>
      </c>
      <c r="E1993" s="2" t="s">
        <v>2087</v>
      </c>
      <c r="F1993" s="4">
        <v>890.32</v>
      </c>
      <c r="G1993" s="5">
        <v>340.99</v>
      </c>
      <c r="H1993" s="6">
        <v>7</v>
      </c>
      <c r="I1993" s="2" t="s">
        <v>2117</v>
      </c>
    </row>
    <row r="1994" spans="2:9" x14ac:dyDescent="0.3">
      <c r="B1994" s="2" t="s">
        <v>2000</v>
      </c>
      <c r="C1994" s="3">
        <v>45544</v>
      </c>
      <c r="D1994" s="2" t="s">
        <v>2009</v>
      </c>
      <c r="E1994" s="2" t="s">
        <v>2045</v>
      </c>
      <c r="F1994" s="4">
        <v>522.13</v>
      </c>
      <c r="G1994" s="5">
        <v>409.89</v>
      </c>
      <c r="H1994" s="6">
        <v>16</v>
      </c>
      <c r="I1994" s="2" t="s">
        <v>2118</v>
      </c>
    </row>
    <row r="1995" spans="2:9" x14ac:dyDescent="0.3">
      <c r="B1995" s="2" t="s">
        <v>2001</v>
      </c>
      <c r="C1995" s="3">
        <v>44153</v>
      </c>
      <c r="D1995" s="2" t="s">
        <v>2011</v>
      </c>
      <c r="E1995" s="2" t="s">
        <v>2059</v>
      </c>
      <c r="F1995" s="4">
        <v>2718.17</v>
      </c>
      <c r="G1995" s="5">
        <v>807.78</v>
      </c>
      <c r="H1995" s="6">
        <v>11</v>
      </c>
      <c r="I1995" s="2" t="s">
        <v>2116</v>
      </c>
    </row>
    <row r="1996" spans="2:9" x14ac:dyDescent="0.3">
      <c r="B1996" s="2" t="s">
        <v>2002</v>
      </c>
      <c r="C1996" s="3">
        <v>44406</v>
      </c>
      <c r="D1996" s="2" t="s">
        <v>2011</v>
      </c>
      <c r="E1996" s="2" t="s">
        <v>2054</v>
      </c>
      <c r="F1996" s="4">
        <v>3224.94</v>
      </c>
      <c r="G1996" s="5">
        <v>19.62</v>
      </c>
      <c r="H1996" s="6">
        <v>6</v>
      </c>
      <c r="I1996" s="2" t="s">
        <v>2118</v>
      </c>
    </row>
    <row r="1997" spans="2:9" x14ac:dyDescent="0.3">
      <c r="B1997" s="2" t="s">
        <v>2003</v>
      </c>
      <c r="C1997" s="3">
        <v>44664</v>
      </c>
      <c r="D1997" s="2" t="s">
        <v>2012</v>
      </c>
      <c r="E1997" s="2" t="s">
        <v>2065</v>
      </c>
      <c r="F1997" s="4">
        <v>2379.9699999999998</v>
      </c>
      <c r="G1997" s="5">
        <v>233.39</v>
      </c>
      <c r="H1997" s="6">
        <v>14</v>
      </c>
      <c r="I1997" s="2" t="s">
        <v>2118</v>
      </c>
    </row>
    <row r="1998" spans="2:9" x14ac:dyDescent="0.3">
      <c r="B1998" s="2" t="s">
        <v>2004</v>
      </c>
      <c r="C1998" s="3">
        <v>44702</v>
      </c>
      <c r="D1998" s="2" t="s">
        <v>2012</v>
      </c>
      <c r="E1998" s="2" t="s">
        <v>2098</v>
      </c>
      <c r="F1998" s="4">
        <v>3146.83</v>
      </c>
      <c r="G1998" s="5">
        <v>357.86</v>
      </c>
      <c r="H1998" s="6">
        <v>17</v>
      </c>
      <c r="I1998" s="2" t="s">
        <v>2116</v>
      </c>
    </row>
    <row r="1999" spans="2:9" x14ac:dyDescent="0.3">
      <c r="B1999" s="2" t="s">
        <v>2005</v>
      </c>
      <c r="C1999" s="3">
        <v>44618</v>
      </c>
      <c r="D1999" s="2" t="s">
        <v>2009</v>
      </c>
      <c r="E1999" s="2" t="s">
        <v>2071</v>
      </c>
      <c r="F1999" s="4">
        <v>287.77999999999997</v>
      </c>
      <c r="G1999" s="5">
        <v>52.98</v>
      </c>
      <c r="H1999" s="6">
        <v>2</v>
      </c>
      <c r="I1999" s="2" t="s">
        <v>2118</v>
      </c>
    </row>
    <row r="2000" spans="2:9" x14ac:dyDescent="0.3">
      <c r="B2000" s="2" t="s">
        <v>2006</v>
      </c>
      <c r="C2000" s="3">
        <v>44551</v>
      </c>
      <c r="D2000" s="2" t="s">
        <v>2012</v>
      </c>
      <c r="E2000" s="2" t="s">
        <v>2097</v>
      </c>
      <c r="F2000" s="4">
        <v>4109.25</v>
      </c>
      <c r="G2000" s="5">
        <v>712.09</v>
      </c>
      <c r="H2000" s="6">
        <v>6</v>
      </c>
      <c r="I2000" s="2" t="s">
        <v>2118</v>
      </c>
    </row>
    <row r="2001" spans="2:9" x14ac:dyDescent="0.3">
      <c r="B2001" s="2" t="s">
        <v>2007</v>
      </c>
      <c r="C2001" s="3">
        <v>45251</v>
      </c>
      <c r="D2001" s="2" t="s">
        <v>2009</v>
      </c>
      <c r="E2001" s="2" t="s">
        <v>2051</v>
      </c>
      <c r="F2001" s="4">
        <v>4388.8999999999996</v>
      </c>
      <c r="G2001" s="5">
        <v>310.08999999999997</v>
      </c>
      <c r="H2001" s="6">
        <v>19</v>
      </c>
      <c r="I2001" s="2" t="s">
        <v>2116</v>
      </c>
    </row>
    <row r="2002" spans="2:9" x14ac:dyDescent="0.3">
      <c r="B2002" s="2" t="s">
        <v>2008</v>
      </c>
      <c r="C2002" s="3">
        <v>45428</v>
      </c>
      <c r="D2002" s="2" t="s">
        <v>2011</v>
      </c>
      <c r="E2002" s="2" t="s">
        <v>2031</v>
      </c>
      <c r="F2002" s="4">
        <v>2705.93</v>
      </c>
      <c r="G2002" s="5">
        <v>242.37</v>
      </c>
      <c r="H2002" s="6">
        <v>1</v>
      </c>
      <c r="I2002" s="2" t="s">
        <v>2116</v>
      </c>
    </row>
  </sheetData>
  <mergeCells count="1">
    <mergeCell ref="K6:L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02"/>
  <sheetViews>
    <sheetView workbookViewId="0">
      <selection activeCell="J45" sqref="J45"/>
    </sheetView>
  </sheetViews>
  <sheetFormatPr defaultRowHeight="14.4" x14ac:dyDescent="0.3"/>
  <cols>
    <col min="2" max="2" width="10.88671875" bestFit="1" customWidth="1"/>
    <col min="3" max="3" width="36.88671875" bestFit="1" customWidth="1"/>
    <col min="4" max="4" width="17.33203125" bestFit="1" customWidth="1"/>
    <col min="5" max="5" width="30.5546875" bestFit="1" customWidth="1"/>
    <col min="6" max="6" width="9.6640625" bestFit="1" customWidth="1"/>
  </cols>
  <sheetData>
    <row r="2" spans="2:6" ht="15.6" x14ac:dyDescent="0.3">
      <c r="B2" s="1" t="s">
        <v>3</v>
      </c>
      <c r="C2" s="1" t="s">
        <v>2119</v>
      </c>
      <c r="D2" s="1" t="s">
        <v>4</v>
      </c>
      <c r="E2" s="1" t="s">
        <v>2120</v>
      </c>
      <c r="F2" s="1" t="s">
        <v>2121</v>
      </c>
    </row>
    <row r="3" spans="2:6" x14ac:dyDescent="0.3">
      <c r="B3" s="2" t="s">
        <v>2091</v>
      </c>
      <c r="C3" s="2" t="s">
        <v>2122</v>
      </c>
      <c r="D3" s="2" t="s">
        <v>2113</v>
      </c>
      <c r="E3" s="2" t="s">
        <v>2222</v>
      </c>
      <c r="F3" s="2">
        <v>298.57</v>
      </c>
    </row>
    <row r="4" spans="2:6" x14ac:dyDescent="0.3">
      <c r="B4" s="2" t="s">
        <v>2086</v>
      </c>
      <c r="C4" s="2" t="s">
        <v>2123</v>
      </c>
      <c r="D4" s="2" t="s">
        <v>2114</v>
      </c>
      <c r="E4" s="2" t="s">
        <v>2223</v>
      </c>
      <c r="F4" s="2">
        <v>58.01</v>
      </c>
    </row>
    <row r="5" spans="2:6" x14ac:dyDescent="0.3">
      <c r="B5" s="2" t="s">
        <v>2069</v>
      </c>
      <c r="C5" s="2" t="s">
        <v>2124</v>
      </c>
      <c r="D5" s="2" t="s">
        <v>2115</v>
      </c>
      <c r="E5" s="2" t="s">
        <v>2224</v>
      </c>
      <c r="F5" s="2">
        <v>111.22</v>
      </c>
    </row>
    <row r="6" spans="2:6" x14ac:dyDescent="0.3">
      <c r="B6" s="2" t="s">
        <v>2022</v>
      </c>
      <c r="C6" s="2" t="s">
        <v>2125</v>
      </c>
      <c r="D6" s="2" t="s">
        <v>2114</v>
      </c>
      <c r="E6" s="2" t="s">
        <v>2225</v>
      </c>
      <c r="F6" s="2">
        <v>286.04000000000002</v>
      </c>
    </row>
    <row r="7" spans="2:6" x14ac:dyDescent="0.3">
      <c r="B7" s="2" t="s">
        <v>2019</v>
      </c>
      <c r="C7" s="2" t="s">
        <v>2126</v>
      </c>
      <c r="D7" s="2" t="s">
        <v>2114</v>
      </c>
      <c r="E7" s="2" t="s">
        <v>2226</v>
      </c>
      <c r="F7" s="2">
        <v>195.53</v>
      </c>
    </row>
    <row r="8" spans="2:6" x14ac:dyDescent="0.3">
      <c r="B8" s="2" t="s">
        <v>2047</v>
      </c>
      <c r="C8" s="2" t="s">
        <v>2127</v>
      </c>
      <c r="D8" s="2" t="s">
        <v>2115</v>
      </c>
      <c r="E8" s="2" t="s">
        <v>2227</v>
      </c>
      <c r="F8" s="2">
        <v>179.27</v>
      </c>
    </row>
    <row r="9" spans="2:6" x14ac:dyDescent="0.3">
      <c r="B9" s="2" t="s">
        <v>2040</v>
      </c>
      <c r="C9" s="2" t="s">
        <v>2128</v>
      </c>
      <c r="D9" s="2" t="s">
        <v>2115</v>
      </c>
      <c r="E9" s="2" t="s">
        <v>2228</v>
      </c>
      <c r="F9" s="2">
        <v>279.8</v>
      </c>
    </row>
    <row r="10" spans="2:6" x14ac:dyDescent="0.3">
      <c r="B10" s="2" t="s">
        <v>2037</v>
      </c>
      <c r="C10" s="2" t="s">
        <v>2129</v>
      </c>
      <c r="D10" s="2" t="s">
        <v>2113</v>
      </c>
      <c r="E10" s="2" t="s">
        <v>2229</v>
      </c>
      <c r="F10" s="2">
        <v>241.53</v>
      </c>
    </row>
    <row r="11" spans="2:6" x14ac:dyDescent="0.3">
      <c r="B11" s="2" t="s">
        <v>2028</v>
      </c>
      <c r="C11" s="2" t="s">
        <v>2130</v>
      </c>
      <c r="D11" s="2" t="s">
        <v>2114</v>
      </c>
      <c r="E11" s="2" t="s">
        <v>2230</v>
      </c>
      <c r="F11" s="2">
        <v>72.37</v>
      </c>
    </row>
    <row r="12" spans="2:6" x14ac:dyDescent="0.3">
      <c r="B12" s="2" t="s">
        <v>2042</v>
      </c>
      <c r="C12" s="2" t="s">
        <v>2131</v>
      </c>
      <c r="D12" s="2" t="s">
        <v>2113</v>
      </c>
      <c r="E12" s="2" t="s">
        <v>2231</v>
      </c>
      <c r="F12" s="2">
        <v>198.99</v>
      </c>
    </row>
    <row r="13" spans="2:6" x14ac:dyDescent="0.3">
      <c r="B13" s="2" t="s">
        <v>2088</v>
      </c>
      <c r="C13" s="2" t="s">
        <v>2132</v>
      </c>
      <c r="D13" s="2" t="s">
        <v>2113</v>
      </c>
      <c r="E13" s="2" t="s">
        <v>2232</v>
      </c>
      <c r="F13" s="2">
        <v>160.33000000000001</v>
      </c>
    </row>
    <row r="14" spans="2:6" x14ac:dyDescent="0.3">
      <c r="B14" s="2" t="s">
        <v>2020</v>
      </c>
      <c r="C14" s="2" t="s">
        <v>2133</v>
      </c>
      <c r="D14" s="2" t="s">
        <v>2113</v>
      </c>
      <c r="E14" s="2" t="s">
        <v>2233</v>
      </c>
      <c r="F14" s="2">
        <v>26.49</v>
      </c>
    </row>
    <row r="15" spans="2:6" x14ac:dyDescent="0.3">
      <c r="B15" s="2" t="s">
        <v>2092</v>
      </c>
      <c r="C15" s="2" t="s">
        <v>2134</v>
      </c>
      <c r="D15" s="2" t="s">
        <v>2115</v>
      </c>
      <c r="E15" s="2" t="s">
        <v>2234</v>
      </c>
      <c r="F15" s="2">
        <v>271.16000000000003</v>
      </c>
    </row>
    <row r="16" spans="2:6" x14ac:dyDescent="0.3">
      <c r="B16" s="2" t="s">
        <v>2095</v>
      </c>
      <c r="C16" s="2" t="s">
        <v>2135</v>
      </c>
      <c r="D16" s="2" t="s">
        <v>2115</v>
      </c>
      <c r="E16" s="2" t="s">
        <v>2235</v>
      </c>
      <c r="F16" s="2">
        <v>239.16</v>
      </c>
    </row>
    <row r="17" spans="2:6" x14ac:dyDescent="0.3">
      <c r="B17" s="2" t="s">
        <v>2081</v>
      </c>
      <c r="C17" s="2" t="s">
        <v>2136</v>
      </c>
      <c r="D17" s="2" t="s">
        <v>2113</v>
      </c>
      <c r="E17" s="2" t="s">
        <v>2236</v>
      </c>
      <c r="F17" s="2">
        <v>201.87</v>
      </c>
    </row>
    <row r="18" spans="2:6" x14ac:dyDescent="0.3">
      <c r="B18" s="2" t="s">
        <v>2089</v>
      </c>
      <c r="C18" s="2" t="s">
        <v>2137</v>
      </c>
      <c r="D18" s="2" t="s">
        <v>2114</v>
      </c>
      <c r="E18" s="2" t="s">
        <v>2237</v>
      </c>
      <c r="F18" s="2">
        <v>20.69</v>
      </c>
    </row>
    <row r="19" spans="2:6" x14ac:dyDescent="0.3">
      <c r="B19" s="2" t="s">
        <v>2099</v>
      </c>
      <c r="C19" s="2" t="s">
        <v>2138</v>
      </c>
      <c r="D19" s="2" t="s">
        <v>2113</v>
      </c>
      <c r="E19" s="2" t="s">
        <v>2238</v>
      </c>
      <c r="F19" s="2">
        <v>87.18</v>
      </c>
    </row>
    <row r="20" spans="2:6" x14ac:dyDescent="0.3">
      <c r="B20" s="2" t="s">
        <v>2016</v>
      </c>
      <c r="C20" s="2" t="s">
        <v>2139</v>
      </c>
      <c r="D20" s="2" t="s">
        <v>2114</v>
      </c>
      <c r="E20" s="2" t="s">
        <v>2239</v>
      </c>
      <c r="F20" s="2">
        <v>23.02</v>
      </c>
    </row>
    <row r="21" spans="2:6" x14ac:dyDescent="0.3">
      <c r="B21" s="2" t="s">
        <v>2055</v>
      </c>
      <c r="C21" s="2" t="s">
        <v>2140</v>
      </c>
      <c r="D21" s="2" t="s">
        <v>2113</v>
      </c>
      <c r="E21" s="2" t="s">
        <v>2240</v>
      </c>
      <c r="F21" s="2">
        <v>127.23</v>
      </c>
    </row>
    <row r="22" spans="2:6" x14ac:dyDescent="0.3">
      <c r="B22" s="2" t="s">
        <v>2051</v>
      </c>
      <c r="C22" s="2" t="s">
        <v>2141</v>
      </c>
      <c r="D22" s="2" t="s">
        <v>2115</v>
      </c>
      <c r="E22" s="2" t="s">
        <v>2241</v>
      </c>
      <c r="F22" s="2">
        <v>299.77</v>
      </c>
    </row>
    <row r="23" spans="2:6" x14ac:dyDescent="0.3">
      <c r="B23" s="2" t="s">
        <v>2112</v>
      </c>
      <c r="C23" s="2" t="s">
        <v>2142</v>
      </c>
      <c r="D23" s="2" t="s">
        <v>2113</v>
      </c>
      <c r="E23" s="2" t="s">
        <v>2242</v>
      </c>
      <c r="F23" s="2">
        <v>236.57</v>
      </c>
    </row>
    <row r="24" spans="2:6" x14ac:dyDescent="0.3">
      <c r="B24" s="2" t="s">
        <v>2108</v>
      </c>
      <c r="C24" s="2" t="s">
        <v>2143</v>
      </c>
      <c r="D24" s="2" t="s">
        <v>2115</v>
      </c>
      <c r="E24" s="2" t="s">
        <v>2243</v>
      </c>
      <c r="F24" s="2">
        <v>93.81</v>
      </c>
    </row>
    <row r="25" spans="2:6" x14ac:dyDescent="0.3">
      <c r="B25" s="2" t="s">
        <v>2039</v>
      </c>
      <c r="C25" s="2" t="s">
        <v>2144</v>
      </c>
      <c r="D25" s="2" t="s">
        <v>2114</v>
      </c>
      <c r="E25" s="2" t="s">
        <v>2244</v>
      </c>
      <c r="F25" s="2">
        <v>250.66</v>
      </c>
    </row>
    <row r="26" spans="2:6" x14ac:dyDescent="0.3">
      <c r="B26" s="2" t="s">
        <v>2059</v>
      </c>
      <c r="C26" s="2" t="s">
        <v>2145</v>
      </c>
      <c r="D26" s="2" t="s">
        <v>2114</v>
      </c>
      <c r="E26" s="2" t="s">
        <v>2245</v>
      </c>
      <c r="F26" s="2">
        <v>78.260000000000005</v>
      </c>
    </row>
    <row r="27" spans="2:6" x14ac:dyDescent="0.3">
      <c r="B27" s="2" t="s">
        <v>2062</v>
      </c>
      <c r="C27" s="2" t="s">
        <v>2146</v>
      </c>
      <c r="D27" s="2" t="s">
        <v>2114</v>
      </c>
      <c r="E27" s="2" t="s">
        <v>2246</v>
      </c>
      <c r="F27" s="2">
        <v>86.67</v>
      </c>
    </row>
    <row r="28" spans="2:6" x14ac:dyDescent="0.3">
      <c r="B28" s="2" t="s">
        <v>2023</v>
      </c>
      <c r="C28" s="2" t="s">
        <v>2147</v>
      </c>
      <c r="D28" s="2" t="s">
        <v>2114</v>
      </c>
      <c r="E28" s="2" t="s">
        <v>2247</v>
      </c>
      <c r="F28" s="2">
        <v>117.3</v>
      </c>
    </row>
    <row r="29" spans="2:6" x14ac:dyDescent="0.3">
      <c r="B29" s="2" t="s">
        <v>2025</v>
      </c>
      <c r="C29" s="2" t="s">
        <v>2148</v>
      </c>
      <c r="D29" s="2" t="s">
        <v>2113</v>
      </c>
      <c r="E29" s="2" t="s">
        <v>2248</v>
      </c>
      <c r="F29" s="2">
        <v>291.14999999999998</v>
      </c>
    </row>
    <row r="30" spans="2:6" x14ac:dyDescent="0.3">
      <c r="B30" s="2" t="s">
        <v>2098</v>
      </c>
      <c r="C30" s="2" t="s">
        <v>2149</v>
      </c>
      <c r="D30" s="2" t="s">
        <v>2113</v>
      </c>
      <c r="E30" s="2" t="s">
        <v>2249</v>
      </c>
      <c r="F30" s="2">
        <v>45.41</v>
      </c>
    </row>
    <row r="31" spans="2:6" x14ac:dyDescent="0.3">
      <c r="B31" s="2" t="s">
        <v>2043</v>
      </c>
      <c r="C31" s="2" t="s">
        <v>2150</v>
      </c>
      <c r="D31" s="2" t="s">
        <v>2113</v>
      </c>
      <c r="E31" s="2" t="s">
        <v>2250</v>
      </c>
      <c r="F31" s="2">
        <v>114.48</v>
      </c>
    </row>
    <row r="32" spans="2:6" x14ac:dyDescent="0.3">
      <c r="B32" s="2" t="s">
        <v>2080</v>
      </c>
      <c r="C32" s="2" t="s">
        <v>2151</v>
      </c>
      <c r="D32" s="2" t="s">
        <v>2113</v>
      </c>
      <c r="E32" s="2" t="s">
        <v>2251</v>
      </c>
      <c r="F32" s="2">
        <v>133.24</v>
      </c>
    </row>
    <row r="33" spans="2:6" x14ac:dyDescent="0.3">
      <c r="B33" s="2" t="s">
        <v>2077</v>
      </c>
      <c r="C33" s="2" t="s">
        <v>2152</v>
      </c>
      <c r="D33" s="2" t="s">
        <v>2114</v>
      </c>
      <c r="E33" s="2" t="s">
        <v>2252</v>
      </c>
      <c r="F33" s="2">
        <v>162.69999999999999</v>
      </c>
    </row>
    <row r="34" spans="2:6" x14ac:dyDescent="0.3">
      <c r="B34" s="2" t="s">
        <v>2106</v>
      </c>
      <c r="C34" s="2" t="s">
        <v>2153</v>
      </c>
      <c r="D34" s="2" t="s">
        <v>2114</v>
      </c>
      <c r="E34" s="2" t="s">
        <v>2253</v>
      </c>
      <c r="F34" s="2">
        <v>54.8</v>
      </c>
    </row>
    <row r="35" spans="2:6" x14ac:dyDescent="0.3">
      <c r="B35" s="2" t="s">
        <v>2060</v>
      </c>
      <c r="C35" s="2" t="s">
        <v>2154</v>
      </c>
      <c r="D35" s="2" t="s">
        <v>2114</v>
      </c>
      <c r="E35" s="2" t="s">
        <v>2254</v>
      </c>
      <c r="F35" s="2">
        <v>159.85</v>
      </c>
    </row>
    <row r="36" spans="2:6" x14ac:dyDescent="0.3">
      <c r="B36" s="2" t="s">
        <v>2013</v>
      </c>
      <c r="C36" s="2" t="s">
        <v>2155</v>
      </c>
      <c r="D36" s="2" t="s">
        <v>2115</v>
      </c>
      <c r="E36" s="2" t="s">
        <v>2255</v>
      </c>
      <c r="F36" s="2">
        <v>45.82</v>
      </c>
    </row>
    <row r="37" spans="2:6" x14ac:dyDescent="0.3">
      <c r="B37" s="2" t="s">
        <v>2074</v>
      </c>
      <c r="C37" s="2" t="s">
        <v>2156</v>
      </c>
      <c r="D37" s="2" t="s">
        <v>2114</v>
      </c>
      <c r="E37" s="2" t="s">
        <v>2256</v>
      </c>
      <c r="F37" s="2">
        <v>295.89999999999998</v>
      </c>
    </row>
    <row r="38" spans="2:6" x14ac:dyDescent="0.3">
      <c r="B38" s="2" t="s">
        <v>2035</v>
      </c>
      <c r="C38" s="2" t="s">
        <v>2157</v>
      </c>
      <c r="D38" s="2" t="s">
        <v>2115</v>
      </c>
      <c r="E38" s="2" t="s">
        <v>2257</v>
      </c>
      <c r="F38" s="2">
        <v>100.35</v>
      </c>
    </row>
    <row r="39" spans="2:6" x14ac:dyDescent="0.3">
      <c r="B39" s="2" t="s">
        <v>2072</v>
      </c>
      <c r="C39" s="2" t="s">
        <v>2158</v>
      </c>
      <c r="D39" s="2" t="s">
        <v>2113</v>
      </c>
      <c r="E39" s="2" t="s">
        <v>2258</v>
      </c>
      <c r="F39" s="2">
        <v>87.75</v>
      </c>
    </row>
    <row r="40" spans="2:6" x14ac:dyDescent="0.3">
      <c r="B40" s="2" t="s">
        <v>2061</v>
      </c>
      <c r="C40" s="2" t="s">
        <v>2159</v>
      </c>
      <c r="D40" s="2" t="s">
        <v>2114</v>
      </c>
      <c r="E40" s="2" t="s">
        <v>2259</v>
      </c>
      <c r="F40" s="2">
        <v>34.46</v>
      </c>
    </row>
    <row r="41" spans="2:6" x14ac:dyDescent="0.3">
      <c r="B41" s="2" t="s">
        <v>2109</v>
      </c>
      <c r="C41" s="2" t="s">
        <v>2160</v>
      </c>
      <c r="D41" s="2" t="s">
        <v>2115</v>
      </c>
      <c r="E41" s="2" t="s">
        <v>2260</v>
      </c>
      <c r="F41" s="2">
        <v>16.89</v>
      </c>
    </row>
    <row r="42" spans="2:6" x14ac:dyDescent="0.3">
      <c r="B42" s="2" t="s">
        <v>2102</v>
      </c>
      <c r="C42" s="2" t="s">
        <v>2161</v>
      </c>
      <c r="D42" s="2" t="s">
        <v>2114</v>
      </c>
      <c r="E42" s="2" t="s">
        <v>2261</v>
      </c>
      <c r="F42" s="2">
        <v>142.25</v>
      </c>
    </row>
    <row r="43" spans="2:6" x14ac:dyDescent="0.3">
      <c r="B43" s="2" t="s">
        <v>2050</v>
      </c>
      <c r="C43" s="2" t="s">
        <v>2162</v>
      </c>
      <c r="D43" s="2" t="s">
        <v>2113</v>
      </c>
      <c r="E43" s="2" t="s">
        <v>2262</v>
      </c>
      <c r="F43" s="2">
        <v>202.99</v>
      </c>
    </row>
    <row r="44" spans="2:6" x14ac:dyDescent="0.3">
      <c r="B44" s="2" t="s">
        <v>2065</v>
      </c>
      <c r="C44" s="2" t="s">
        <v>2163</v>
      </c>
      <c r="D44" s="2" t="s">
        <v>2114</v>
      </c>
      <c r="E44" s="2" t="s">
        <v>2263</v>
      </c>
      <c r="F44" s="2">
        <v>26.02</v>
      </c>
    </row>
    <row r="45" spans="2:6" x14ac:dyDescent="0.3">
      <c r="B45" s="2" t="s">
        <v>2017</v>
      </c>
      <c r="C45" s="2" t="s">
        <v>2164</v>
      </c>
      <c r="D45" s="2" t="s">
        <v>2114</v>
      </c>
      <c r="E45" s="2" t="s">
        <v>2264</v>
      </c>
      <c r="F45" s="2">
        <v>126.86</v>
      </c>
    </row>
    <row r="46" spans="2:6" x14ac:dyDescent="0.3">
      <c r="B46" s="2" t="s">
        <v>2014</v>
      </c>
      <c r="C46" s="2" t="s">
        <v>2165</v>
      </c>
      <c r="D46" s="2" t="s">
        <v>2114</v>
      </c>
      <c r="E46" s="2" t="s">
        <v>2265</v>
      </c>
      <c r="F46" s="2">
        <v>278.43</v>
      </c>
    </row>
    <row r="47" spans="2:6" x14ac:dyDescent="0.3">
      <c r="B47" s="2" t="s">
        <v>2041</v>
      </c>
      <c r="C47" s="2" t="s">
        <v>2166</v>
      </c>
      <c r="D47" s="2" t="s">
        <v>2114</v>
      </c>
      <c r="E47" s="2" t="s">
        <v>2266</v>
      </c>
      <c r="F47" s="2">
        <v>289.66000000000003</v>
      </c>
    </row>
    <row r="48" spans="2:6" x14ac:dyDescent="0.3">
      <c r="B48" s="2" t="s">
        <v>2036</v>
      </c>
      <c r="C48" s="2" t="s">
        <v>2167</v>
      </c>
      <c r="D48" s="2" t="s">
        <v>2115</v>
      </c>
      <c r="E48" s="2" t="s">
        <v>2267</v>
      </c>
      <c r="F48" s="2">
        <v>70.239999999999995</v>
      </c>
    </row>
    <row r="49" spans="2:6" x14ac:dyDescent="0.3">
      <c r="B49" s="2" t="s">
        <v>2030</v>
      </c>
      <c r="C49" s="2" t="s">
        <v>2168</v>
      </c>
      <c r="D49" s="2" t="s">
        <v>2115</v>
      </c>
      <c r="E49" s="2" t="s">
        <v>2268</v>
      </c>
      <c r="F49" s="2">
        <v>81.069999999999993</v>
      </c>
    </row>
    <row r="50" spans="2:6" x14ac:dyDescent="0.3">
      <c r="B50" s="2" t="s">
        <v>2105</v>
      </c>
      <c r="C50" s="2" t="s">
        <v>2169</v>
      </c>
      <c r="D50" s="2" t="s">
        <v>2115</v>
      </c>
      <c r="E50" s="2" t="s">
        <v>2269</v>
      </c>
      <c r="F50" s="2">
        <v>13.46</v>
      </c>
    </row>
    <row r="51" spans="2:6" x14ac:dyDescent="0.3">
      <c r="B51" s="2" t="s">
        <v>2087</v>
      </c>
      <c r="C51" s="2" t="s">
        <v>2170</v>
      </c>
      <c r="D51" s="2" t="s">
        <v>2115</v>
      </c>
      <c r="E51" s="2" t="s">
        <v>2270</v>
      </c>
      <c r="F51" s="2">
        <v>266.64999999999998</v>
      </c>
    </row>
    <row r="52" spans="2:6" x14ac:dyDescent="0.3">
      <c r="B52" s="2" t="s">
        <v>2058</v>
      </c>
      <c r="C52" s="2" t="s">
        <v>2171</v>
      </c>
      <c r="D52" s="2" t="s">
        <v>2114</v>
      </c>
      <c r="E52" s="2" t="s">
        <v>2271</v>
      </c>
      <c r="F52" s="2">
        <v>97.23</v>
      </c>
    </row>
    <row r="53" spans="2:6" x14ac:dyDescent="0.3">
      <c r="B53" s="2" t="s">
        <v>2111</v>
      </c>
      <c r="C53" s="2" t="s">
        <v>2172</v>
      </c>
      <c r="D53" s="2" t="s">
        <v>2115</v>
      </c>
      <c r="E53" s="2" t="s">
        <v>2235</v>
      </c>
      <c r="F53" s="2">
        <v>131.63</v>
      </c>
    </row>
    <row r="54" spans="2:6" x14ac:dyDescent="0.3">
      <c r="B54" s="2" t="s">
        <v>2082</v>
      </c>
      <c r="C54" s="2" t="s">
        <v>2173</v>
      </c>
      <c r="D54" s="2" t="s">
        <v>2114</v>
      </c>
      <c r="E54" s="2" t="s">
        <v>2272</v>
      </c>
      <c r="F54" s="2">
        <v>177.52</v>
      </c>
    </row>
    <row r="55" spans="2:6" x14ac:dyDescent="0.3">
      <c r="B55" s="2" t="s">
        <v>2032</v>
      </c>
      <c r="C55" s="2" t="s">
        <v>2174</v>
      </c>
      <c r="D55" s="2" t="s">
        <v>2113</v>
      </c>
      <c r="E55" s="2" t="s">
        <v>2273</v>
      </c>
      <c r="F55" s="2">
        <v>253.89</v>
      </c>
    </row>
    <row r="56" spans="2:6" x14ac:dyDescent="0.3">
      <c r="B56" s="2" t="s">
        <v>2070</v>
      </c>
      <c r="C56" s="2" t="s">
        <v>2175</v>
      </c>
      <c r="D56" s="2" t="s">
        <v>2114</v>
      </c>
      <c r="E56" s="2" t="s">
        <v>2274</v>
      </c>
      <c r="F56" s="2">
        <v>102.73</v>
      </c>
    </row>
    <row r="57" spans="2:6" x14ac:dyDescent="0.3">
      <c r="B57" s="2" t="s">
        <v>2034</v>
      </c>
      <c r="C57" s="2" t="s">
        <v>2176</v>
      </c>
      <c r="D57" s="2" t="s">
        <v>2113</v>
      </c>
      <c r="E57" s="2" t="s">
        <v>2275</v>
      </c>
      <c r="F57" s="2">
        <v>193.02</v>
      </c>
    </row>
    <row r="58" spans="2:6" x14ac:dyDescent="0.3">
      <c r="B58" s="2" t="s">
        <v>2085</v>
      </c>
      <c r="C58" s="2" t="s">
        <v>2177</v>
      </c>
      <c r="D58" s="2" t="s">
        <v>2114</v>
      </c>
      <c r="E58" s="2" t="s">
        <v>2276</v>
      </c>
      <c r="F58" s="2">
        <v>38.51</v>
      </c>
    </row>
    <row r="59" spans="2:6" x14ac:dyDescent="0.3">
      <c r="B59" s="2" t="s">
        <v>2054</v>
      </c>
      <c r="C59" s="2" t="s">
        <v>2178</v>
      </c>
      <c r="D59" s="2" t="s">
        <v>2113</v>
      </c>
      <c r="E59" s="2" t="s">
        <v>2277</v>
      </c>
      <c r="F59" s="2">
        <v>213.24</v>
      </c>
    </row>
    <row r="60" spans="2:6" x14ac:dyDescent="0.3">
      <c r="B60" s="2" t="s">
        <v>2094</v>
      </c>
      <c r="C60" s="2" t="s">
        <v>2179</v>
      </c>
      <c r="D60" s="2" t="s">
        <v>2114</v>
      </c>
      <c r="E60" s="2" t="s">
        <v>2278</v>
      </c>
      <c r="F60" s="2">
        <v>53.59</v>
      </c>
    </row>
    <row r="61" spans="2:6" x14ac:dyDescent="0.3">
      <c r="B61" s="2" t="s">
        <v>2015</v>
      </c>
      <c r="C61" s="2" t="s">
        <v>2180</v>
      </c>
      <c r="D61" s="2" t="s">
        <v>2114</v>
      </c>
      <c r="E61" s="2" t="s">
        <v>2279</v>
      </c>
      <c r="F61" s="2">
        <v>51.67</v>
      </c>
    </row>
    <row r="62" spans="2:6" x14ac:dyDescent="0.3">
      <c r="B62" s="2" t="s">
        <v>2056</v>
      </c>
      <c r="C62" s="2" t="s">
        <v>2181</v>
      </c>
      <c r="D62" s="2" t="s">
        <v>2114</v>
      </c>
      <c r="E62" s="2" t="s">
        <v>2280</v>
      </c>
      <c r="F62" s="2">
        <v>281</v>
      </c>
    </row>
    <row r="63" spans="2:6" x14ac:dyDescent="0.3">
      <c r="B63" s="2" t="s">
        <v>2076</v>
      </c>
      <c r="C63" s="2" t="s">
        <v>2182</v>
      </c>
      <c r="D63" s="2" t="s">
        <v>2113</v>
      </c>
      <c r="E63" s="2" t="s">
        <v>2281</v>
      </c>
      <c r="F63" s="2">
        <v>43.76</v>
      </c>
    </row>
    <row r="64" spans="2:6" x14ac:dyDescent="0.3">
      <c r="B64" s="2" t="s">
        <v>2064</v>
      </c>
      <c r="C64" s="2" t="s">
        <v>2183</v>
      </c>
      <c r="D64" s="2" t="s">
        <v>2114</v>
      </c>
      <c r="E64" s="2" t="s">
        <v>2282</v>
      </c>
      <c r="F64" s="2">
        <v>125.93</v>
      </c>
    </row>
    <row r="65" spans="2:6" x14ac:dyDescent="0.3">
      <c r="B65" s="2" t="s">
        <v>2075</v>
      </c>
      <c r="C65" s="2" t="s">
        <v>2184</v>
      </c>
      <c r="D65" s="2" t="s">
        <v>2113</v>
      </c>
      <c r="E65" s="2" t="s">
        <v>2283</v>
      </c>
      <c r="F65" s="2">
        <v>219.81</v>
      </c>
    </row>
    <row r="66" spans="2:6" x14ac:dyDescent="0.3">
      <c r="B66" s="2" t="s">
        <v>2044</v>
      </c>
      <c r="C66" s="2" t="s">
        <v>2185</v>
      </c>
      <c r="D66" s="2" t="s">
        <v>2114</v>
      </c>
      <c r="E66" s="2" t="s">
        <v>2284</v>
      </c>
      <c r="F66" s="2">
        <v>140.08000000000001</v>
      </c>
    </row>
    <row r="67" spans="2:6" x14ac:dyDescent="0.3">
      <c r="B67" s="2" t="s">
        <v>2067</v>
      </c>
      <c r="C67" s="2" t="s">
        <v>2186</v>
      </c>
      <c r="D67" s="2" t="s">
        <v>2113</v>
      </c>
      <c r="E67" s="2" t="s">
        <v>2285</v>
      </c>
      <c r="F67" s="2">
        <v>88.34</v>
      </c>
    </row>
    <row r="68" spans="2:6" x14ac:dyDescent="0.3">
      <c r="B68" s="2" t="s">
        <v>2103</v>
      </c>
      <c r="C68" s="2" t="s">
        <v>2187</v>
      </c>
      <c r="D68" s="2" t="s">
        <v>2113</v>
      </c>
      <c r="E68" s="2" t="s">
        <v>2286</v>
      </c>
      <c r="F68" s="2">
        <v>78.88</v>
      </c>
    </row>
    <row r="69" spans="2:6" x14ac:dyDescent="0.3">
      <c r="B69" s="2" t="s">
        <v>2026</v>
      </c>
      <c r="C69" s="2" t="s">
        <v>2188</v>
      </c>
      <c r="D69" s="2" t="s">
        <v>2113</v>
      </c>
      <c r="E69" s="2" t="s">
        <v>2287</v>
      </c>
      <c r="F69" s="2">
        <v>162.22</v>
      </c>
    </row>
    <row r="70" spans="2:6" x14ac:dyDescent="0.3">
      <c r="B70" s="2" t="s">
        <v>2084</v>
      </c>
      <c r="C70" s="2" t="s">
        <v>2189</v>
      </c>
      <c r="D70" s="2" t="s">
        <v>2113</v>
      </c>
      <c r="E70" s="2" t="s">
        <v>2288</v>
      </c>
      <c r="F70" s="2">
        <v>113.17</v>
      </c>
    </row>
    <row r="71" spans="2:6" x14ac:dyDescent="0.3">
      <c r="B71" s="2" t="s">
        <v>2046</v>
      </c>
      <c r="C71" s="2" t="s">
        <v>2190</v>
      </c>
      <c r="D71" s="2" t="s">
        <v>2115</v>
      </c>
      <c r="E71" s="2" t="s">
        <v>2289</v>
      </c>
      <c r="F71" s="2">
        <v>260.52999999999997</v>
      </c>
    </row>
    <row r="72" spans="2:6" x14ac:dyDescent="0.3">
      <c r="B72" s="2" t="s">
        <v>2063</v>
      </c>
      <c r="C72" s="2" t="s">
        <v>2191</v>
      </c>
      <c r="D72" s="2" t="s">
        <v>2115</v>
      </c>
      <c r="E72" s="2" t="s">
        <v>2277</v>
      </c>
      <c r="F72" s="2">
        <v>188.02</v>
      </c>
    </row>
    <row r="73" spans="2:6" x14ac:dyDescent="0.3">
      <c r="B73" s="2" t="s">
        <v>2018</v>
      </c>
      <c r="C73" s="2" t="s">
        <v>2192</v>
      </c>
      <c r="D73" s="2" t="s">
        <v>2113</v>
      </c>
      <c r="E73" s="2" t="s">
        <v>2290</v>
      </c>
      <c r="F73" s="2">
        <v>272.33</v>
      </c>
    </row>
    <row r="74" spans="2:6" x14ac:dyDescent="0.3">
      <c r="B74" s="2" t="s">
        <v>2049</v>
      </c>
      <c r="C74" s="2" t="s">
        <v>2193</v>
      </c>
      <c r="D74" s="2" t="s">
        <v>2113</v>
      </c>
      <c r="E74" s="2" t="s">
        <v>2291</v>
      </c>
      <c r="F74" s="2">
        <v>157.55000000000001</v>
      </c>
    </row>
    <row r="75" spans="2:6" x14ac:dyDescent="0.3">
      <c r="B75" s="2" t="s">
        <v>2068</v>
      </c>
      <c r="C75" s="2" t="s">
        <v>2194</v>
      </c>
      <c r="D75" s="2" t="s">
        <v>2115</v>
      </c>
      <c r="E75" s="2" t="s">
        <v>2292</v>
      </c>
      <c r="F75" s="2">
        <v>283.64999999999998</v>
      </c>
    </row>
    <row r="76" spans="2:6" x14ac:dyDescent="0.3">
      <c r="B76" s="2" t="s">
        <v>2083</v>
      </c>
      <c r="C76" s="2" t="s">
        <v>2195</v>
      </c>
      <c r="D76" s="2" t="s">
        <v>2113</v>
      </c>
      <c r="E76" s="2" t="s">
        <v>2293</v>
      </c>
      <c r="F76" s="2">
        <v>82.16</v>
      </c>
    </row>
    <row r="77" spans="2:6" x14ac:dyDescent="0.3">
      <c r="B77" s="2" t="s">
        <v>2096</v>
      </c>
      <c r="C77" s="2" t="s">
        <v>2196</v>
      </c>
      <c r="D77" s="2" t="s">
        <v>2114</v>
      </c>
      <c r="E77" s="2" t="s">
        <v>2294</v>
      </c>
      <c r="F77" s="2">
        <v>19.86</v>
      </c>
    </row>
    <row r="78" spans="2:6" x14ac:dyDescent="0.3">
      <c r="B78" s="2" t="s">
        <v>2090</v>
      </c>
      <c r="C78" s="2" t="s">
        <v>2197</v>
      </c>
      <c r="D78" s="2" t="s">
        <v>2113</v>
      </c>
      <c r="E78" s="2" t="s">
        <v>2295</v>
      </c>
      <c r="F78" s="2">
        <v>204.26</v>
      </c>
    </row>
    <row r="79" spans="2:6" x14ac:dyDescent="0.3">
      <c r="B79" s="2" t="s">
        <v>2066</v>
      </c>
      <c r="C79" s="2" t="s">
        <v>2198</v>
      </c>
      <c r="D79" s="2" t="s">
        <v>2115</v>
      </c>
      <c r="E79" s="2" t="s">
        <v>2296</v>
      </c>
      <c r="F79" s="2">
        <v>130.33000000000001</v>
      </c>
    </row>
    <row r="80" spans="2:6" x14ac:dyDescent="0.3">
      <c r="B80" s="2" t="s">
        <v>2101</v>
      </c>
      <c r="C80" s="2" t="s">
        <v>2199</v>
      </c>
      <c r="D80" s="2" t="s">
        <v>2113</v>
      </c>
      <c r="E80" s="2" t="s">
        <v>2297</v>
      </c>
      <c r="F80" s="2">
        <v>288.99</v>
      </c>
    </row>
    <row r="81" spans="2:6" x14ac:dyDescent="0.3">
      <c r="B81" s="2" t="s">
        <v>2027</v>
      </c>
      <c r="C81" s="2" t="s">
        <v>2200</v>
      </c>
      <c r="D81" s="2" t="s">
        <v>2115</v>
      </c>
      <c r="E81" s="2" t="s">
        <v>2298</v>
      </c>
      <c r="F81" s="2">
        <v>171.51</v>
      </c>
    </row>
    <row r="82" spans="2:6" x14ac:dyDescent="0.3">
      <c r="B82" s="2" t="s">
        <v>2024</v>
      </c>
      <c r="C82" s="2" t="s">
        <v>2201</v>
      </c>
      <c r="D82" s="2" t="s">
        <v>2114</v>
      </c>
      <c r="E82" s="2" t="s">
        <v>2299</v>
      </c>
      <c r="F82" s="2">
        <v>149.26</v>
      </c>
    </row>
    <row r="83" spans="2:6" x14ac:dyDescent="0.3">
      <c r="B83" s="2" t="s">
        <v>2079</v>
      </c>
      <c r="C83" s="2" t="s">
        <v>2202</v>
      </c>
      <c r="D83" s="2" t="s">
        <v>2115</v>
      </c>
      <c r="E83" s="2" t="s">
        <v>2300</v>
      </c>
      <c r="F83" s="2">
        <v>180</v>
      </c>
    </row>
    <row r="84" spans="2:6" x14ac:dyDescent="0.3">
      <c r="B84" s="2" t="s">
        <v>2107</v>
      </c>
      <c r="C84" s="2" t="s">
        <v>2203</v>
      </c>
      <c r="D84" s="2" t="s">
        <v>2115</v>
      </c>
      <c r="E84" s="2" t="s">
        <v>2301</v>
      </c>
      <c r="F84" s="2">
        <v>65.989999999999995</v>
      </c>
    </row>
    <row r="85" spans="2:6" x14ac:dyDescent="0.3">
      <c r="B85" s="2" t="s">
        <v>2100</v>
      </c>
      <c r="C85" s="2" t="s">
        <v>2204</v>
      </c>
      <c r="D85" s="2" t="s">
        <v>2115</v>
      </c>
      <c r="E85" s="2" t="s">
        <v>2302</v>
      </c>
      <c r="F85" s="2">
        <v>220.16</v>
      </c>
    </row>
    <row r="86" spans="2:6" x14ac:dyDescent="0.3">
      <c r="B86" s="2" t="s">
        <v>2071</v>
      </c>
      <c r="C86" s="2" t="s">
        <v>2205</v>
      </c>
      <c r="D86" s="2" t="s">
        <v>2114</v>
      </c>
      <c r="E86" s="2" t="s">
        <v>2303</v>
      </c>
      <c r="F86" s="2">
        <v>196.86</v>
      </c>
    </row>
    <row r="87" spans="2:6" x14ac:dyDescent="0.3">
      <c r="B87" s="2" t="s">
        <v>2031</v>
      </c>
      <c r="C87" s="2" t="s">
        <v>2206</v>
      </c>
      <c r="D87" s="2" t="s">
        <v>2115</v>
      </c>
      <c r="E87" s="2" t="s">
        <v>2304</v>
      </c>
      <c r="F87" s="2">
        <v>204.04</v>
      </c>
    </row>
    <row r="88" spans="2:6" x14ac:dyDescent="0.3">
      <c r="B88" s="2" t="s">
        <v>2097</v>
      </c>
      <c r="C88" s="2" t="s">
        <v>2207</v>
      </c>
      <c r="D88" s="2" t="s">
        <v>2114</v>
      </c>
      <c r="E88" s="2" t="s">
        <v>2305</v>
      </c>
      <c r="F88" s="2">
        <v>196.15</v>
      </c>
    </row>
    <row r="89" spans="2:6" x14ac:dyDescent="0.3">
      <c r="B89" s="2" t="s">
        <v>2038</v>
      </c>
      <c r="C89" s="2" t="s">
        <v>2208</v>
      </c>
      <c r="D89" s="2" t="s">
        <v>2113</v>
      </c>
      <c r="E89" s="2" t="s">
        <v>2306</v>
      </c>
      <c r="F89" s="2">
        <v>154.21</v>
      </c>
    </row>
    <row r="90" spans="2:6" x14ac:dyDescent="0.3">
      <c r="B90" s="2" t="s">
        <v>2021</v>
      </c>
      <c r="C90" s="2" t="s">
        <v>2209</v>
      </c>
      <c r="D90" s="2" t="s">
        <v>2113</v>
      </c>
      <c r="E90" s="2" t="s">
        <v>2307</v>
      </c>
      <c r="F90" s="2">
        <v>206.54</v>
      </c>
    </row>
    <row r="91" spans="2:6" x14ac:dyDescent="0.3">
      <c r="B91" s="2" t="s">
        <v>2053</v>
      </c>
      <c r="C91" s="2" t="s">
        <v>2210</v>
      </c>
      <c r="D91" s="2" t="s">
        <v>2115</v>
      </c>
      <c r="E91" s="2" t="s">
        <v>2308</v>
      </c>
      <c r="F91" s="2">
        <v>34.64</v>
      </c>
    </row>
    <row r="92" spans="2:6" x14ac:dyDescent="0.3">
      <c r="B92" s="2" t="s">
        <v>2029</v>
      </c>
      <c r="C92" s="2" t="s">
        <v>2211</v>
      </c>
      <c r="D92" s="2" t="s">
        <v>2113</v>
      </c>
      <c r="E92" s="2" t="s">
        <v>2309</v>
      </c>
      <c r="F92" s="2">
        <v>266.93</v>
      </c>
    </row>
    <row r="93" spans="2:6" x14ac:dyDescent="0.3">
      <c r="B93" s="2" t="s">
        <v>2110</v>
      </c>
      <c r="C93" s="2" t="s">
        <v>2212</v>
      </c>
      <c r="D93" s="2" t="s">
        <v>2115</v>
      </c>
      <c r="E93" s="2" t="s">
        <v>2310</v>
      </c>
      <c r="F93" s="2">
        <v>97.02</v>
      </c>
    </row>
    <row r="94" spans="2:6" x14ac:dyDescent="0.3">
      <c r="B94" s="2" t="s">
        <v>2093</v>
      </c>
      <c r="C94" s="2" t="s">
        <v>2213</v>
      </c>
      <c r="D94" s="2" t="s">
        <v>2113</v>
      </c>
      <c r="E94" s="2" t="s">
        <v>2311</v>
      </c>
      <c r="F94" s="2">
        <v>289.06</v>
      </c>
    </row>
    <row r="95" spans="2:6" x14ac:dyDescent="0.3">
      <c r="B95" s="2" t="s">
        <v>2048</v>
      </c>
      <c r="C95" s="2" t="s">
        <v>2214</v>
      </c>
      <c r="D95" s="2" t="s">
        <v>2115</v>
      </c>
      <c r="E95" s="2" t="s">
        <v>2312</v>
      </c>
      <c r="F95" s="2">
        <v>27.22</v>
      </c>
    </row>
    <row r="96" spans="2:6" x14ac:dyDescent="0.3">
      <c r="B96" s="2" t="s">
        <v>2052</v>
      </c>
      <c r="C96" s="2" t="s">
        <v>2215</v>
      </c>
      <c r="D96" s="2" t="s">
        <v>2114</v>
      </c>
      <c r="E96" s="2" t="s">
        <v>2313</v>
      </c>
      <c r="F96" s="2">
        <v>125.85</v>
      </c>
    </row>
    <row r="97" spans="2:6" x14ac:dyDescent="0.3">
      <c r="B97" s="2" t="s">
        <v>2045</v>
      </c>
      <c r="C97" s="2" t="s">
        <v>2216</v>
      </c>
      <c r="D97" s="2" t="s">
        <v>2115</v>
      </c>
      <c r="E97" s="2" t="s">
        <v>2314</v>
      </c>
      <c r="F97" s="2">
        <v>73.33</v>
      </c>
    </row>
    <row r="98" spans="2:6" x14ac:dyDescent="0.3">
      <c r="B98" s="2" t="s">
        <v>2057</v>
      </c>
      <c r="C98" s="2" t="s">
        <v>2217</v>
      </c>
      <c r="D98" s="2" t="s">
        <v>2115</v>
      </c>
      <c r="E98" s="2" t="s">
        <v>2315</v>
      </c>
      <c r="F98" s="2">
        <v>172.34</v>
      </c>
    </row>
    <row r="99" spans="2:6" x14ac:dyDescent="0.3">
      <c r="B99" s="2" t="s">
        <v>2078</v>
      </c>
      <c r="C99" s="2" t="s">
        <v>2218</v>
      </c>
      <c r="D99" s="2" t="s">
        <v>2114</v>
      </c>
      <c r="E99" s="2" t="s">
        <v>2316</v>
      </c>
      <c r="F99" s="2">
        <v>294.02</v>
      </c>
    </row>
    <row r="100" spans="2:6" x14ac:dyDescent="0.3">
      <c r="B100" s="2" t="s">
        <v>2033</v>
      </c>
      <c r="C100" s="2" t="s">
        <v>2219</v>
      </c>
      <c r="D100" s="2" t="s">
        <v>2115</v>
      </c>
      <c r="E100" s="2" t="s">
        <v>2317</v>
      </c>
      <c r="F100" s="2">
        <v>46.35</v>
      </c>
    </row>
    <row r="101" spans="2:6" x14ac:dyDescent="0.3">
      <c r="B101" s="2" t="s">
        <v>2073</v>
      </c>
      <c r="C101" s="2" t="s">
        <v>2220</v>
      </c>
      <c r="D101" s="2" t="s">
        <v>2113</v>
      </c>
      <c r="E101" s="2" t="s">
        <v>2318</v>
      </c>
      <c r="F101" s="2">
        <v>92.61</v>
      </c>
    </row>
    <row r="102" spans="2:6" x14ac:dyDescent="0.3">
      <c r="B102" s="2" t="s">
        <v>2104</v>
      </c>
      <c r="C102" s="2" t="s">
        <v>2221</v>
      </c>
      <c r="D102" s="2" t="s">
        <v>2113</v>
      </c>
      <c r="E102" s="2" t="s">
        <v>2319</v>
      </c>
      <c r="F102" s="2">
        <v>115.21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F428-1036-492D-8E4E-15839B4088AC}">
  <dimension ref="B3:Q2003"/>
  <sheetViews>
    <sheetView topLeftCell="H1" workbookViewId="0">
      <selection activeCell="I6" sqref="I6"/>
    </sheetView>
  </sheetViews>
  <sheetFormatPr defaultRowHeight="14.4" x14ac:dyDescent="0.3"/>
  <cols>
    <col min="2" max="2" width="9" bestFit="1" customWidth="1"/>
    <col min="3" max="3" width="11.44140625" bestFit="1" customWidth="1"/>
    <col min="4" max="4" width="7.33203125" bestFit="1" customWidth="1"/>
    <col min="5" max="5" width="10.88671875" bestFit="1" customWidth="1"/>
    <col min="6" max="6" width="13.88671875" bestFit="1" customWidth="1"/>
    <col min="8" max="8" width="13.88671875" bestFit="1" customWidth="1"/>
    <col min="9" max="9" width="18.77734375" bestFit="1" customWidth="1"/>
    <col min="10" max="10" width="33.109375" bestFit="1" customWidth="1"/>
    <col min="11" max="11" width="17.33203125" bestFit="1" customWidth="1"/>
    <col min="12" max="12" width="30.5546875" bestFit="1" customWidth="1"/>
    <col min="14" max="14" width="13.44140625" bestFit="1" customWidth="1"/>
    <col min="16" max="16" width="26.44140625" bestFit="1" customWidth="1"/>
    <col min="17" max="17" width="13.88671875" bestFit="1" customWidth="1"/>
  </cols>
  <sheetData>
    <row r="3" spans="2:17" ht="15.6" x14ac:dyDescent="0.3">
      <c r="B3" s="1" t="s">
        <v>0</v>
      </c>
      <c r="C3" s="1" t="s">
        <v>1</v>
      </c>
      <c r="D3" s="1" t="s">
        <v>2</v>
      </c>
      <c r="E3" s="1" t="s">
        <v>3</v>
      </c>
      <c r="F3" s="1" t="s">
        <v>5</v>
      </c>
      <c r="G3" s="1" t="s">
        <v>6</v>
      </c>
      <c r="H3" s="1" t="s">
        <v>7</v>
      </c>
      <c r="I3" s="1" t="s">
        <v>8</v>
      </c>
      <c r="J3" s="1" t="s">
        <v>2119</v>
      </c>
      <c r="K3" s="1" t="s">
        <v>4</v>
      </c>
      <c r="L3" s="1" t="s">
        <v>2120</v>
      </c>
      <c r="M3" s="1" t="s">
        <v>2121</v>
      </c>
      <c r="N3" s="1" t="s">
        <v>2343</v>
      </c>
    </row>
    <row r="4" spans="2:17" ht="14.4" customHeight="1" x14ac:dyDescent="0.3">
      <c r="B4" s="2" t="s">
        <v>9</v>
      </c>
      <c r="C4" s="3">
        <v>45302</v>
      </c>
      <c r="D4" s="2" t="s">
        <v>2009</v>
      </c>
      <c r="E4" s="2" t="s">
        <v>2013</v>
      </c>
      <c r="F4" s="4">
        <v>1908.61</v>
      </c>
      <c r="G4" s="5">
        <v>397.75</v>
      </c>
      <c r="H4" s="6">
        <v>13</v>
      </c>
      <c r="I4" s="2" t="s">
        <v>2116</v>
      </c>
      <c r="J4" s="2" t="str" cm="1">
        <f t="array" ref="J4:J2003">_xlfn.XLOOKUP(E4:E2003,'Product Details'!B3:B102,'Product Details'!C3:C102)</f>
        <v>Re-Intermediate Seamless Applications</v>
      </c>
      <c r="K4" s="2" t="str" cm="1">
        <f t="array" ref="K4:K2003">_xlfn.XLOOKUP(E4:E2003,'Product Details'!B3:B102,'Product Details'!D3:D102)</f>
        <v>Office Supplies</v>
      </c>
      <c r="L4" s="2" t="str" cm="1">
        <f t="array" ref="L4:L2003">_xlfn.XLOOKUP(E4:E2003,'Product Details'!B3:B102,'Product Details'!E3:E102)</f>
        <v>Welch-Reed</v>
      </c>
      <c r="M4" s="2" cm="1">
        <f t="array" ref="M4:M2003">_xlfn.XLOOKUP(E4:E2003,'Product Details'!B3:B102,'Product Details'!F3:F102)</f>
        <v>45.82</v>
      </c>
      <c r="N4" s="16">
        <f>(G4/F4)</f>
        <v>0.208397734476923</v>
      </c>
    </row>
    <row r="5" spans="2:17" x14ac:dyDescent="0.3">
      <c r="B5" s="2" t="s">
        <v>10</v>
      </c>
      <c r="C5" s="3">
        <v>45039</v>
      </c>
      <c r="D5" s="2" t="s">
        <v>2010</v>
      </c>
      <c r="E5" s="2" t="s">
        <v>2014</v>
      </c>
      <c r="F5" s="4">
        <v>3605.39</v>
      </c>
      <c r="G5" s="5">
        <v>960.26</v>
      </c>
      <c r="H5" s="6">
        <v>19</v>
      </c>
      <c r="I5" s="2" t="s">
        <v>2117</v>
      </c>
      <c r="J5" s="2" t="str">
        <v>E-Enable Synergistic Vortals</v>
      </c>
      <c r="K5" s="2" t="str">
        <v>Electronics</v>
      </c>
      <c r="L5" s="2" t="str">
        <v>Guzman Group</v>
      </c>
      <c r="M5" s="2">
        <v>278.43</v>
      </c>
      <c r="N5" s="16">
        <f t="shared" ref="N5:N68" si="0">(G5/F5)</f>
        <v>0.26634011854473444</v>
      </c>
      <c r="P5" s="44" t="s">
        <v>2321</v>
      </c>
      <c r="Q5" s="44"/>
    </row>
    <row r="6" spans="2:17" x14ac:dyDescent="0.3">
      <c r="B6" s="2" t="s">
        <v>11</v>
      </c>
      <c r="C6" s="3">
        <v>44276</v>
      </c>
      <c r="D6" s="2" t="s">
        <v>2009</v>
      </c>
      <c r="E6" s="2" t="s">
        <v>2015</v>
      </c>
      <c r="F6" s="4">
        <v>3804.89</v>
      </c>
      <c r="G6" s="5">
        <v>922.51</v>
      </c>
      <c r="H6" s="6">
        <v>18</v>
      </c>
      <c r="I6" s="2" t="s">
        <v>2116</v>
      </c>
      <c r="J6" s="2" t="str">
        <v>Brand Web-Enabled Solutions</v>
      </c>
      <c r="K6" s="2" t="str">
        <v>Electronics</v>
      </c>
      <c r="L6" s="2" t="str">
        <v>Russell Group</v>
      </c>
      <c r="M6" s="2">
        <v>51.67</v>
      </c>
      <c r="N6" s="16">
        <f t="shared" si="0"/>
        <v>0.242453789728481</v>
      </c>
      <c r="P6" s="18" t="s">
        <v>2320</v>
      </c>
      <c r="Q6" s="19">
        <v>5187520.1000000043</v>
      </c>
    </row>
    <row r="7" spans="2:17" x14ac:dyDescent="0.3">
      <c r="B7" s="2" t="s">
        <v>12</v>
      </c>
      <c r="C7" s="3">
        <v>45129</v>
      </c>
      <c r="D7" s="2" t="s">
        <v>2011</v>
      </c>
      <c r="E7" s="2" t="s">
        <v>2016</v>
      </c>
      <c r="F7" s="4">
        <v>3516.82</v>
      </c>
      <c r="G7" s="5">
        <v>304.19</v>
      </c>
      <c r="H7" s="6">
        <v>6</v>
      </c>
      <c r="I7" s="2" t="s">
        <v>2117</v>
      </c>
      <c r="J7" s="2" t="str">
        <v>Revolutionize Efficient Niches</v>
      </c>
      <c r="K7" s="2" t="str">
        <v>Electronics</v>
      </c>
      <c r="L7" s="2" t="str">
        <v>Lopez-Torres</v>
      </c>
      <c r="M7" s="2">
        <v>23.02</v>
      </c>
      <c r="N7" s="16">
        <f t="shared" si="0"/>
        <v>8.6495754687473336E-2</v>
      </c>
      <c r="P7" s="18" t="s">
        <v>2322</v>
      </c>
      <c r="Q7" s="4">
        <v>504.24505499999924</v>
      </c>
    </row>
    <row r="8" spans="2:17" x14ac:dyDescent="0.3">
      <c r="B8" s="2" t="s">
        <v>13</v>
      </c>
      <c r="C8" s="3">
        <v>45198</v>
      </c>
      <c r="D8" s="2" t="s">
        <v>2012</v>
      </c>
      <c r="E8" s="2" t="s">
        <v>2017</v>
      </c>
      <c r="F8" s="4">
        <v>1236.98</v>
      </c>
      <c r="G8" s="5">
        <v>623.91</v>
      </c>
      <c r="H8" s="6">
        <v>2</v>
      </c>
      <c r="I8" s="2" t="s">
        <v>2116</v>
      </c>
      <c r="J8" s="2" t="str">
        <v>Target Bricks-And-Clicks Channels</v>
      </c>
      <c r="K8" s="2" t="str">
        <v>Electronics</v>
      </c>
      <c r="L8" s="2" t="str">
        <v>Dunn, Christensen and Meyer</v>
      </c>
      <c r="M8" s="2">
        <v>126.86</v>
      </c>
      <c r="N8" s="16">
        <f t="shared" si="0"/>
        <v>0.50438163915342205</v>
      </c>
      <c r="P8" s="18" t="s">
        <v>2323</v>
      </c>
      <c r="Q8" s="4">
        <v>2593.7600500000021</v>
      </c>
    </row>
    <row r="9" spans="2:17" x14ac:dyDescent="0.3">
      <c r="B9" s="2" t="s">
        <v>14</v>
      </c>
      <c r="C9" s="3">
        <v>44292</v>
      </c>
      <c r="D9" s="2" t="s">
        <v>2010</v>
      </c>
      <c r="E9" s="2" t="s">
        <v>2018</v>
      </c>
      <c r="F9" s="4">
        <v>1074.73</v>
      </c>
      <c r="G9" s="5">
        <v>331.69</v>
      </c>
      <c r="H9" s="6">
        <v>9</v>
      </c>
      <c r="I9" s="2" t="s">
        <v>2117</v>
      </c>
      <c r="J9" s="2" t="str">
        <v>Deliver Sticky Networks</v>
      </c>
      <c r="K9" s="2" t="str">
        <v>Furniture</v>
      </c>
      <c r="L9" s="2" t="str">
        <v>Massey LLC</v>
      </c>
      <c r="M9" s="2">
        <v>272.33</v>
      </c>
      <c r="N9" s="16">
        <f t="shared" si="0"/>
        <v>0.30862635266532057</v>
      </c>
      <c r="P9" s="18" t="s">
        <v>2324</v>
      </c>
      <c r="Q9" s="4">
        <v>4996.41</v>
      </c>
    </row>
    <row r="10" spans="2:17" x14ac:dyDescent="0.3">
      <c r="B10" s="2" t="s">
        <v>15</v>
      </c>
      <c r="C10" s="3">
        <v>43876</v>
      </c>
      <c r="D10" s="2" t="s">
        <v>2012</v>
      </c>
      <c r="E10" s="2" t="s">
        <v>2019</v>
      </c>
      <c r="F10" s="4">
        <v>3182.57</v>
      </c>
      <c r="G10" s="5">
        <v>938.95</v>
      </c>
      <c r="H10" s="6">
        <v>2</v>
      </c>
      <c r="I10" s="2" t="s">
        <v>2117</v>
      </c>
      <c r="J10" s="2" t="str">
        <v>Implement Clicks-And-Mortar Partnerships</v>
      </c>
      <c r="K10" s="2" t="str">
        <v>Electronics</v>
      </c>
      <c r="L10" s="2" t="str">
        <v>Smith Inc</v>
      </c>
      <c r="M10" s="2">
        <v>195.53</v>
      </c>
      <c r="N10" s="16">
        <f t="shared" si="0"/>
        <v>0.29502886032357495</v>
      </c>
      <c r="P10" s="18" t="s">
        <v>2325</v>
      </c>
      <c r="Q10" s="20">
        <v>50.76</v>
      </c>
    </row>
    <row r="11" spans="2:17" ht="14.4" customHeight="1" x14ac:dyDescent="0.3">
      <c r="B11" s="2" t="s">
        <v>16</v>
      </c>
      <c r="C11" s="3">
        <v>44285</v>
      </c>
      <c r="D11" s="2" t="s">
        <v>2012</v>
      </c>
      <c r="E11" s="2" t="s">
        <v>2020</v>
      </c>
      <c r="F11" s="4">
        <v>4694.2</v>
      </c>
      <c r="G11" s="5">
        <v>945.15</v>
      </c>
      <c r="H11" s="6">
        <v>2</v>
      </c>
      <c r="I11" s="2" t="s">
        <v>2117</v>
      </c>
      <c r="J11" s="2" t="str">
        <v>Harness Revolutionary Interfaces</v>
      </c>
      <c r="K11" s="2" t="str">
        <v>Furniture</v>
      </c>
      <c r="L11" s="2" t="str">
        <v>Davis, Short and Nguyen</v>
      </c>
      <c r="M11" s="2">
        <v>26.49</v>
      </c>
      <c r="N11" s="16">
        <f t="shared" si="0"/>
        <v>0.20134421200630565</v>
      </c>
    </row>
    <row r="12" spans="2:17" ht="14.4" customHeight="1" x14ac:dyDescent="0.3">
      <c r="B12" s="2" t="s">
        <v>17</v>
      </c>
      <c r="C12" s="3">
        <v>45007</v>
      </c>
      <c r="D12" s="2" t="s">
        <v>2009</v>
      </c>
      <c r="E12" s="2" t="s">
        <v>2021</v>
      </c>
      <c r="F12" s="4">
        <v>2514.25</v>
      </c>
      <c r="G12" s="5">
        <v>311.77999999999997</v>
      </c>
      <c r="H12" s="6">
        <v>12</v>
      </c>
      <c r="I12" s="2" t="s">
        <v>2117</v>
      </c>
      <c r="J12" s="2" t="str">
        <v>Whiteboard Compelling Experiences</v>
      </c>
      <c r="K12" s="2" t="str">
        <v>Furniture</v>
      </c>
      <c r="L12" s="2" t="str">
        <v>Carrillo, Carr and Ball</v>
      </c>
      <c r="M12" s="2">
        <v>206.54</v>
      </c>
      <c r="N12" s="16">
        <f t="shared" si="0"/>
        <v>0.12400517052799044</v>
      </c>
    </row>
    <row r="13" spans="2:17" ht="14.4" customHeight="1" x14ac:dyDescent="0.3">
      <c r="B13" s="2" t="s">
        <v>18</v>
      </c>
      <c r="C13" s="3">
        <v>45416</v>
      </c>
      <c r="D13" s="2" t="s">
        <v>2012</v>
      </c>
      <c r="E13" s="2" t="s">
        <v>2022</v>
      </c>
      <c r="F13" s="4">
        <v>1179.95</v>
      </c>
      <c r="G13" s="5">
        <v>726.44</v>
      </c>
      <c r="H13" s="6">
        <v>14</v>
      </c>
      <c r="I13" s="2" t="s">
        <v>2118</v>
      </c>
      <c r="J13" s="2" t="str">
        <v>Monetize Collaborative Metrics</v>
      </c>
      <c r="K13" s="2" t="str">
        <v>Electronics</v>
      </c>
      <c r="L13" s="2" t="str">
        <v>Ramirez-Brown</v>
      </c>
      <c r="M13" s="2">
        <v>286.04000000000002</v>
      </c>
      <c r="N13" s="16">
        <f t="shared" si="0"/>
        <v>0.61565320564430703</v>
      </c>
    </row>
    <row r="14" spans="2:17" ht="14.4" customHeight="1" x14ac:dyDescent="0.3">
      <c r="B14" s="2" t="s">
        <v>19</v>
      </c>
      <c r="C14" s="3">
        <v>44572</v>
      </c>
      <c r="D14" s="2" t="s">
        <v>2012</v>
      </c>
      <c r="E14" s="2" t="s">
        <v>2023</v>
      </c>
      <c r="F14" s="4">
        <v>2945.07</v>
      </c>
      <c r="G14" s="5">
        <v>532.04</v>
      </c>
      <c r="H14" s="6">
        <v>4</v>
      </c>
      <c r="I14" s="2" t="s">
        <v>2117</v>
      </c>
      <c r="J14" s="2" t="str">
        <v>Leverage Cutting-Edge Vortals</v>
      </c>
      <c r="K14" s="2" t="str">
        <v>Electronics</v>
      </c>
      <c r="L14" s="2" t="str">
        <v>Robinson, Garrett and Chavez</v>
      </c>
      <c r="M14" s="2">
        <v>117.3</v>
      </c>
      <c r="N14" s="16">
        <f t="shared" si="0"/>
        <v>0.18065444963956712</v>
      </c>
    </row>
    <row r="15" spans="2:17" ht="14.4" customHeight="1" x14ac:dyDescent="0.3">
      <c r="B15" s="2" t="s">
        <v>20</v>
      </c>
      <c r="C15" s="3">
        <v>44572</v>
      </c>
      <c r="D15" s="2" t="s">
        <v>2010</v>
      </c>
      <c r="E15" s="2" t="s">
        <v>2024</v>
      </c>
      <c r="F15" s="4">
        <v>401</v>
      </c>
      <c r="G15" s="5">
        <v>135.59</v>
      </c>
      <c r="H15" s="6">
        <v>16</v>
      </c>
      <c r="I15" s="2" t="s">
        <v>2117</v>
      </c>
      <c r="J15" s="2" t="str">
        <v>Target Viral Methodologies</v>
      </c>
      <c r="K15" s="2" t="str">
        <v>Electronics</v>
      </c>
      <c r="L15" s="2" t="str">
        <v>Alvarez, Myers and Walter</v>
      </c>
      <c r="M15" s="2">
        <v>149.26</v>
      </c>
      <c r="N15" s="16">
        <f t="shared" si="0"/>
        <v>0.33812967581047382</v>
      </c>
    </row>
    <row r="16" spans="2:17" ht="14.4" customHeight="1" x14ac:dyDescent="0.3">
      <c r="B16" s="27" t="s">
        <v>21</v>
      </c>
      <c r="C16" s="29">
        <v>45516</v>
      </c>
      <c r="D16" s="27" t="s">
        <v>2012</v>
      </c>
      <c r="E16" s="27" t="s">
        <v>2025</v>
      </c>
      <c r="F16" s="24">
        <v>508.92</v>
      </c>
      <c r="G16" s="25">
        <v>702.4</v>
      </c>
      <c r="H16" s="26">
        <v>3</v>
      </c>
      <c r="I16" s="27" t="s">
        <v>2116</v>
      </c>
      <c r="J16" s="27" t="str">
        <v>Streamline Innovative Architectures</v>
      </c>
      <c r="K16" s="27" t="str">
        <v>Furniture</v>
      </c>
      <c r="L16" s="27" t="str">
        <v>Price, Valentine and Lutz</v>
      </c>
      <c r="M16" s="27">
        <v>291.14999999999998</v>
      </c>
      <c r="N16" s="28">
        <f t="shared" si="0"/>
        <v>1.3801776310618563</v>
      </c>
    </row>
    <row r="17" spans="2:14" ht="14.4" customHeight="1" x14ac:dyDescent="0.3">
      <c r="B17" s="2" t="s">
        <v>22</v>
      </c>
      <c r="C17" s="3">
        <v>44950</v>
      </c>
      <c r="D17" s="2" t="s">
        <v>2011</v>
      </c>
      <c r="E17" s="2" t="s">
        <v>2026</v>
      </c>
      <c r="F17" s="4">
        <v>3178.29</v>
      </c>
      <c r="G17" s="5">
        <v>199.73</v>
      </c>
      <c r="H17" s="6">
        <v>10</v>
      </c>
      <c r="I17" s="2" t="s">
        <v>2118</v>
      </c>
      <c r="J17" s="2" t="str">
        <v>Monetize Wireless Functionalities</v>
      </c>
      <c r="K17" s="2" t="str">
        <v>Furniture</v>
      </c>
      <c r="L17" s="2" t="str">
        <v>Robinson, Rodriguez and Hernandez</v>
      </c>
      <c r="M17" s="2">
        <v>162.22</v>
      </c>
      <c r="N17" s="16">
        <f t="shared" si="0"/>
        <v>6.2841968479905863E-2</v>
      </c>
    </row>
    <row r="18" spans="2:14" ht="14.4" customHeight="1" x14ac:dyDescent="0.3">
      <c r="B18" s="2" t="s">
        <v>23</v>
      </c>
      <c r="C18" s="3">
        <v>44682</v>
      </c>
      <c r="D18" s="2" t="s">
        <v>2011</v>
      </c>
      <c r="E18" s="2" t="s">
        <v>2027</v>
      </c>
      <c r="F18" s="4">
        <v>1642.61</v>
      </c>
      <c r="G18" s="5">
        <v>869.14</v>
      </c>
      <c r="H18" s="6">
        <v>5</v>
      </c>
      <c r="I18" s="2" t="s">
        <v>2117</v>
      </c>
      <c r="J18" s="2" t="str">
        <v>Monetize Value-Added Niches</v>
      </c>
      <c r="K18" s="2" t="str">
        <v>Office Supplies</v>
      </c>
      <c r="L18" s="2" t="str">
        <v>Foster, Velazquez and Lee</v>
      </c>
      <c r="M18" s="2">
        <v>171.51</v>
      </c>
      <c r="N18" s="16">
        <f t="shared" si="0"/>
        <v>0.52912133738379774</v>
      </c>
    </row>
    <row r="19" spans="2:14" ht="14.4" customHeight="1" x14ac:dyDescent="0.3">
      <c r="B19" s="2" t="s">
        <v>24</v>
      </c>
      <c r="C19" s="3">
        <v>44573</v>
      </c>
      <c r="D19" s="2" t="s">
        <v>2010</v>
      </c>
      <c r="E19" s="2" t="s">
        <v>2028</v>
      </c>
      <c r="F19" s="4">
        <v>2717.48</v>
      </c>
      <c r="G19" s="5">
        <v>317</v>
      </c>
      <c r="H19" s="6">
        <v>15</v>
      </c>
      <c r="I19" s="2" t="s">
        <v>2116</v>
      </c>
      <c r="J19" s="2" t="str">
        <v>Synergize World-Class Networks</v>
      </c>
      <c r="K19" s="2" t="str">
        <v>Electronics</v>
      </c>
      <c r="L19" s="2" t="str">
        <v>Gomez-Lawrence</v>
      </c>
      <c r="M19" s="2">
        <v>72.37</v>
      </c>
      <c r="N19" s="16">
        <f t="shared" si="0"/>
        <v>0.1166521924724377</v>
      </c>
    </row>
    <row r="20" spans="2:14" ht="14.4" customHeight="1" x14ac:dyDescent="0.3">
      <c r="B20" s="2" t="s">
        <v>25</v>
      </c>
      <c r="C20" s="3">
        <v>44015</v>
      </c>
      <c r="D20" s="2" t="s">
        <v>2012</v>
      </c>
      <c r="E20" s="2" t="s">
        <v>2029</v>
      </c>
      <c r="F20" s="4">
        <v>2183.89</v>
      </c>
      <c r="G20" s="5">
        <v>229.89</v>
      </c>
      <c r="H20" s="6">
        <v>1</v>
      </c>
      <c r="I20" s="2" t="s">
        <v>2117</v>
      </c>
      <c r="J20" s="2" t="str">
        <v>E-Enable Next-Generation Experiences</v>
      </c>
      <c r="K20" s="2" t="str">
        <v>Furniture</v>
      </c>
      <c r="L20" s="2" t="str">
        <v>Sanchez-Quinn</v>
      </c>
      <c r="M20" s="2">
        <v>266.93</v>
      </c>
      <c r="N20" s="16">
        <f t="shared" si="0"/>
        <v>0.10526629088461416</v>
      </c>
    </row>
    <row r="21" spans="2:14" ht="14.4" customHeight="1" x14ac:dyDescent="0.3">
      <c r="B21" s="2" t="s">
        <v>26</v>
      </c>
      <c r="C21" s="3">
        <v>44664</v>
      </c>
      <c r="D21" s="2" t="s">
        <v>2012</v>
      </c>
      <c r="E21" s="2" t="s">
        <v>2030</v>
      </c>
      <c r="F21" s="4">
        <v>4686.58</v>
      </c>
      <c r="G21" s="5">
        <v>591.41999999999996</v>
      </c>
      <c r="H21" s="6">
        <v>16</v>
      </c>
      <c r="I21" s="2" t="s">
        <v>2116</v>
      </c>
      <c r="J21" s="2" t="str">
        <v>Engage Rich Web-Readiness</v>
      </c>
      <c r="K21" s="2" t="str">
        <v>Office Supplies</v>
      </c>
      <c r="L21" s="2" t="str">
        <v>Turner Inc</v>
      </c>
      <c r="M21" s="2">
        <v>81.069999999999993</v>
      </c>
      <c r="N21" s="16">
        <f t="shared" si="0"/>
        <v>0.12619436774790999</v>
      </c>
    </row>
    <row r="22" spans="2:14" ht="14.4" customHeight="1" x14ac:dyDescent="0.3">
      <c r="B22" s="2" t="s">
        <v>27</v>
      </c>
      <c r="C22" s="3">
        <v>44694</v>
      </c>
      <c r="D22" s="2" t="s">
        <v>2012</v>
      </c>
      <c r="E22" s="2" t="s">
        <v>2028</v>
      </c>
      <c r="F22" s="4">
        <v>3425.69</v>
      </c>
      <c r="G22" s="5">
        <v>948.19</v>
      </c>
      <c r="H22" s="6">
        <v>3</v>
      </c>
      <c r="I22" s="2" t="s">
        <v>2118</v>
      </c>
      <c r="J22" s="2" t="str">
        <v>Synergize World-Class Networks</v>
      </c>
      <c r="K22" s="2" t="str">
        <v>Electronics</v>
      </c>
      <c r="L22" s="2" t="str">
        <v>Gomez-Lawrence</v>
      </c>
      <c r="M22" s="2">
        <v>72.37</v>
      </c>
      <c r="N22" s="16">
        <f t="shared" si="0"/>
        <v>0.27678803394352669</v>
      </c>
    </row>
    <row r="23" spans="2:14" ht="14.4" customHeight="1" x14ac:dyDescent="0.3">
      <c r="B23" s="2" t="s">
        <v>28</v>
      </c>
      <c r="C23" s="3">
        <v>45447</v>
      </c>
      <c r="D23" s="2" t="s">
        <v>2009</v>
      </c>
      <c r="E23" s="2" t="s">
        <v>2031</v>
      </c>
      <c r="F23" s="4">
        <v>561.88</v>
      </c>
      <c r="G23" s="5">
        <v>477.79</v>
      </c>
      <c r="H23" s="6">
        <v>13</v>
      </c>
      <c r="I23" s="2" t="s">
        <v>2116</v>
      </c>
      <c r="J23" s="2" t="str">
        <v>Embrace 24/365 Functionalities</v>
      </c>
      <c r="K23" s="2" t="str">
        <v>Office Supplies</v>
      </c>
      <c r="L23" s="2" t="str">
        <v>Smith LLC</v>
      </c>
      <c r="M23" s="2">
        <v>204.04</v>
      </c>
      <c r="N23" s="16">
        <f t="shared" si="0"/>
        <v>0.85034170997365988</v>
      </c>
    </row>
    <row r="24" spans="2:14" ht="14.4" customHeight="1" x14ac:dyDescent="0.3">
      <c r="B24" s="2" t="s">
        <v>29</v>
      </c>
      <c r="C24" s="3">
        <v>44701</v>
      </c>
      <c r="D24" s="2" t="s">
        <v>2011</v>
      </c>
      <c r="E24" s="2" t="s">
        <v>2032</v>
      </c>
      <c r="F24" s="4">
        <v>4818.87</v>
      </c>
      <c r="G24" s="5">
        <v>902.62</v>
      </c>
      <c r="H24" s="6">
        <v>17</v>
      </c>
      <c r="I24" s="2" t="s">
        <v>2118</v>
      </c>
      <c r="J24" s="2" t="str">
        <v>Reinvent Frictionless Roi</v>
      </c>
      <c r="K24" s="2" t="str">
        <v>Furniture</v>
      </c>
      <c r="L24" s="2" t="str">
        <v>Bridges, Castillo and Rodriguez</v>
      </c>
      <c r="M24" s="2">
        <v>253.89</v>
      </c>
      <c r="N24" s="16">
        <f t="shared" si="0"/>
        <v>0.18730947296772896</v>
      </c>
    </row>
    <row r="25" spans="2:14" ht="14.4" customHeight="1" x14ac:dyDescent="0.3">
      <c r="B25" s="2" t="s">
        <v>30</v>
      </c>
      <c r="C25" s="3">
        <v>45267</v>
      </c>
      <c r="D25" s="2" t="s">
        <v>2011</v>
      </c>
      <c r="E25" s="2" t="s">
        <v>2033</v>
      </c>
      <c r="F25" s="4">
        <v>1001.81</v>
      </c>
      <c r="G25" s="5">
        <v>840.05</v>
      </c>
      <c r="H25" s="6">
        <v>8</v>
      </c>
      <c r="I25" s="2" t="s">
        <v>2117</v>
      </c>
      <c r="J25" s="2" t="str">
        <v>Leverage Rich Portals</v>
      </c>
      <c r="K25" s="2" t="str">
        <v>Office Supplies</v>
      </c>
      <c r="L25" s="2" t="str">
        <v>Wilson PLC</v>
      </c>
      <c r="M25" s="2">
        <v>46.35</v>
      </c>
      <c r="N25" s="16">
        <f t="shared" si="0"/>
        <v>0.83853225661552588</v>
      </c>
    </row>
    <row r="26" spans="2:14" ht="14.4" customHeight="1" x14ac:dyDescent="0.3">
      <c r="B26" s="2" t="s">
        <v>31</v>
      </c>
      <c r="C26" s="3">
        <v>44570</v>
      </c>
      <c r="D26" s="2" t="s">
        <v>2009</v>
      </c>
      <c r="E26" s="2" t="s">
        <v>2034</v>
      </c>
      <c r="F26" s="4">
        <v>3266.83</v>
      </c>
      <c r="G26" s="5">
        <v>763.26</v>
      </c>
      <c r="H26" s="6">
        <v>1</v>
      </c>
      <c r="I26" s="2" t="s">
        <v>2117</v>
      </c>
      <c r="J26" s="2" t="str">
        <v>Utilize Virtual Partnerships</v>
      </c>
      <c r="K26" s="2" t="str">
        <v>Furniture</v>
      </c>
      <c r="L26" s="2" t="str">
        <v>Smith, Diaz and Heath</v>
      </c>
      <c r="M26" s="2">
        <v>193.02</v>
      </c>
      <c r="N26" s="16">
        <f t="shared" si="0"/>
        <v>0.23363933844124121</v>
      </c>
    </row>
    <row r="27" spans="2:14" ht="14.4" customHeight="1" x14ac:dyDescent="0.3">
      <c r="B27" s="2" t="s">
        <v>32</v>
      </c>
      <c r="C27" s="3">
        <v>45343</v>
      </c>
      <c r="D27" s="2" t="s">
        <v>2009</v>
      </c>
      <c r="E27" s="2" t="s">
        <v>2035</v>
      </c>
      <c r="F27" s="4">
        <v>2511.89</v>
      </c>
      <c r="G27" s="5">
        <v>578.23</v>
      </c>
      <c r="H27" s="6">
        <v>1</v>
      </c>
      <c r="I27" s="2" t="s">
        <v>2118</v>
      </c>
      <c r="J27" s="2" t="str">
        <v>Optimize 24/365 E-Services</v>
      </c>
      <c r="K27" s="2" t="str">
        <v>Office Supplies</v>
      </c>
      <c r="L27" s="2" t="str">
        <v>Chase Ltd</v>
      </c>
      <c r="M27" s="2">
        <v>100.35</v>
      </c>
      <c r="N27" s="16">
        <f t="shared" si="0"/>
        <v>0.23019718220144991</v>
      </c>
    </row>
    <row r="28" spans="2:14" ht="14.4" customHeight="1" x14ac:dyDescent="0.3">
      <c r="B28" s="2" t="s">
        <v>33</v>
      </c>
      <c r="C28" s="3">
        <v>45461</v>
      </c>
      <c r="D28" s="2" t="s">
        <v>2009</v>
      </c>
      <c r="E28" s="2" t="s">
        <v>2028</v>
      </c>
      <c r="F28" s="4">
        <v>4069.56</v>
      </c>
      <c r="G28" s="5">
        <v>479.89</v>
      </c>
      <c r="H28" s="6">
        <v>2</v>
      </c>
      <c r="I28" s="2" t="s">
        <v>2118</v>
      </c>
      <c r="J28" s="2" t="str">
        <v>Synergize World-Class Networks</v>
      </c>
      <c r="K28" s="2" t="str">
        <v>Electronics</v>
      </c>
      <c r="L28" s="2" t="str">
        <v>Gomez-Lawrence</v>
      </c>
      <c r="M28" s="2">
        <v>72.37</v>
      </c>
      <c r="N28" s="16">
        <f t="shared" si="0"/>
        <v>0.11792183921603318</v>
      </c>
    </row>
    <row r="29" spans="2:14" ht="14.4" customHeight="1" x14ac:dyDescent="0.3">
      <c r="B29" s="2" t="s">
        <v>34</v>
      </c>
      <c r="C29" s="3">
        <v>44191</v>
      </c>
      <c r="D29" s="2" t="s">
        <v>2009</v>
      </c>
      <c r="E29" s="2" t="s">
        <v>2036</v>
      </c>
      <c r="F29" s="4">
        <v>4565.33</v>
      </c>
      <c r="G29" s="5">
        <v>387.7</v>
      </c>
      <c r="H29" s="6">
        <v>15</v>
      </c>
      <c r="I29" s="2" t="s">
        <v>2118</v>
      </c>
      <c r="J29" s="2" t="str">
        <v>Innovate Strategic Systems</v>
      </c>
      <c r="K29" s="2" t="str">
        <v>Office Supplies</v>
      </c>
      <c r="L29" s="2" t="str">
        <v>Mcfarland, Parker and Armstrong</v>
      </c>
      <c r="M29" s="2">
        <v>70.239999999999995</v>
      </c>
      <c r="N29" s="16">
        <f t="shared" si="0"/>
        <v>8.492266714563898E-2</v>
      </c>
    </row>
    <row r="30" spans="2:14" ht="14.4" customHeight="1" x14ac:dyDescent="0.3">
      <c r="B30" s="2" t="s">
        <v>35</v>
      </c>
      <c r="C30" s="3">
        <v>44251</v>
      </c>
      <c r="D30" s="2" t="s">
        <v>2012</v>
      </c>
      <c r="E30" s="2" t="s">
        <v>2037</v>
      </c>
      <c r="F30" s="4">
        <v>3357.15</v>
      </c>
      <c r="G30" s="5">
        <v>499.99</v>
      </c>
      <c r="H30" s="6">
        <v>4</v>
      </c>
      <c r="I30" s="2" t="s">
        <v>2116</v>
      </c>
      <c r="J30" s="2" t="str">
        <v>Utilize Back-End Models</v>
      </c>
      <c r="K30" s="2" t="str">
        <v>Furniture</v>
      </c>
      <c r="L30" s="2" t="str">
        <v>Lewis-Holden</v>
      </c>
      <c r="M30" s="2">
        <v>241.53</v>
      </c>
      <c r="N30" s="16">
        <f t="shared" si="0"/>
        <v>0.14893287461090507</v>
      </c>
    </row>
    <row r="31" spans="2:14" ht="14.4" customHeight="1" x14ac:dyDescent="0.3">
      <c r="B31" s="2" t="s">
        <v>36</v>
      </c>
      <c r="C31" s="3">
        <v>45535</v>
      </c>
      <c r="D31" s="2" t="s">
        <v>2010</v>
      </c>
      <c r="E31" s="2" t="s">
        <v>2038</v>
      </c>
      <c r="F31" s="4">
        <v>1315.66</v>
      </c>
      <c r="G31" s="5">
        <v>295.93</v>
      </c>
      <c r="H31" s="6">
        <v>11</v>
      </c>
      <c r="I31" s="2" t="s">
        <v>2118</v>
      </c>
      <c r="J31" s="2" t="str">
        <v>Reinvent Mission-Critical Markets</v>
      </c>
      <c r="K31" s="2" t="str">
        <v>Furniture</v>
      </c>
      <c r="L31" s="2" t="str">
        <v>Gilbert-Sanders</v>
      </c>
      <c r="M31" s="2">
        <v>154.21</v>
      </c>
      <c r="N31" s="16">
        <f t="shared" si="0"/>
        <v>0.22492893300700789</v>
      </c>
    </row>
    <row r="32" spans="2:14" ht="14.4" customHeight="1" x14ac:dyDescent="0.3">
      <c r="B32" s="2" t="s">
        <v>37</v>
      </c>
      <c r="C32" s="3">
        <v>44504</v>
      </c>
      <c r="D32" s="2" t="s">
        <v>2009</v>
      </c>
      <c r="E32" s="2" t="s">
        <v>2039</v>
      </c>
      <c r="F32" s="4">
        <v>4143.2</v>
      </c>
      <c r="G32" s="5">
        <v>95.25</v>
      </c>
      <c r="H32" s="6">
        <v>15</v>
      </c>
      <c r="I32" s="2" t="s">
        <v>2116</v>
      </c>
      <c r="J32" s="2" t="str">
        <v>Empower Dot-Com Deliverables</v>
      </c>
      <c r="K32" s="2" t="str">
        <v>Electronics</v>
      </c>
      <c r="L32" s="2" t="str">
        <v>Davis LLC</v>
      </c>
      <c r="M32" s="2">
        <v>250.66</v>
      </c>
      <c r="N32" s="16">
        <f t="shared" si="0"/>
        <v>2.2989476732960031E-2</v>
      </c>
    </row>
    <row r="33" spans="2:14" ht="14.4" customHeight="1" x14ac:dyDescent="0.3">
      <c r="B33" s="2" t="s">
        <v>38</v>
      </c>
      <c r="C33" s="3">
        <v>44075</v>
      </c>
      <c r="D33" s="2" t="s">
        <v>2012</v>
      </c>
      <c r="E33" s="2" t="s">
        <v>2040</v>
      </c>
      <c r="F33" s="4">
        <v>4738.3900000000003</v>
      </c>
      <c r="G33" s="5">
        <v>574.78</v>
      </c>
      <c r="H33" s="6">
        <v>18</v>
      </c>
      <c r="I33" s="2" t="s">
        <v>2117</v>
      </c>
      <c r="J33" s="2" t="str">
        <v>Synergize End-To-End Supply-Chains</v>
      </c>
      <c r="K33" s="2" t="str">
        <v>Office Supplies</v>
      </c>
      <c r="L33" s="2" t="str">
        <v>Higgins-Espinoza</v>
      </c>
      <c r="M33" s="2">
        <v>279.8</v>
      </c>
      <c r="N33" s="16">
        <f t="shared" si="0"/>
        <v>0.12130280538326307</v>
      </c>
    </row>
    <row r="34" spans="2:14" ht="14.4" customHeight="1" x14ac:dyDescent="0.3">
      <c r="B34" s="2" t="s">
        <v>39</v>
      </c>
      <c r="C34" s="3">
        <v>44834</v>
      </c>
      <c r="D34" s="2" t="s">
        <v>2011</v>
      </c>
      <c r="E34" s="2" t="s">
        <v>2041</v>
      </c>
      <c r="F34" s="4">
        <v>2251.63</v>
      </c>
      <c r="G34" s="5">
        <v>350.41</v>
      </c>
      <c r="H34" s="6">
        <v>15</v>
      </c>
      <c r="I34" s="2" t="s">
        <v>2116</v>
      </c>
      <c r="J34" s="2" t="str">
        <v>Expedite Synergistic Web-Readiness</v>
      </c>
      <c r="K34" s="2" t="str">
        <v>Electronics</v>
      </c>
      <c r="L34" s="2" t="str">
        <v>Dunlap, Carpenter and Monroe</v>
      </c>
      <c r="M34" s="2">
        <v>289.66000000000003</v>
      </c>
      <c r="N34" s="16">
        <f t="shared" si="0"/>
        <v>0.15562503608496955</v>
      </c>
    </row>
    <row r="35" spans="2:14" ht="14.4" customHeight="1" x14ac:dyDescent="0.3">
      <c r="B35" s="2" t="s">
        <v>40</v>
      </c>
      <c r="C35" s="3">
        <v>44037</v>
      </c>
      <c r="D35" s="2" t="s">
        <v>2011</v>
      </c>
      <c r="E35" s="2" t="s">
        <v>2016</v>
      </c>
      <c r="F35" s="4">
        <v>1451.5</v>
      </c>
      <c r="G35" s="5">
        <v>238.18</v>
      </c>
      <c r="H35" s="6">
        <v>18</v>
      </c>
      <c r="I35" s="2" t="s">
        <v>2117</v>
      </c>
      <c r="J35" s="2" t="str">
        <v>Revolutionize Efficient Niches</v>
      </c>
      <c r="K35" s="2" t="str">
        <v>Electronics</v>
      </c>
      <c r="L35" s="2" t="str">
        <v>Lopez-Torres</v>
      </c>
      <c r="M35" s="2">
        <v>23.02</v>
      </c>
      <c r="N35" s="16">
        <f t="shared" si="0"/>
        <v>0.16409231829142268</v>
      </c>
    </row>
    <row r="36" spans="2:14" ht="14.4" customHeight="1" x14ac:dyDescent="0.3">
      <c r="B36" s="2" t="s">
        <v>41</v>
      </c>
      <c r="C36" s="3">
        <v>45578</v>
      </c>
      <c r="D36" s="2" t="s">
        <v>2010</v>
      </c>
      <c r="E36" s="2" t="s">
        <v>2042</v>
      </c>
      <c r="F36" s="4">
        <v>2767.9</v>
      </c>
      <c r="G36" s="5">
        <v>416.17</v>
      </c>
      <c r="H36" s="6">
        <v>3</v>
      </c>
      <c r="I36" s="2" t="s">
        <v>2117</v>
      </c>
      <c r="J36" s="2" t="str">
        <v>Orchestrate E-Business Niches</v>
      </c>
      <c r="K36" s="2" t="str">
        <v>Furniture</v>
      </c>
      <c r="L36" s="2" t="str">
        <v>Johnson LLC</v>
      </c>
      <c r="M36" s="2">
        <v>198.99</v>
      </c>
      <c r="N36" s="16">
        <f t="shared" si="0"/>
        <v>0.1503558654575671</v>
      </c>
    </row>
    <row r="37" spans="2:14" ht="14.4" customHeight="1" x14ac:dyDescent="0.3">
      <c r="B37" s="27" t="s">
        <v>42</v>
      </c>
      <c r="C37" s="29">
        <v>45173</v>
      </c>
      <c r="D37" s="27" t="s">
        <v>2011</v>
      </c>
      <c r="E37" s="27" t="s">
        <v>2043</v>
      </c>
      <c r="F37" s="24">
        <v>488.99</v>
      </c>
      <c r="G37" s="25">
        <v>730</v>
      </c>
      <c r="H37" s="26">
        <v>12</v>
      </c>
      <c r="I37" s="27" t="s">
        <v>2117</v>
      </c>
      <c r="J37" s="27" t="str">
        <v>Brand Distributed Info-Mediaries</v>
      </c>
      <c r="K37" s="27" t="str">
        <v>Furniture</v>
      </c>
      <c r="L37" s="27" t="str">
        <v>Garcia Ltd</v>
      </c>
      <c r="M37" s="27">
        <v>114.48</v>
      </c>
      <c r="N37" s="28">
        <f t="shared" si="0"/>
        <v>1.4928730648888524</v>
      </c>
    </row>
    <row r="38" spans="2:14" ht="14.4" customHeight="1" x14ac:dyDescent="0.3">
      <c r="B38" s="27" t="s">
        <v>43</v>
      </c>
      <c r="C38" s="29">
        <v>43881</v>
      </c>
      <c r="D38" s="27" t="s">
        <v>2010</v>
      </c>
      <c r="E38" s="27" t="s">
        <v>2017</v>
      </c>
      <c r="F38" s="24">
        <v>198.88</v>
      </c>
      <c r="G38" s="25">
        <v>904.77</v>
      </c>
      <c r="H38" s="26">
        <v>19</v>
      </c>
      <c r="I38" s="27" t="s">
        <v>2117</v>
      </c>
      <c r="J38" s="27" t="str">
        <v>Target Bricks-And-Clicks Channels</v>
      </c>
      <c r="K38" s="27" t="str">
        <v>Electronics</v>
      </c>
      <c r="L38" s="27" t="str">
        <v>Dunn, Christensen and Meyer</v>
      </c>
      <c r="M38" s="27">
        <v>126.86</v>
      </c>
      <c r="N38" s="28">
        <f t="shared" si="0"/>
        <v>4.5493262268704751</v>
      </c>
    </row>
    <row r="39" spans="2:14" ht="14.4" customHeight="1" x14ac:dyDescent="0.3">
      <c r="B39" s="30" t="s">
        <v>44</v>
      </c>
      <c r="C39" s="31">
        <v>45360</v>
      </c>
      <c r="D39" s="30" t="s">
        <v>2012</v>
      </c>
      <c r="E39" s="30" t="s">
        <v>2044</v>
      </c>
      <c r="F39" s="32">
        <v>4224.26</v>
      </c>
      <c r="G39" s="33">
        <v>964.81</v>
      </c>
      <c r="H39" s="34">
        <v>19</v>
      </c>
      <c r="I39" s="30" t="s">
        <v>2118</v>
      </c>
      <c r="J39" s="30" t="str">
        <v>Grow Back-End Supply-Chains</v>
      </c>
      <c r="K39" s="30" t="str">
        <v>Electronics</v>
      </c>
      <c r="L39" s="30" t="str">
        <v>Green LLC</v>
      </c>
      <c r="M39" s="30">
        <v>140.08000000000001</v>
      </c>
      <c r="N39" s="35">
        <f t="shared" si="0"/>
        <v>0.22839739978126344</v>
      </c>
    </row>
    <row r="40" spans="2:14" ht="14.4" customHeight="1" x14ac:dyDescent="0.3">
      <c r="B40" s="2" t="s">
        <v>45</v>
      </c>
      <c r="C40" s="3">
        <v>44511</v>
      </c>
      <c r="D40" s="2" t="s">
        <v>2012</v>
      </c>
      <c r="E40" s="2" t="s">
        <v>2045</v>
      </c>
      <c r="F40" s="4">
        <v>1006.65</v>
      </c>
      <c r="G40" s="5">
        <v>541.97</v>
      </c>
      <c r="H40" s="6">
        <v>2</v>
      </c>
      <c r="I40" s="2" t="s">
        <v>2117</v>
      </c>
      <c r="J40" s="2" t="str">
        <v>Leverage Scalable Interfaces</v>
      </c>
      <c r="K40" s="2" t="str">
        <v>Office Supplies</v>
      </c>
      <c r="L40" s="2" t="str">
        <v>Kaufman-Jones</v>
      </c>
      <c r="M40" s="2">
        <v>73.33</v>
      </c>
      <c r="N40" s="16">
        <f t="shared" si="0"/>
        <v>0.53838970843888145</v>
      </c>
    </row>
    <row r="41" spans="2:14" ht="14.4" customHeight="1" x14ac:dyDescent="0.3">
      <c r="B41" s="2" t="s">
        <v>46</v>
      </c>
      <c r="C41" s="3">
        <v>44180</v>
      </c>
      <c r="D41" s="2" t="s">
        <v>2009</v>
      </c>
      <c r="E41" s="2" t="s">
        <v>2046</v>
      </c>
      <c r="F41" s="4">
        <v>462.16</v>
      </c>
      <c r="G41" s="5">
        <v>56.5</v>
      </c>
      <c r="H41" s="6">
        <v>14</v>
      </c>
      <c r="I41" s="2" t="s">
        <v>2116</v>
      </c>
      <c r="J41" s="2" t="str">
        <v>Facilitate End-To-End Experiences</v>
      </c>
      <c r="K41" s="2" t="str">
        <v>Office Supplies</v>
      </c>
      <c r="L41" s="2" t="str">
        <v>Pierce-Goodwin</v>
      </c>
      <c r="M41" s="2">
        <v>260.52999999999997</v>
      </c>
      <c r="N41" s="16">
        <f t="shared" si="0"/>
        <v>0.1222520339276441</v>
      </c>
    </row>
    <row r="42" spans="2:14" ht="14.4" customHeight="1" x14ac:dyDescent="0.3">
      <c r="B42" s="2" t="s">
        <v>47</v>
      </c>
      <c r="C42" s="3">
        <v>44808</v>
      </c>
      <c r="D42" s="2" t="s">
        <v>2009</v>
      </c>
      <c r="E42" s="2" t="s">
        <v>2047</v>
      </c>
      <c r="F42" s="4">
        <v>1200.4100000000001</v>
      </c>
      <c r="G42" s="5">
        <v>415.28</v>
      </c>
      <c r="H42" s="6">
        <v>13</v>
      </c>
      <c r="I42" s="2" t="s">
        <v>2118</v>
      </c>
      <c r="J42" s="2" t="str">
        <v>Transform Holistic Functionalities</v>
      </c>
      <c r="K42" s="2" t="str">
        <v>Office Supplies</v>
      </c>
      <c r="L42" s="2" t="str">
        <v>Ruiz Ltd</v>
      </c>
      <c r="M42" s="2">
        <v>179.27</v>
      </c>
      <c r="N42" s="16">
        <f t="shared" si="0"/>
        <v>0.34594846760690096</v>
      </c>
    </row>
    <row r="43" spans="2:14" ht="14.4" customHeight="1" x14ac:dyDescent="0.3">
      <c r="B43" s="2" t="s">
        <v>48</v>
      </c>
      <c r="C43" s="3">
        <v>44529</v>
      </c>
      <c r="D43" s="2" t="s">
        <v>2010</v>
      </c>
      <c r="E43" s="2" t="s">
        <v>2022</v>
      </c>
      <c r="F43" s="4">
        <v>420.01</v>
      </c>
      <c r="G43" s="5">
        <v>261.82</v>
      </c>
      <c r="H43" s="6">
        <v>2</v>
      </c>
      <c r="I43" s="2" t="s">
        <v>2118</v>
      </c>
      <c r="J43" s="2" t="str">
        <v>Monetize Collaborative Metrics</v>
      </c>
      <c r="K43" s="2" t="str">
        <v>Electronics</v>
      </c>
      <c r="L43" s="2" t="str">
        <v>Ramirez-Brown</v>
      </c>
      <c r="M43" s="2">
        <v>286.04000000000002</v>
      </c>
      <c r="N43" s="16">
        <f t="shared" si="0"/>
        <v>0.62336611033070644</v>
      </c>
    </row>
    <row r="44" spans="2:14" ht="14.4" customHeight="1" x14ac:dyDescent="0.3">
      <c r="B44" s="27" t="s">
        <v>49</v>
      </c>
      <c r="C44" s="29">
        <v>44778</v>
      </c>
      <c r="D44" s="27" t="s">
        <v>2012</v>
      </c>
      <c r="E44" s="27" t="s">
        <v>2048</v>
      </c>
      <c r="F44" s="24">
        <v>214.18</v>
      </c>
      <c r="G44" s="25">
        <v>910.8</v>
      </c>
      <c r="H44" s="26">
        <v>17</v>
      </c>
      <c r="I44" s="27" t="s">
        <v>2116</v>
      </c>
      <c r="J44" s="27" t="str">
        <v>Drive Compelling E-Services</v>
      </c>
      <c r="K44" s="27" t="str">
        <v>Office Supplies</v>
      </c>
      <c r="L44" s="27" t="str">
        <v>Morris-Villanueva</v>
      </c>
      <c r="M44" s="27">
        <v>27.22</v>
      </c>
      <c r="N44" s="28">
        <f>(G44/F44)</f>
        <v>4.2524978989634885</v>
      </c>
    </row>
    <row r="45" spans="2:14" ht="14.4" customHeight="1" x14ac:dyDescent="0.3">
      <c r="B45" s="27" t="s">
        <v>50</v>
      </c>
      <c r="C45" s="29">
        <v>43863</v>
      </c>
      <c r="D45" s="27" t="s">
        <v>2009</v>
      </c>
      <c r="E45" s="27" t="s">
        <v>2049</v>
      </c>
      <c r="F45" s="24">
        <v>113.07</v>
      </c>
      <c r="G45" s="25">
        <v>470.47</v>
      </c>
      <c r="H45" s="26">
        <v>6</v>
      </c>
      <c r="I45" s="27" t="s">
        <v>2118</v>
      </c>
      <c r="J45" s="27" t="str">
        <v>Scale 24/365 Networks</v>
      </c>
      <c r="K45" s="27" t="str">
        <v>Furniture</v>
      </c>
      <c r="L45" s="27" t="str">
        <v>Kim-Hamilton</v>
      </c>
      <c r="M45" s="27">
        <v>157.55000000000001</v>
      </c>
      <c r="N45" s="28">
        <f t="shared" si="0"/>
        <v>4.1608737949942523</v>
      </c>
    </row>
    <row r="46" spans="2:14" ht="14.4" customHeight="1" x14ac:dyDescent="0.3">
      <c r="B46" s="2" t="s">
        <v>51</v>
      </c>
      <c r="C46" s="3">
        <v>45341</v>
      </c>
      <c r="D46" s="2" t="s">
        <v>2012</v>
      </c>
      <c r="E46" s="2" t="s">
        <v>2050</v>
      </c>
      <c r="F46" s="4">
        <v>4560.07</v>
      </c>
      <c r="G46" s="5">
        <v>748.73</v>
      </c>
      <c r="H46" s="6">
        <v>15</v>
      </c>
      <c r="I46" s="2" t="s">
        <v>2116</v>
      </c>
      <c r="J46" s="2" t="str">
        <v>Extend Bricks-And-Clicks Architectures</v>
      </c>
      <c r="K46" s="2" t="str">
        <v>Furniture</v>
      </c>
      <c r="L46" s="2" t="str">
        <v>Fuller PLC</v>
      </c>
      <c r="M46" s="2">
        <v>202.99</v>
      </c>
      <c r="N46" s="16">
        <f t="shared" si="0"/>
        <v>0.16419265493731458</v>
      </c>
    </row>
    <row r="47" spans="2:14" ht="14.4" customHeight="1" x14ac:dyDescent="0.3">
      <c r="B47" s="2" t="s">
        <v>52</v>
      </c>
      <c r="C47" s="3">
        <v>44611</v>
      </c>
      <c r="D47" s="2" t="s">
        <v>2012</v>
      </c>
      <c r="E47" s="2" t="s">
        <v>2047</v>
      </c>
      <c r="F47" s="4">
        <v>283.73</v>
      </c>
      <c r="G47" s="5">
        <v>224.86</v>
      </c>
      <c r="H47" s="6">
        <v>9</v>
      </c>
      <c r="I47" s="2" t="s">
        <v>2116</v>
      </c>
      <c r="J47" s="2" t="str">
        <v>Transform Holistic Functionalities</v>
      </c>
      <c r="K47" s="2" t="str">
        <v>Office Supplies</v>
      </c>
      <c r="L47" s="2" t="str">
        <v>Ruiz Ltd</v>
      </c>
      <c r="M47" s="2">
        <v>179.27</v>
      </c>
      <c r="N47" s="16">
        <f t="shared" si="0"/>
        <v>0.79251400979804743</v>
      </c>
    </row>
    <row r="48" spans="2:14" ht="14.4" customHeight="1" x14ac:dyDescent="0.3">
      <c r="B48" s="2" t="s">
        <v>53</v>
      </c>
      <c r="C48" s="3">
        <v>45016</v>
      </c>
      <c r="D48" s="2" t="s">
        <v>2011</v>
      </c>
      <c r="E48" s="2" t="s">
        <v>2045</v>
      </c>
      <c r="F48" s="4">
        <v>685.2</v>
      </c>
      <c r="G48" s="5">
        <v>167.41</v>
      </c>
      <c r="H48" s="6">
        <v>20</v>
      </c>
      <c r="I48" s="2" t="s">
        <v>2117</v>
      </c>
      <c r="J48" s="2" t="str">
        <v>Leverage Scalable Interfaces</v>
      </c>
      <c r="K48" s="2" t="str">
        <v>Office Supplies</v>
      </c>
      <c r="L48" s="2" t="str">
        <v>Kaufman-Jones</v>
      </c>
      <c r="M48" s="2">
        <v>73.33</v>
      </c>
      <c r="N48" s="16">
        <f t="shared" si="0"/>
        <v>0.24432282545242262</v>
      </c>
    </row>
    <row r="49" spans="2:14" ht="14.4" customHeight="1" x14ac:dyDescent="0.3">
      <c r="B49" s="2" t="s">
        <v>54</v>
      </c>
      <c r="C49" s="3">
        <v>45565</v>
      </c>
      <c r="D49" s="2" t="s">
        <v>2010</v>
      </c>
      <c r="E49" s="2" t="s">
        <v>2034</v>
      </c>
      <c r="F49" s="4">
        <v>3541.72</v>
      </c>
      <c r="G49" s="5">
        <v>777.6</v>
      </c>
      <c r="H49" s="6">
        <v>2</v>
      </c>
      <c r="I49" s="2" t="s">
        <v>2118</v>
      </c>
      <c r="J49" s="2" t="str">
        <v>Utilize Virtual Partnerships</v>
      </c>
      <c r="K49" s="2" t="str">
        <v>Furniture</v>
      </c>
      <c r="L49" s="2" t="str">
        <v>Smith, Diaz and Heath</v>
      </c>
      <c r="M49" s="2">
        <v>193.02</v>
      </c>
      <c r="N49" s="16">
        <f t="shared" si="0"/>
        <v>0.21955434082874989</v>
      </c>
    </row>
    <row r="50" spans="2:14" ht="14.4" customHeight="1" x14ac:dyDescent="0.3">
      <c r="B50" s="2" t="s">
        <v>55</v>
      </c>
      <c r="C50" s="3">
        <v>44236</v>
      </c>
      <c r="D50" s="2" t="s">
        <v>2012</v>
      </c>
      <c r="E50" s="2" t="s">
        <v>2044</v>
      </c>
      <c r="F50" s="4">
        <v>2239.04</v>
      </c>
      <c r="G50" s="5">
        <v>880.78</v>
      </c>
      <c r="H50" s="6">
        <v>10</v>
      </c>
      <c r="I50" s="2" t="s">
        <v>2117</v>
      </c>
      <c r="J50" s="2" t="str">
        <v>Grow Back-End Supply-Chains</v>
      </c>
      <c r="K50" s="2" t="str">
        <v>Electronics</v>
      </c>
      <c r="L50" s="2" t="str">
        <v>Green LLC</v>
      </c>
      <c r="M50" s="2">
        <v>140.08000000000001</v>
      </c>
      <c r="N50" s="16">
        <f t="shared" si="0"/>
        <v>0.39337394597684722</v>
      </c>
    </row>
    <row r="51" spans="2:14" ht="14.4" customHeight="1" x14ac:dyDescent="0.3">
      <c r="B51" s="2" t="s">
        <v>56</v>
      </c>
      <c r="C51" s="3">
        <v>44166</v>
      </c>
      <c r="D51" s="2" t="s">
        <v>2011</v>
      </c>
      <c r="E51" s="2" t="s">
        <v>2050</v>
      </c>
      <c r="F51" s="4">
        <v>3761.19</v>
      </c>
      <c r="G51" s="5">
        <v>952.42</v>
      </c>
      <c r="H51" s="6">
        <v>17</v>
      </c>
      <c r="I51" s="2" t="s">
        <v>2118</v>
      </c>
      <c r="J51" s="2" t="str">
        <v>Extend Bricks-And-Clicks Architectures</v>
      </c>
      <c r="K51" s="2" t="str">
        <v>Furniture</v>
      </c>
      <c r="L51" s="2" t="str">
        <v>Fuller PLC</v>
      </c>
      <c r="M51" s="2">
        <v>202.99</v>
      </c>
      <c r="N51" s="16">
        <f t="shared" si="0"/>
        <v>0.25322304908818749</v>
      </c>
    </row>
    <row r="52" spans="2:14" ht="14.4" customHeight="1" x14ac:dyDescent="0.3">
      <c r="B52" s="2" t="s">
        <v>57</v>
      </c>
      <c r="C52" s="3">
        <v>43894</v>
      </c>
      <c r="D52" s="2" t="s">
        <v>2011</v>
      </c>
      <c r="E52" s="2" t="s">
        <v>2051</v>
      </c>
      <c r="F52" s="4">
        <v>3633.29</v>
      </c>
      <c r="G52" s="5">
        <v>451.59</v>
      </c>
      <c r="H52" s="6">
        <v>12</v>
      </c>
      <c r="I52" s="2" t="s">
        <v>2116</v>
      </c>
      <c r="J52" s="2" t="str">
        <v>Generate Front-End Functionalities</v>
      </c>
      <c r="K52" s="2" t="str">
        <v>Office Supplies</v>
      </c>
      <c r="L52" s="2" t="str">
        <v>Morales-Brown</v>
      </c>
      <c r="M52" s="2">
        <v>299.77</v>
      </c>
      <c r="N52" s="16">
        <f t="shared" si="0"/>
        <v>0.12429230807339904</v>
      </c>
    </row>
    <row r="53" spans="2:14" ht="14.4" customHeight="1" x14ac:dyDescent="0.3">
      <c r="B53" s="2" t="s">
        <v>58</v>
      </c>
      <c r="C53" s="3">
        <v>44248</v>
      </c>
      <c r="D53" s="2" t="s">
        <v>2010</v>
      </c>
      <c r="E53" s="2" t="s">
        <v>2052</v>
      </c>
      <c r="F53" s="4">
        <v>220.85</v>
      </c>
      <c r="G53" s="5">
        <v>109.89</v>
      </c>
      <c r="H53" s="6">
        <v>14</v>
      </c>
      <c r="I53" s="2" t="s">
        <v>2118</v>
      </c>
      <c r="J53" s="2" t="str">
        <v>Innovate Sticky Web Services</v>
      </c>
      <c r="K53" s="2" t="str">
        <v>Electronics</v>
      </c>
      <c r="L53" s="2" t="str">
        <v>Friedman, Sanders and Adams</v>
      </c>
      <c r="M53" s="2">
        <v>125.85</v>
      </c>
      <c r="N53" s="16">
        <f t="shared" si="0"/>
        <v>0.49757754131763643</v>
      </c>
    </row>
    <row r="54" spans="2:14" ht="14.4" customHeight="1" x14ac:dyDescent="0.3">
      <c r="B54" s="2" t="s">
        <v>59</v>
      </c>
      <c r="C54" s="3">
        <v>43926</v>
      </c>
      <c r="D54" s="2" t="s">
        <v>2009</v>
      </c>
      <c r="E54" s="2" t="s">
        <v>2053</v>
      </c>
      <c r="F54" s="4">
        <v>4626.08</v>
      </c>
      <c r="G54" s="5">
        <v>836.58</v>
      </c>
      <c r="H54" s="6">
        <v>9</v>
      </c>
      <c r="I54" s="2" t="s">
        <v>2118</v>
      </c>
      <c r="J54" s="2" t="str">
        <v>Transition Mission-Critical Interfaces</v>
      </c>
      <c r="K54" s="2" t="str">
        <v>Office Supplies</v>
      </c>
      <c r="L54" s="2" t="str">
        <v>Weaver Ltd</v>
      </c>
      <c r="M54" s="2">
        <v>34.64</v>
      </c>
      <c r="N54" s="16">
        <f t="shared" si="0"/>
        <v>0.18083993359388512</v>
      </c>
    </row>
    <row r="55" spans="2:14" ht="14.4" customHeight="1" x14ac:dyDescent="0.3">
      <c r="B55" s="2" t="s">
        <v>60</v>
      </c>
      <c r="C55" s="3">
        <v>44801</v>
      </c>
      <c r="D55" s="2" t="s">
        <v>2010</v>
      </c>
      <c r="E55" s="2" t="s">
        <v>2054</v>
      </c>
      <c r="F55" s="4">
        <v>1984.99</v>
      </c>
      <c r="G55" s="5">
        <v>139.36000000000001</v>
      </c>
      <c r="H55" s="6">
        <v>13</v>
      </c>
      <c r="I55" s="2" t="s">
        <v>2118</v>
      </c>
      <c r="J55" s="2" t="str">
        <v>Empower Killer Info-Mediaries</v>
      </c>
      <c r="K55" s="2" t="str">
        <v>Furniture</v>
      </c>
      <c r="L55" s="2" t="str">
        <v>Jones Ltd</v>
      </c>
      <c r="M55" s="2">
        <v>213.24</v>
      </c>
      <c r="N55" s="16">
        <f t="shared" si="0"/>
        <v>7.0206902805555707E-2</v>
      </c>
    </row>
    <row r="56" spans="2:14" ht="14.4" customHeight="1" x14ac:dyDescent="0.3">
      <c r="B56" s="2" t="s">
        <v>61</v>
      </c>
      <c r="C56" s="3">
        <v>43989</v>
      </c>
      <c r="D56" s="2" t="s">
        <v>2010</v>
      </c>
      <c r="E56" s="2" t="s">
        <v>2054</v>
      </c>
      <c r="F56" s="4">
        <v>2620.37</v>
      </c>
      <c r="G56" s="5">
        <v>423.47</v>
      </c>
      <c r="H56" s="6">
        <v>7</v>
      </c>
      <c r="I56" s="2" t="s">
        <v>2118</v>
      </c>
      <c r="J56" s="2" t="str">
        <v>Empower Killer Info-Mediaries</v>
      </c>
      <c r="K56" s="2" t="str">
        <v>Furniture</v>
      </c>
      <c r="L56" s="2" t="str">
        <v>Jones Ltd</v>
      </c>
      <c r="M56" s="2">
        <v>213.24</v>
      </c>
      <c r="N56" s="16">
        <f t="shared" si="0"/>
        <v>0.16160694863702457</v>
      </c>
    </row>
    <row r="57" spans="2:14" ht="14.4" customHeight="1" x14ac:dyDescent="0.3">
      <c r="B57" s="2" t="s">
        <v>62</v>
      </c>
      <c r="C57" s="3">
        <v>45275</v>
      </c>
      <c r="D57" s="2" t="s">
        <v>2009</v>
      </c>
      <c r="E57" s="2" t="s">
        <v>2055</v>
      </c>
      <c r="F57" s="4">
        <v>2145.6799999999998</v>
      </c>
      <c r="G57" s="5">
        <v>281.61</v>
      </c>
      <c r="H57" s="6">
        <v>15</v>
      </c>
      <c r="I57" s="2" t="s">
        <v>2116</v>
      </c>
      <c r="J57" s="2" t="str">
        <v>Engineer Real-Time Architectures</v>
      </c>
      <c r="K57" s="2" t="str">
        <v>Furniture</v>
      </c>
      <c r="L57" s="2" t="str">
        <v>James and Sons</v>
      </c>
      <c r="M57" s="2">
        <v>127.23</v>
      </c>
      <c r="N57" s="16">
        <f t="shared" si="0"/>
        <v>0.13124510644644125</v>
      </c>
    </row>
    <row r="58" spans="2:14" ht="14.4" customHeight="1" x14ac:dyDescent="0.3">
      <c r="B58" s="2" t="s">
        <v>63</v>
      </c>
      <c r="C58" s="3">
        <v>44822</v>
      </c>
      <c r="D58" s="2" t="s">
        <v>2009</v>
      </c>
      <c r="E58" s="2" t="s">
        <v>2056</v>
      </c>
      <c r="F58" s="4">
        <v>1537.19</v>
      </c>
      <c r="G58" s="5">
        <v>500.98</v>
      </c>
      <c r="H58" s="6">
        <v>6</v>
      </c>
      <c r="I58" s="2" t="s">
        <v>2117</v>
      </c>
      <c r="J58" s="2" t="str">
        <v>Mesh Intuitive Supply-Chains</v>
      </c>
      <c r="K58" s="2" t="str">
        <v>Electronics</v>
      </c>
      <c r="L58" s="2" t="str">
        <v>Soto, Barnett and Heath</v>
      </c>
      <c r="M58" s="2">
        <v>281</v>
      </c>
      <c r="N58" s="16">
        <f t="shared" si="0"/>
        <v>0.3259063616078689</v>
      </c>
    </row>
    <row r="59" spans="2:14" ht="14.4" customHeight="1" x14ac:dyDescent="0.3">
      <c r="B59" s="2" t="s">
        <v>64</v>
      </c>
      <c r="C59" s="3">
        <v>44057</v>
      </c>
      <c r="D59" s="2" t="s">
        <v>2011</v>
      </c>
      <c r="E59" s="2" t="s">
        <v>2057</v>
      </c>
      <c r="F59" s="4">
        <v>2035.47</v>
      </c>
      <c r="G59" s="5">
        <v>815.92</v>
      </c>
      <c r="H59" s="6">
        <v>15</v>
      </c>
      <c r="I59" s="2" t="s">
        <v>2116</v>
      </c>
      <c r="J59" s="2" t="str">
        <v>Reinvent Out-Of-The-Box Models</v>
      </c>
      <c r="K59" s="2" t="str">
        <v>Office Supplies</v>
      </c>
      <c r="L59" s="2" t="str">
        <v>Wagner-Curtis</v>
      </c>
      <c r="M59" s="2">
        <v>172.34</v>
      </c>
      <c r="N59" s="16">
        <f t="shared" si="0"/>
        <v>0.40085090912663901</v>
      </c>
    </row>
    <row r="60" spans="2:14" ht="14.4" customHeight="1" x14ac:dyDescent="0.3">
      <c r="B60" s="2" t="s">
        <v>65</v>
      </c>
      <c r="C60" s="3">
        <v>44524</v>
      </c>
      <c r="D60" s="2" t="s">
        <v>2012</v>
      </c>
      <c r="E60" s="2" t="s">
        <v>2051</v>
      </c>
      <c r="F60" s="4">
        <v>2205.2600000000002</v>
      </c>
      <c r="G60" s="5">
        <v>165.29</v>
      </c>
      <c r="H60" s="6">
        <v>14</v>
      </c>
      <c r="I60" s="2" t="s">
        <v>2116</v>
      </c>
      <c r="J60" s="2" t="str">
        <v>Generate Front-End Functionalities</v>
      </c>
      <c r="K60" s="2" t="str">
        <v>Office Supplies</v>
      </c>
      <c r="L60" s="2" t="str">
        <v>Morales-Brown</v>
      </c>
      <c r="M60" s="2">
        <v>299.77</v>
      </c>
      <c r="N60" s="16">
        <f t="shared" si="0"/>
        <v>7.4952613297298271E-2</v>
      </c>
    </row>
    <row r="61" spans="2:14" ht="14.4" customHeight="1" x14ac:dyDescent="0.3">
      <c r="B61" s="2" t="s">
        <v>66</v>
      </c>
      <c r="C61" s="3">
        <v>44539</v>
      </c>
      <c r="D61" s="2" t="s">
        <v>2011</v>
      </c>
      <c r="E61" s="2" t="s">
        <v>2016</v>
      </c>
      <c r="F61" s="4">
        <v>1729.08</v>
      </c>
      <c r="G61" s="5">
        <v>945.46</v>
      </c>
      <c r="H61" s="6">
        <v>5</v>
      </c>
      <c r="I61" s="2" t="s">
        <v>2116</v>
      </c>
      <c r="J61" s="2" t="str">
        <v>Revolutionize Efficient Niches</v>
      </c>
      <c r="K61" s="2" t="str">
        <v>Electronics</v>
      </c>
      <c r="L61" s="2" t="str">
        <v>Lopez-Torres</v>
      </c>
      <c r="M61" s="2">
        <v>23.02</v>
      </c>
      <c r="N61" s="16">
        <f t="shared" si="0"/>
        <v>0.54679945404492569</v>
      </c>
    </row>
    <row r="62" spans="2:14" ht="14.4" customHeight="1" x14ac:dyDescent="0.3">
      <c r="B62" s="2" t="s">
        <v>67</v>
      </c>
      <c r="C62" s="3">
        <v>44147</v>
      </c>
      <c r="D62" s="2" t="s">
        <v>2010</v>
      </c>
      <c r="E62" s="2" t="s">
        <v>2048</v>
      </c>
      <c r="F62" s="4">
        <v>4169.8999999999996</v>
      </c>
      <c r="G62" s="5">
        <v>98.29</v>
      </c>
      <c r="H62" s="6">
        <v>1</v>
      </c>
      <c r="I62" s="2" t="s">
        <v>2118</v>
      </c>
      <c r="J62" s="2" t="str">
        <v>Drive Compelling E-Services</v>
      </c>
      <c r="K62" s="2" t="str">
        <v>Office Supplies</v>
      </c>
      <c r="L62" s="2" t="str">
        <v>Morris-Villanueva</v>
      </c>
      <c r="M62" s="2">
        <v>27.22</v>
      </c>
      <c r="N62" s="16">
        <f t="shared" si="0"/>
        <v>2.3571308664476369E-2</v>
      </c>
    </row>
    <row r="63" spans="2:14" ht="14.4" customHeight="1" x14ac:dyDescent="0.3">
      <c r="B63" s="2" t="s">
        <v>68</v>
      </c>
      <c r="C63" s="3">
        <v>44579</v>
      </c>
      <c r="D63" s="2" t="s">
        <v>2012</v>
      </c>
      <c r="E63" s="2" t="s">
        <v>2058</v>
      </c>
      <c r="F63" s="4">
        <v>1527.8</v>
      </c>
      <c r="G63" s="5">
        <v>558.34</v>
      </c>
      <c r="H63" s="6">
        <v>10</v>
      </c>
      <c r="I63" s="2" t="s">
        <v>2117</v>
      </c>
      <c r="J63" s="2" t="str">
        <v>Envisioneer B2C Web-Readiness</v>
      </c>
      <c r="K63" s="2" t="str">
        <v>Electronics</v>
      </c>
      <c r="L63" s="2" t="str">
        <v>Kemp Group</v>
      </c>
      <c r="M63" s="2">
        <v>97.23</v>
      </c>
      <c r="N63" s="16">
        <f t="shared" si="0"/>
        <v>0.36545359340227784</v>
      </c>
    </row>
    <row r="64" spans="2:14" ht="14.4" customHeight="1" x14ac:dyDescent="0.3">
      <c r="B64" s="2" t="s">
        <v>69</v>
      </c>
      <c r="C64" s="3">
        <v>45544</v>
      </c>
      <c r="D64" s="2" t="s">
        <v>2011</v>
      </c>
      <c r="E64" s="2" t="s">
        <v>2059</v>
      </c>
      <c r="F64" s="4">
        <v>4379.74</v>
      </c>
      <c r="G64" s="5">
        <v>385.67</v>
      </c>
      <c r="H64" s="6">
        <v>12</v>
      </c>
      <c r="I64" s="2" t="s">
        <v>2117</v>
      </c>
      <c r="J64" s="2" t="str">
        <v>Redefine Real-Time Convergence</v>
      </c>
      <c r="K64" s="2" t="str">
        <v>Electronics</v>
      </c>
      <c r="L64" s="2" t="str">
        <v>Hayes, Peters and Douglas</v>
      </c>
      <c r="M64" s="2">
        <v>78.260000000000005</v>
      </c>
      <c r="N64" s="16">
        <f t="shared" si="0"/>
        <v>8.8057738587222087E-2</v>
      </c>
    </row>
    <row r="65" spans="2:14" ht="14.4" customHeight="1" x14ac:dyDescent="0.3">
      <c r="B65" s="2" t="s">
        <v>70</v>
      </c>
      <c r="C65" s="3">
        <v>45574</v>
      </c>
      <c r="D65" s="2" t="s">
        <v>2012</v>
      </c>
      <c r="E65" s="2" t="s">
        <v>2060</v>
      </c>
      <c r="F65" s="4">
        <v>4310.79</v>
      </c>
      <c r="G65" s="5">
        <v>691.64</v>
      </c>
      <c r="H65" s="6">
        <v>2</v>
      </c>
      <c r="I65" s="2" t="s">
        <v>2117</v>
      </c>
      <c r="J65" s="2" t="str">
        <v>Synergize End-To-End Roi</v>
      </c>
      <c r="K65" s="2" t="str">
        <v>Electronics</v>
      </c>
      <c r="L65" s="2" t="str">
        <v>Evans-Smith</v>
      </c>
      <c r="M65" s="2">
        <v>159.85</v>
      </c>
      <c r="N65" s="16">
        <f t="shared" si="0"/>
        <v>0.16044390935304201</v>
      </c>
    </row>
    <row r="66" spans="2:14" ht="14.4" customHeight="1" x14ac:dyDescent="0.3">
      <c r="B66" s="2" t="s">
        <v>71</v>
      </c>
      <c r="C66" s="3">
        <v>45031</v>
      </c>
      <c r="D66" s="2" t="s">
        <v>2010</v>
      </c>
      <c r="E66" s="2" t="s">
        <v>2061</v>
      </c>
      <c r="F66" s="4">
        <v>2035.86</v>
      </c>
      <c r="G66" s="5">
        <v>737.24</v>
      </c>
      <c r="H66" s="6">
        <v>14</v>
      </c>
      <c r="I66" s="2" t="s">
        <v>2116</v>
      </c>
      <c r="J66" s="2" t="str">
        <v>Optimize Collaborative Initiatives</v>
      </c>
      <c r="K66" s="2" t="str">
        <v>Electronics</v>
      </c>
      <c r="L66" s="2" t="str">
        <v>Adkins Ltd</v>
      </c>
      <c r="M66" s="2">
        <v>34.46</v>
      </c>
      <c r="N66" s="16">
        <f t="shared" si="0"/>
        <v>0.36212706178224441</v>
      </c>
    </row>
    <row r="67" spans="2:14" ht="14.4" customHeight="1" x14ac:dyDescent="0.3">
      <c r="B67" s="2" t="s">
        <v>72</v>
      </c>
      <c r="C67" s="3">
        <v>45266</v>
      </c>
      <c r="D67" s="2" t="s">
        <v>2010</v>
      </c>
      <c r="E67" s="2" t="s">
        <v>2062</v>
      </c>
      <c r="F67" s="4">
        <v>4531.28</v>
      </c>
      <c r="G67" s="5">
        <v>662.12</v>
      </c>
      <c r="H67" s="6">
        <v>3</v>
      </c>
      <c r="I67" s="2" t="s">
        <v>2116</v>
      </c>
      <c r="J67" s="2" t="str">
        <v>Incubate Real-Time E-Tailers</v>
      </c>
      <c r="K67" s="2" t="str">
        <v>Electronics</v>
      </c>
      <c r="L67" s="2" t="str">
        <v>Johnson-Riley</v>
      </c>
      <c r="M67" s="2">
        <v>86.67</v>
      </c>
      <c r="N67" s="16">
        <f t="shared" si="0"/>
        <v>0.14612206705390091</v>
      </c>
    </row>
    <row r="68" spans="2:14" ht="14.4" customHeight="1" x14ac:dyDescent="0.3">
      <c r="B68" s="27" t="s">
        <v>73</v>
      </c>
      <c r="C68" s="29">
        <v>44130</v>
      </c>
      <c r="D68" s="27" t="s">
        <v>2011</v>
      </c>
      <c r="E68" s="27" t="s">
        <v>2063</v>
      </c>
      <c r="F68" s="24">
        <v>101.99</v>
      </c>
      <c r="G68" s="25">
        <v>391.49</v>
      </c>
      <c r="H68" s="26">
        <v>18</v>
      </c>
      <c r="I68" s="27" t="s">
        <v>2116</v>
      </c>
      <c r="J68" s="27" t="str">
        <v>Unleash End-To-End Web Services</v>
      </c>
      <c r="K68" s="27" t="str">
        <v>Office Supplies</v>
      </c>
      <c r="L68" s="27" t="str">
        <v>Jones Ltd</v>
      </c>
      <c r="M68" s="27">
        <v>188.02</v>
      </c>
      <c r="N68" s="28">
        <f t="shared" si="0"/>
        <v>3.8385135797627221</v>
      </c>
    </row>
    <row r="69" spans="2:14" ht="14.4" customHeight="1" x14ac:dyDescent="0.3">
      <c r="B69" s="2" t="s">
        <v>74</v>
      </c>
      <c r="C69" s="3">
        <v>45034</v>
      </c>
      <c r="D69" s="2" t="s">
        <v>2009</v>
      </c>
      <c r="E69" s="2" t="s">
        <v>2013</v>
      </c>
      <c r="F69" s="4">
        <v>2687.89</v>
      </c>
      <c r="G69" s="5">
        <v>514.78</v>
      </c>
      <c r="H69" s="6">
        <v>7</v>
      </c>
      <c r="I69" s="2" t="s">
        <v>2118</v>
      </c>
      <c r="J69" s="2" t="str">
        <v>Re-Intermediate Seamless Applications</v>
      </c>
      <c r="K69" s="2" t="str">
        <v>Office Supplies</v>
      </c>
      <c r="L69" s="2" t="str">
        <v>Welch-Reed</v>
      </c>
      <c r="M69" s="2">
        <v>45.82</v>
      </c>
      <c r="N69" s="16">
        <f t="shared" ref="N69:N132" si="1">(G69/F69)</f>
        <v>0.19151825409521966</v>
      </c>
    </row>
    <row r="70" spans="2:14" ht="14.4" customHeight="1" x14ac:dyDescent="0.3">
      <c r="B70" s="2" t="s">
        <v>75</v>
      </c>
      <c r="C70" s="3">
        <v>45544</v>
      </c>
      <c r="D70" s="2" t="s">
        <v>2011</v>
      </c>
      <c r="E70" s="2" t="s">
        <v>2064</v>
      </c>
      <c r="F70" s="4">
        <v>2001.89</v>
      </c>
      <c r="G70" s="5">
        <v>537.45000000000005</v>
      </c>
      <c r="H70" s="6">
        <v>14</v>
      </c>
      <c r="I70" s="2" t="s">
        <v>2116</v>
      </c>
      <c r="J70" s="2" t="str">
        <v>Synergize E-Business Deliverables</v>
      </c>
      <c r="K70" s="2" t="str">
        <v>Electronics</v>
      </c>
      <c r="L70" s="2" t="str">
        <v>Crawford, Warren and Williams</v>
      </c>
      <c r="M70" s="2">
        <v>125.93</v>
      </c>
      <c r="N70" s="16">
        <f t="shared" si="1"/>
        <v>0.26847129462657787</v>
      </c>
    </row>
    <row r="71" spans="2:14" ht="14.4" customHeight="1" x14ac:dyDescent="0.3">
      <c r="B71" s="2" t="s">
        <v>76</v>
      </c>
      <c r="C71" s="3">
        <v>43843</v>
      </c>
      <c r="D71" s="2" t="s">
        <v>2009</v>
      </c>
      <c r="E71" s="2" t="s">
        <v>2065</v>
      </c>
      <c r="F71" s="4">
        <v>1672.71</v>
      </c>
      <c r="G71" s="5">
        <v>525.21</v>
      </c>
      <c r="H71" s="6">
        <v>13</v>
      </c>
      <c r="I71" s="2" t="s">
        <v>2118</v>
      </c>
      <c r="J71" s="2" t="str">
        <v>Re-Contextualize Integrated Info-Mediaries</v>
      </c>
      <c r="K71" s="2" t="str">
        <v>Electronics</v>
      </c>
      <c r="L71" s="2" t="str">
        <v>Jones-Schroeder</v>
      </c>
      <c r="M71" s="2">
        <v>26.02</v>
      </c>
      <c r="N71" s="16">
        <f t="shared" si="1"/>
        <v>0.3139874813924709</v>
      </c>
    </row>
    <row r="72" spans="2:14" ht="14.4" customHeight="1" x14ac:dyDescent="0.3">
      <c r="B72" s="2" t="s">
        <v>77</v>
      </c>
      <c r="C72" s="3">
        <v>44129</v>
      </c>
      <c r="D72" s="2" t="s">
        <v>2011</v>
      </c>
      <c r="E72" s="2" t="s">
        <v>2020</v>
      </c>
      <c r="F72" s="4">
        <v>3639.49</v>
      </c>
      <c r="G72" s="5">
        <v>992.3</v>
      </c>
      <c r="H72" s="6">
        <v>3</v>
      </c>
      <c r="I72" s="2" t="s">
        <v>2117</v>
      </c>
      <c r="J72" s="2" t="str">
        <v>Harness Revolutionary Interfaces</v>
      </c>
      <c r="K72" s="2" t="str">
        <v>Furniture</v>
      </c>
      <c r="L72" s="2" t="str">
        <v>Davis, Short and Nguyen</v>
      </c>
      <c r="M72" s="2">
        <v>26.49</v>
      </c>
      <c r="N72" s="16">
        <f t="shared" si="1"/>
        <v>0.27264809080393132</v>
      </c>
    </row>
    <row r="73" spans="2:14" ht="14.4" customHeight="1" x14ac:dyDescent="0.3">
      <c r="B73" s="2" t="s">
        <v>78</v>
      </c>
      <c r="C73" s="3">
        <v>45594</v>
      </c>
      <c r="D73" s="2" t="s">
        <v>2010</v>
      </c>
      <c r="E73" s="2" t="s">
        <v>2039</v>
      </c>
      <c r="F73" s="4">
        <v>2618.38</v>
      </c>
      <c r="G73" s="5">
        <v>122.11</v>
      </c>
      <c r="H73" s="6">
        <v>8</v>
      </c>
      <c r="I73" s="2" t="s">
        <v>2116</v>
      </c>
      <c r="J73" s="2" t="str">
        <v>Empower Dot-Com Deliverables</v>
      </c>
      <c r="K73" s="2" t="str">
        <v>Electronics</v>
      </c>
      <c r="L73" s="2" t="str">
        <v>Davis LLC</v>
      </c>
      <c r="M73" s="2">
        <v>250.66</v>
      </c>
      <c r="N73" s="16">
        <f t="shared" si="1"/>
        <v>4.6635706047250591E-2</v>
      </c>
    </row>
    <row r="74" spans="2:14" ht="14.4" customHeight="1" x14ac:dyDescent="0.3">
      <c r="B74" s="27" t="s">
        <v>79</v>
      </c>
      <c r="C74" s="29">
        <v>44615</v>
      </c>
      <c r="D74" s="27" t="s">
        <v>2012</v>
      </c>
      <c r="E74" s="27" t="s">
        <v>2066</v>
      </c>
      <c r="F74" s="24">
        <v>393.09</v>
      </c>
      <c r="G74" s="25">
        <v>456.81</v>
      </c>
      <c r="H74" s="26">
        <v>2</v>
      </c>
      <c r="I74" s="27" t="s">
        <v>2117</v>
      </c>
      <c r="J74" s="27" t="str">
        <v>Facilitate Integrated E-Business</v>
      </c>
      <c r="K74" s="27" t="str">
        <v>Office Supplies</v>
      </c>
      <c r="L74" s="27" t="str">
        <v>Chang-Vargas</v>
      </c>
      <c r="M74" s="27">
        <v>130.33000000000001</v>
      </c>
      <c r="N74" s="28">
        <f t="shared" si="1"/>
        <v>1.1621002823780815</v>
      </c>
    </row>
    <row r="75" spans="2:14" ht="14.4" customHeight="1" x14ac:dyDescent="0.3">
      <c r="B75" s="2" t="s">
        <v>80</v>
      </c>
      <c r="C75" s="3">
        <v>44774</v>
      </c>
      <c r="D75" s="2" t="s">
        <v>2010</v>
      </c>
      <c r="E75" s="2" t="s">
        <v>2030</v>
      </c>
      <c r="F75" s="4">
        <v>3460.49</v>
      </c>
      <c r="G75" s="5">
        <v>116.35</v>
      </c>
      <c r="H75" s="6">
        <v>1</v>
      </c>
      <c r="I75" s="2" t="s">
        <v>2116</v>
      </c>
      <c r="J75" s="2" t="str">
        <v>Engage Rich Web-Readiness</v>
      </c>
      <c r="K75" s="2" t="str">
        <v>Office Supplies</v>
      </c>
      <c r="L75" s="2" t="str">
        <v>Turner Inc</v>
      </c>
      <c r="M75" s="2">
        <v>81.069999999999993</v>
      </c>
      <c r="N75" s="16">
        <f t="shared" si="1"/>
        <v>3.3622406075440182E-2</v>
      </c>
    </row>
    <row r="76" spans="2:14" ht="14.4" customHeight="1" x14ac:dyDescent="0.3">
      <c r="B76" s="2" t="s">
        <v>81</v>
      </c>
      <c r="C76" s="3">
        <v>44416</v>
      </c>
      <c r="D76" s="2" t="s">
        <v>2010</v>
      </c>
      <c r="E76" s="2" t="s">
        <v>2067</v>
      </c>
      <c r="F76" s="4">
        <v>3208.49</v>
      </c>
      <c r="G76" s="5">
        <v>810.28</v>
      </c>
      <c r="H76" s="6">
        <v>1</v>
      </c>
      <c r="I76" s="2" t="s">
        <v>2117</v>
      </c>
      <c r="J76" s="2" t="str">
        <v>Transition Compelling Web-Readiness</v>
      </c>
      <c r="K76" s="2" t="str">
        <v>Furniture</v>
      </c>
      <c r="L76" s="2" t="str">
        <v>Wood-Beck</v>
      </c>
      <c r="M76" s="2">
        <v>88.34</v>
      </c>
      <c r="N76" s="16">
        <f t="shared" si="1"/>
        <v>0.25254247325065687</v>
      </c>
    </row>
    <row r="77" spans="2:14" ht="14.4" customHeight="1" x14ac:dyDescent="0.3">
      <c r="B77" s="2" t="s">
        <v>82</v>
      </c>
      <c r="C77" s="3">
        <v>44660</v>
      </c>
      <c r="D77" s="2" t="s">
        <v>2009</v>
      </c>
      <c r="E77" s="2" t="s">
        <v>2068</v>
      </c>
      <c r="F77" s="4">
        <v>3643.91</v>
      </c>
      <c r="G77" s="5">
        <v>342.82</v>
      </c>
      <c r="H77" s="6">
        <v>15</v>
      </c>
      <c r="I77" s="2" t="s">
        <v>2117</v>
      </c>
      <c r="J77" s="2" t="str">
        <v>E-Enable Virtual Methodologies</v>
      </c>
      <c r="K77" s="2" t="str">
        <v>Office Supplies</v>
      </c>
      <c r="L77" s="2" t="str">
        <v>Floyd-Love</v>
      </c>
      <c r="M77" s="2">
        <v>283.64999999999998</v>
      </c>
      <c r="N77" s="16">
        <f t="shared" si="1"/>
        <v>9.4080259940558353E-2</v>
      </c>
    </row>
    <row r="78" spans="2:14" ht="14.4" customHeight="1" x14ac:dyDescent="0.3">
      <c r="B78" s="2" t="s">
        <v>83</v>
      </c>
      <c r="C78" s="3">
        <v>44858</v>
      </c>
      <c r="D78" s="2" t="s">
        <v>2009</v>
      </c>
      <c r="E78" s="2" t="s">
        <v>2069</v>
      </c>
      <c r="F78" s="4">
        <v>1237.7</v>
      </c>
      <c r="G78" s="5">
        <v>180.14</v>
      </c>
      <c r="H78" s="6">
        <v>5</v>
      </c>
      <c r="I78" s="2" t="s">
        <v>2117</v>
      </c>
      <c r="J78" s="2" t="str">
        <v>Optimize Transparent E-Markets</v>
      </c>
      <c r="K78" s="2" t="str">
        <v>Office Supplies</v>
      </c>
      <c r="L78" s="2" t="str">
        <v>Lee, Tyler and Blevins</v>
      </c>
      <c r="M78" s="2">
        <v>111.22</v>
      </c>
      <c r="N78" s="16">
        <f t="shared" si="1"/>
        <v>0.14554415448008401</v>
      </c>
    </row>
    <row r="79" spans="2:14" ht="14.4" customHeight="1" x14ac:dyDescent="0.3">
      <c r="B79" s="2" t="s">
        <v>84</v>
      </c>
      <c r="C79" s="3">
        <v>44813</v>
      </c>
      <c r="D79" s="2" t="s">
        <v>2012</v>
      </c>
      <c r="E79" s="2" t="s">
        <v>2028</v>
      </c>
      <c r="F79" s="4">
        <v>4890.7299999999996</v>
      </c>
      <c r="G79" s="5">
        <v>756.15</v>
      </c>
      <c r="H79" s="6">
        <v>19</v>
      </c>
      <c r="I79" s="2" t="s">
        <v>2117</v>
      </c>
      <c r="J79" s="2" t="str">
        <v>Synergize World-Class Networks</v>
      </c>
      <c r="K79" s="2" t="str">
        <v>Electronics</v>
      </c>
      <c r="L79" s="2" t="str">
        <v>Gomez-Lawrence</v>
      </c>
      <c r="M79" s="2">
        <v>72.37</v>
      </c>
      <c r="N79" s="16">
        <f t="shared" si="1"/>
        <v>0.15460882117802455</v>
      </c>
    </row>
    <row r="80" spans="2:14" ht="14.4" customHeight="1" x14ac:dyDescent="0.3">
      <c r="B80" s="2" t="s">
        <v>85</v>
      </c>
      <c r="C80" s="3">
        <v>45547</v>
      </c>
      <c r="D80" s="2" t="s">
        <v>2012</v>
      </c>
      <c r="E80" s="2" t="s">
        <v>2016</v>
      </c>
      <c r="F80" s="4">
        <v>4786.6000000000004</v>
      </c>
      <c r="G80" s="5">
        <v>486.41</v>
      </c>
      <c r="H80" s="6">
        <v>4</v>
      </c>
      <c r="I80" s="2" t="s">
        <v>2117</v>
      </c>
      <c r="J80" s="2" t="str">
        <v>Revolutionize Efficient Niches</v>
      </c>
      <c r="K80" s="2" t="str">
        <v>Electronics</v>
      </c>
      <c r="L80" s="2" t="str">
        <v>Lopez-Torres</v>
      </c>
      <c r="M80" s="2">
        <v>23.02</v>
      </c>
      <c r="N80" s="16">
        <f t="shared" si="1"/>
        <v>0.10161910333012994</v>
      </c>
    </row>
    <row r="81" spans="2:14" ht="14.4" customHeight="1" x14ac:dyDescent="0.3">
      <c r="B81" s="2" t="s">
        <v>86</v>
      </c>
      <c r="C81" s="3">
        <v>44727</v>
      </c>
      <c r="D81" s="2" t="s">
        <v>2009</v>
      </c>
      <c r="E81" s="2" t="s">
        <v>2039</v>
      </c>
      <c r="F81" s="4">
        <v>2641.75</v>
      </c>
      <c r="G81" s="5">
        <v>304.49</v>
      </c>
      <c r="H81" s="6">
        <v>17</v>
      </c>
      <c r="I81" s="2" t="s">
        <v>2116</v>
      </c>
      <c r="J81" s="2" t="str">
        <v>Empower Dot-Com Deliverables</v>
      </c>
      <c r="K81" s="2" t="str">
        <v>Electronics</v>
      </c>
      <c r="L81" s="2" t="str">
        <v>Davis LLC</v>
      </c>
      <c r="M81" s="2">
        <v>250.66</v>
      </c>
      <c r="N81" s="16">
        <f t="shared" si="1"/>
        <v>0.1152607173275291</v>
      </c>
    </row>
    <row r="82" spans="2:14" ht="14.4" customHeight="1" x14ac:dyDescent="0.3">
      <c r="B82" s="2" t="s">
        <v>87</v>
      </c>
      <c r="C82" s="3">
        <v>45492</v>
      </c>
      <c r="D82" s="2" t="s">
        <v>2011</v>
      </c>
      <c r="E82" s="2" t="s">
        <v>2068</v>
      </c>
      <c r="F82" s="4">
        <v>1068.8599999999999</v>
      </c>
      <c r="G82" s="5">
        <v>100.98</v>
      </c>
      <c r="H82" s="6">
        <v>14</v>
      </c>
      <c r="I82" s="2" t="s">
        <v>2117</v>
      </c>
      <c r="J82" s="2" t="str">
        <v>E-Enable Virtual Methodologies</v>
      </c>
      <c r="K82" s="2" t="str">
        <v>Office Supplies</v>
      </c>
      <c r="L82" s="2" t="str">
        <v>Floyd-Love</v>
      </c>
      <c r="M82" s="2">
        <v>283.64999999999998</v>
      </c>
      <c r="N82" s="16">
        <f t="shared" si="1"/>
        <v>9.4474486836442578E-2</v>
      </c>
    </row>
    <row r="83" spans="2:14" ht="14.4" customHeight="1" x14ac:dyDescent="0.3">
      <c r="B83" s="2" t="s">
        <v>88</v>
      </c>
      <c r="C83" s="3">
        <v>44790</v>
      </c>
      <c r="D83" s="2" t="s">
        <v>2010</v>
      </c>
      <c r="E83" s="2" t="s">
        <v>2070</v>
      </c>
      <c r="F83" s="4">
        <v>3337.96</v>
      </c>
      <c r="G83" s="5">
        <v>286.08999999999997</v>
      </c>
      <c r="H83" s="6">
        <v>18</v>
      </c>
      <c r="I83" s="2" t="s">
        <v>2118</v>
      </c>
      <c r="J83" s="2" t="str">
        <v>Seize Plug-And-Play Web-Readiness</v>
      </c>
      <c r="K83" s="2" t="str">
        <v>Electronics</v>
      </c>
      <c r="L83" s="2" t="str">
        <v>Joseph, Mayer and Carr</v>
      </c>
      <c r="M83" s="2">
        <v>102.73</v>
      </c>
      <c r="N83" s="16">
        <f t="shared" si="1"/>
        <v>8.5708037244304897E-2</v>
      </c>
    </row>
    <row r="84" spans="2:14" ht="14.4" customHeight="1" x14ac:dyDescent="0.3">
      <c r="B84" s="2" t="s">
        <v>89</v>
      </c>
      <c r="C84" s="3">
        <v>44105</v>
      </c>
      <c r="D84" s="2" t="s">
        <v>2009</v>
      </c>
      <c r="E84" s="2" t="s">
        <v>2039</v>
      </c>
      <c r="F84" s="4">
        <v>903.63</v>
      </c>
      <c r="G84" s="5">
        <v>741.36</v>
      </c>
      <c r="H84" s="6">
        <v>14</v>
      </c>
      <c r="I84" s="2" t="s">
        <v>2118</v>
      </c>
      <c r="J84" s="2" t="str">
        <v>Empower Dot-Com Deliverables</v>
      </c>
      <c r="K84" s="2" t="str">
        <v>Electronics</v>
      </c>
      <c r="L84" s="2" t="str">
        <v>Davis LLC</v>
      </c>
      <c r="M84" s="2">
        <v>250.66</v>
      </c>
      <c r="N84" s="16">
        <f t="shared" si="1"/>
        <v>0.82042428870223438</v>
      </c>
    </row>
    <row r="85" spans="2:14" ht="14.4" customHeight="1" x14ac:dyDescent="0.3">
      <c r="B85" s="2" t="s">
        <v>90</v>
      </c>
      <c r="C85" s="3">
        <v>44066</v>
      </c>
      <c r="D85" s="2" t="s">
        <v>2011</v>
      </c>
      <c r="E85" s="2" t="s">
        <v>2071</v>
      </c>
      <c r="F85" s="4">
        <v>3829.31</v>
      </c>
      <c r="G85" s="5">
        <v>204.65</v>
      </c>
      <c r="H85" s="6">
        <v>16</v>
      </c>
      <c r="I85" s="2" t="s">
        <v>2116</v>
      </c>
      <c r="J85" s="2" t="str">
        <v>Incentivize Front-End Mindshare</v>
      </c>
      <c r="K85" s="2" t="str">
        <v>Electronics</v>
      </c>
      <c r="L85" s="2" t="str">
        <v>Phillips-Tran</v>
      </c>
      <c r="M85" s="2">
        <v>196.86</v>
      </c>
      <c r="N85" s="16">
        <f t="shared" si="1"/>
        <v>5.3443048486541966E-2</v>
      </c>
    </row>
    <row r="86" spans="2:14" ht="14.4" customHeight="1" x14ac:dyDescent="0.3">
      <c r="B86" s="2" t="s">
        <v>91</v>
      </c>
      <c r="C86" s="3">
        <v>45462</v>
      </c>
      <c r="D86" s="2" t="s">
        <v>2009</v>
      </c>
      <c r="E86" s="2" t="s">
        <v>2067</v>
      </c>
      <c r="F86" s="4">
        <v>3634.59</v>
      </c>
      <c r="G86" s="5">
        <v>385.68</v>
      </c>
      <c r="H86" s="6">
        <v>16</v>
      </c>
      <c r="I86" s="2" t="s">
        <v>2116</v>
      </c>
      <c r="J86" s="2" t="str">
        <v>Transition Compelling Web-Readiness</v>
      </c>
      <c r="K86" s="2" t="str">
        <v>Furniture</v>
      </c>
      <c r="L86" s="2" t="str">
        <v>Wood-Beck</v>
      </c>
      <c r="M86" s="2">
        <v>88.34</v>
      </c>
      <c r="N86" s="16">
        <f t="shared" si="1"/>
        <v>0.10611375698496942</v>
      </c>
    </row>
    <row r="87" spans="2:14" ht="14.4" customHeight="1" x14ac:dyDescent="0.3">
      <c r="B87" s="2" t="s">
        <v>92</v>
      </c>
      <c r="C87" s="3">
        <v>44747</v>
      </c>
      <c r="D87" s="2" t="s">
        <v>2011</v>
      </c>
      <c r="E87" s="2" t="s">
        <v>2041</v>
      </c>
      <c r="F87" s="4">
        <v>2832.09</v>
      </c>
      <c r="G87" s="5">
        <v>172.78</v>
      </c>
      <c r="H87" s="6">
        <v>16</v>
      </c>
      <c r="I87" s="2" t="s">
        <v>2118</v>
      </c>
      <c r="J87" s="2" t="str">
        <v>Expedite Synergistic Web-Readiness</v>
      </c>
      <c r="K87" s="2" t="str">
        <v>Electronics</v>
      </c>
      <c r="L87" s="2" t="str">
        <v>Dunlap, Carpenter and Monroe</v>
      </c>
      <c r="M87" s="2">
        <v>289.66000000000003</v>
      </c>
      <c r="N87" s="16">
        <f t="shared" si="1"/>
        <v>6.1007948193736776E-2</v>
      </c>
    </row>
    <row r="88" spans="2:14" ht="14.4" customHeight="1" x14ac:dyDescent="0.3">
      <c r="B88" s="2" t="s">
        <v>93</v>
      </c>
      <c r="C88" s="3">
        <v>44600</v>
      </c>
      <c r="D88" s="2" t="s">
        <v>2010</v>
      </c>
      <c r="E88" s="2" t="s">
        <v>2048</v>
      </c>
      <c r="F88" s="4">
        <v>2362.11</v>
      </c>
      <c r="G88" s="5">
        <v>505.07</v>
      </c>
      <c r="H88" s="6">
        <v>19</v>
      </c>
      <c r="I88" s="2" t="s">
        <v>2118</v>
      </c>
      <c r="J88" s="2" t="str">
        <v>Drive Compelling E-Services</v>
      </c>
      <c r="K88" s="2" t="str">
        <v>Office Supplies</v>
      </c>
      <c r="L88" s="2" t="str">
        <v>Morris-Villanueva</v>
      </c>
      <c r="M88" s="2">
        <v>27.22</v>
      </c>
      <c r="N88" s="16">
        <f t="shared" si="1"/>
        <v>0.21382154091045716</v>
      </c>
    </row>
    <row r="89" spans="2:14" ht="14.4" customHeight="1" x14ac:dyDescent="0.3">
      <c r="B89" s="2" t="s">
        <v>94</v>
      </c>
      <c r="C89" s="3">
        <v>44785</v>
      </c>
      <c r="D89" s="2" t="s">
        <v>2010</v>
      </c>
      <c r="E89" s="2" t="s">
        <v>2046</v>
      </c>
      <c r="F89" s="4">
        <v>1703.89</v>
      </c>
      <c r="G89" s="5">
        <v>136.19</v>
      </c>
      <c r="H89" s="6">
        <v>12</v>
      </c>
      <c r="I89" s="2" t="s">
        <v>2116</v>
      </c>
      <c r="J89" s="2" t="str">
        <v>Facilitate End-To-End Experiences</v>
      </c>
      <c r="K89" s="2" t="str">
        <v>Office Supplies</v>
      </c>
      <c r="L89" s="2" t="str">
        <v>Pierce-Goodwin</v>
      </c>
      <c r="M89" s="2">
        <v>260.52999999999997</v>
      </c>
      <c r="N89" s="16">
        <f t="shared" si="1"/>
        <v>7.9928868647623955E-2</v>
      </c>
    </row>
    <row r="90" spans="2:14" ht="14.4" customHeight="1" x14ac:dyDescent="0.3">
      <c r="B90" s="2" t="s">
        <v>95</v>
      </c>
      <c r="C90" s="3">
        <v>44212</v>
      </c>
      <c r="D90" s="2" t="s">
        <v>2009</v>
      </c>
      <c r="E90" s="2" t="s">
        <v>2015</v>
      </c>
      <c r="F90" s="4">
        <v>658.29</v>
      </c>
      <c r="G90" s="5">
        <v>638.54999999999995</v>
      </c>
      <c r="H90" s="6">
        <v>7</v>
      </c>
      <c r="I90" s="2" t="s">
        <v>2118</v>
      </c>
      <c r="J90" s="2" t="str">
        <v>Brand Web-Enabled Solutions</v>
      </c>
      <c r="K90" s="2" t="str">
        <v>Electronics</v>
      </c>
      <c r="L90" s="2" t="str">
        <v>Russell Group</v>
      </c>
      <c r="M90" s="2">
        <v>51.67</v>
      </c>
      <c r="N90" s="16">
        <f t="shared" si="1"/>
        <v>0.97001321605979129</v>
      </c>
    </row>
    <row r="91" spans="2:14" ht="14.4" customHeight="1" x14ac:dyDescent="0.3">
      <c r="B91" s="2" t="s">
        <v>96</v>
      </c>
      <c r="C91" s="3">
        <v>44525</v>
      </c>
      <c r="D91" s="2" t="s">
        <v>2010</v>
      </c>
      <c r="E91" s="2" t="s">
        <v>2072</v>
      </c>
      <c r="F91" s="4">
        <v>2740.1</v>
      </c>
      <c r="G91" s="5">
        <v>728.43</v>
      </c>
      <c r="H91" s="6">
        <v>6</v>
      </c>
      <c r="I91" s="2" t="s">
        <v>2117</v>
      </c>
      <c r="J91" s="2" t="str">
        <v>Evolve Innovative Web Services</v>
      </c>
      <c r="K91" s="2" t="str">
        <v>Furniture</v>
      </c>
      <c r="L91" s="2" t="str">
        <v>Bush Inc</v>
      </c>
      <c r="M91" s="2">
        <v>87.75</v>
      </c>
      <c r="N91" s="16">
        <f t="shared" si="1"/>
        <v>0.26584066274953466</v>
      </c>
    </row>
    <row r="92" spans="2:14" ht="14.4" customHeight="1" x14ac:dyDescent="0.3">
      <c r="B92" s="2" t="s">
        <v>97</v>
      </c>
      <c r="C92" s="3">
        <v>44863</v>
      </c>
      <c r="D92" s="2" t="s">
        <v>2010</v>
      </c>
      <c r="E92" s="2" t="s">
        <v>2073</v>
      </c>
      <c r="F92" s="4">
        <v>1005.44</v>
      </c>
      <c r="G92" s="5">
        <v>661.3</v>
      </c>
      <c r="H92" s="6">
        <v>2</v>
      </c>
      <c r="I92" s="2" t="s">
        <v>2117</v>
      </c>
      <c r="J92" s="2" t="str">
        <v>Visualize Dynamic E-Commerce</v>
      </c>
      <c r="K92" s="2" t="str">
        <v>Furniture</v>
      </c>
      <c r="L92" s="2" t="str">
        <v>Jones LLC</v>
      </c>
      <c r="M92" s="2">
        <v>92.61</v>
      </c>
      <c r="N92" s="16">
        <f t="shared" si="1"/>
        <v>0.65772199236155304</v>
      </c>
    </row>
    <row r="93" spans="2:14" ht="14.4" customHeight="1" x14ac:dyDescent="0.3">
      <c r="B93" s="2" t="s">
        <v>98</v>
      </c>
      <c r="C93" s="3">
        <v>44720</v>
      </c>
      <c r="D93" s="2" t="s">
        <v>2009</v>
      </c>
      <c r="E93" s="2" t="s">
        <v>2074</v>
      </c>
      <c r="F93" s="4">
        <v>1844.31</v>
      </c>
      <c r="G93" s="5">
        <v>371.71</v>
      </c>
      <c r="H93" s="6">
        <v>9</v>
      </c>
      <c r="I93" s="2" t="s">
        <v>2118</v>
      </c>
      <c r="J93" s="2" t="str">
        <v>Utilize Ubiquitous Synergies</v>
      </c>
      <c r="K93" s="2" t="str">
        <v>Electronics</v>
      </c>
      <c r="L93" s="2" t="str">
        <v>Kramer, Huang and Shaw</v>
      </c>
      <c r="M93" s="2">
        <v>295.89999999999998</v>
      </c>
      <c r="N93" s="16">
        <f t="shared" si="1"/>
        <v>0.20154420894535083</v>
      </c>
    </row>
    <row r="94" spans="2:14" ht="14.4" customHeight="1" x14ac:dyDescent="0.3">
      <c r="B94" s="2" t="s">
        <v>99</v>
      </c>
      <c r="C94" s="3">
        <v>44524</v>
      </c>
      <c r="D94" s="2" t="s">
        <v>2011</v>
      </c>
      <c r="E94" s="2" t="s">
        <v>2075</v>
      </c>
      <c r="F94" s="4">
        <v>3305.44</v>
      </c>
      <c r="G94" s="5">
        <v>361.4</v>
      </c>
      <c r="H94" s="6">
        <v>18</v>
      </c>
      <c r="I94" s="2" t="s">
        <v>2118</v>
      </c>
      <c r="J94" s="2" t="str">
        <v>Reinvent Visionary Niches</v>
      </c>
      <c r="K94" s="2" t="str">
        <v>Furniture</v>
      </c>
      <c r="L94" s="2" t="str">
        <v>Huber-Richmond</v>
      </c>
      <c r="M94" s="2">
        <v>219.81</v>
      </c>
      <c r="N94" s="16">
        <f t="shared" si="1"/>
        <v>0.10933491456508058</v>
      </c>
    </row>
    <row r="95" spans="2:14" ht="14.4" customHeight="1" x14ac:dyDescent="0.3">
      <c r="B95" s="2" t="s">
        <v>100</v>
      </c>
      <c r="C95" s="3">
        <v>45242</v>
      </c>
      <c r="D95" s="2" t="s">
        <v>2012</v>
      </c>
      <c r="E95" s="2" t="s">
        <v>2035</v>
      </c>
      <c r="F95" s="4">
        <v>2568.64</v>
      </c>
      <c r="G95" s="5">
        <v>206.74</v>
      </c>
      <c r="H95" s="6">
        <v>6</v>
      </c>
      <c r="I95" s="2" t="s">
        <v>2116</v>
      </c>
      <c r="J95" s="2" t="str">
        <v>Optimize 24/365 E-Services</v>
      </c>
      <c r="K95" s="2" t="str">
        <v>Office Supplies</v>
      </c>
      <c r="L95" s="2" t="str">
        <v>Chase Ltd</v>
      </c>
      <c r="M95" s="2">
        <v>100.35</v>
      </c>
      <c r="N95" s="16">
        <f t="shared" si="1"/>
        <v>8.0486171670611686E-2</v>
      </c>
    </row>
    <row r="96" spans="2:14" ht="14.4" customHeight="1" x14ac:dyDescent="0.3">
      <c r="B96" s="2" t="s">
        <v>101</v>
      </c>
      <c r="C96" s="3">
        <v>44666</v>
      </c>
      <c r="D96" s="2" t="s">
        <v>2011</v>
      </c>
      <c r="E96" s="2" t="s">
        <v>2076</v>
      </c>
      <c r="F96" s="4">
        <v>3682.52</v>
      </c>
      <c r="G96" s="5">
        <v>202.32</v>
      </c>
      <c r="H96" s="6">
        <v>4</v>
      </c>
      <c r="I96" s="2" t="s">
        <v>2116</v>
      </c>
      <c r="J96" s="2" t="str">
        <v>Deliver Extensible Partnerships</v>
      </c>
      <c r="K96" s="2" t="str">
        <v>Furniture</v>
      </c>
      <c r="L96" s="2" t="str">
        <v>Martin, Paul and Salazar</v>
      </c>
      <c r="M96" s="2">
        <v>43.76</v>
      </c>
      <c r="N96" s="16">
        <f t="shared" si="1"/>
        <v>5.4940638475826337E-2</v>
      </c>
    </row>
    <row r="97" spans="2:14" ht="14.4" customHeight="1" x14ac:dyDescent="0.3">
      <c r="B97" s="2" t="s">
        <v>102</v>
      </c>
      <c r="C97" s="3">
        <v>44548</v>
      </c>
      <c r="D97" s="2" t="s">
        <v>2010</v>
      </c>
      <c r="E97" s="2" t="s">
        <v>2062</v>
      </c>
      <c r="F97" s="4">
        <v>1611.44</v>
      </c>
      <c r="G97" s="5">
        <v>695.93</v>
      </c>
      <c r="H97" s="6">
        <v>10</v>
      </c>
      <c r="I97" s="2" t="s">
        <v>2118</v>
      </c>
      <c r="J97" s="2" t="str">
        <v>Incubate Real-Time E-Tailers</v>
      </c>
      <c r="K97" s="2" t="str">
        <v>Electronics</v>
      </c>
      <c r="L97" s="2" t="str">
        <v>Johnson-Riley</v>
      </c>
      <c r="M97" s="2">
        <v>86.67</v>
      </c>
      <c r="N97" s="16">
        <f t="shared" si="1"/>
        <v>0.43186839100431906</v>
      </c>
    </row>
    <row r="98" spans="2:14" ht="14.4" customHeight="1" x14ac:dyDescent="0.3">
      <c r="B98" s="2" t="s">
        <v>103</v>
      </c>
      <c r="C98" s="3">
        <v>45297</v>
      </c>
      <c r="D98" s="2" t="s">
        <v>2011</v>
      </c>
      <c r="E98" s="2" t="s">
        <v>2031</v>
      </c>
      <c r="F98" s="4">
        <v>4920.3500000000004</v>
      </c>
      <c r="G98" s="5">
        <v>79.150000000000006</v>
      </c>
      <c r="H98" s="6">
        <v>8</v>
      </c>
      <c r="I98" s="2" t="s">
        <v>2118</v>
      </c>
      <c r="J98" s="2" t="str">
        <v>Embrace 24/365 Functionalities</v>
      </c>
      <c r="K98" s="2" t="str">
        <v>Office Supplies</v>
      </c>
      <c r="L98" s="2" t="str">
        <v>Smith LLC</v>
      </c>
      <c r="M98" s="2">
        <v>204.04</v>
      </c>
      <c r="N98" s="16">
        <f t="shared" si="1"/>
        <v>1.6086254026644445E-2</v>
      </c>
    </row>
    <row r="99" spans="2:14" ht="14.4" customHeight="1" x14ac:dyDescent="0.3">
      <c r="B99" s="2" t="s">
        <v>104</v>
      </c>
      <c r="C99" s="3">
        <v>44662</v>
      </c>
      <c r="D99" s="2" t="s">
        <v>2012</v>
      </c>
      <c r="E99" s="2" t="s">
        <v>2039</v>
      </c>
      <c r="F99" s="4">
        <v>4129.58</v>
      </c>
      <c r="G99" s="5">
        <v>476.54</v>
      </c>
      <c r="H99" s="6">
        <v>17</v>
      </c>
      <c r="I99" s="2" t="s">
        <v>2117</v>
      </c>
      <c r="J99" s="2" t="str">
        <v>Empower Dot-Com Deliverables</v>
      </c>
      <c r="K99" s="2" t="str">
        <v>Electronics</v>
      </c>
      <c r="L99" s="2" t="str">
        <v>Davis LLC</v>
      </c>
      <c r="M99" s="2">
        <v>250.66</v>
      </c>
      <c r="N99" s="16">
        <f t="shared" si="1"/>
        <v>0.11539672315344418</v>
      </c>
    </row>
    <row r="100" spans="2:14" ht="14.4" customHeight="1" x14ac:dyDescent="0.3">
      <c r="B100" s="2" t="s">
        <v>105</v>
      </c>
      <c r="C100" s="3">
        <v>45566</v>
      </c>
      <c r="D100" s="2" t="s">
        <v>2010</v>
      </c>
      <c r="E100" s="2" t="s">
        <v>2020</v>
      </c>
      <c r="F100" s="4">
        <v>2597.71</v>
      </c>
      <c r="G100" s="5">
        <v>378.42</v>
      </c>
      <c r="H100" s="6">
        <v>15</v>
      </c>
      <c r="I100" s="2" t="s">
        <v>2116</v>
      </c>
      <c r="J100" s="2" t="str">
        <v>Harness Revolutionary Interfaces</v>
      </c>
      <c r="K100" s="2" t="str">
        <v>Furniture</v>
      </c>
      <c r="L100" s="2" t="str">
        <v>Davis, Short and Nguyen</v>
      </c>
      <c r="M100" s="2">
        <v>26.49</v>
      </c>
      <c r="N100" s="16">
        <f t="shared" si="1"/>
        <v>0.14567445942772672</v>
      </c>
    </row>
    <row r="101" spans="2:14" ht="14.4" customHeight="1" x14ac:dyDescent="0.3">
      <c r="B101" s="2" t="s">
        <v>106</v>
      </c>
      <c r="C101" s="3">
        <v>43948</v>
      </c>
      <c r="D101" s="2" t="s">
        <v>2011</v>
      </c>
      <c r="E101" s="2" t="s">
        <v>2030</v>
      </c>
      <c r="F101" s="4">
        <v>3382.39</v>
      </c>
      <c r="G101" s="5">
        <v>273.31</v>
      </c>
      <c r="H101" s="6">
        <v>12</v>
      </c>
      <c r="I101" s="2" t="s">
        <v>2117</v>
      </c>
      <c r="J101" s="2" t="str">
        <v>Engage Rich Web-Readiness</v>
      </c>
      <c r="K101" s="2" t="str">
        <v>Office Supplies</v>
      </c>
      <c r="L101" s="2" t="str">
        <v>Turner Inc</v>
      </c>
      <c r="M101" s="2">
        <v>81.069999999999993</v>
      </c>
      <c r="N101" s="16">
        <f t="shared" si="1"/>
        <v>8.0803810323469505E-2</v>
      </c>
    </row>
    <row r="102" spans="2:14" ht="14.4" customHeight="1" x14ac:dyDescent="0.3">
      <c r="B102" s="2" t="s">
        <v>107</v>
      </c>
      <c r="C102" s="3">
        <v>43869</v>
      </c>
      <c r="D102" s="2" t="s">
        <v>2010</v>
      </c>
      <c r="E102" s="2" t="s">
        <v>2077</v>
      </c>
      <c r="F102" s="4">
        <v>2253.66</v>
      </c>
      <c r="G102" s="5">
        <v>453.84</v>
      </c>
      <c r="H102" s="6">
        <v>2</v>
      </c>
      <c r="I102" s="2" t="s">
        <v>2118</v>
      </c>
      <c r="J102" s="2" t="str">
        <v>Synthesize Wireless Initiatives</v>
      </c>
      <c r="K102" s="2" t="str">
        <v>Electronics</v>
      </c>
      <c r="L102" s="2" t="str">
        <v>Mosley Ltd</v>
      </c>
      <c r="M102" s="2">
        <v>162.69999999999999</v>
      </c>
      <c r="N102" s="16">
        <f t="shared" si="1"/>
        <v>0.20137909001357793</v>
      </c>
    </row>
    <row r="103" spans="2:14" ht="14.4" customHeight="1" x14ac:dyDescent="0.3">
      <c r="B103" s="2" t="s">
        <v>108</v>
      </c>
      <c r="C103" s="3">
        <v>45435</v>
      </c>
      <c r="D103" s="2" t="s">
        <v>2012</v>
      </c>
      <c r="E103" s="2" t="s">
        <v>2078</v>
      </c>
      <c r="F103" s="4">
        <v>4827.91</v>
      </c>
      <c r="G103" s="5">
        <v>333</v>
      </c>
      <c r="H103" s="6">
        <v>14</v>
      </c>
      <c r="I103" s="2" t="s">
        <v>2118</v>
      </c>
      <c r="J103" s="2" t="str">
        <v>Strategize E-Business Content</v>
      </c>
      <c r="K103" s="2" t="str">
        <v>Electronics</v>
      </c>
      <c r="L103" s="2" t="str">
        <v>Patterson LLC</v>
      </c>
      <c r="M103" s="2">
        <v>294.02</v>
      </c>
      <c r="N103" s="16">
        <f t="shared" si="1"/>
        <v>6.8973945247529478E-2</v>
      </c>
    </row>
    <row r="104" spans="2:14" ht="14.4" customHeight="1" x14ac:dyDescent="0.3">
      <c r="B104" s="27" t="s">
        <v>109</v>
      </c>
      <c r="C104" s="29">
        <v>45444</v>
      </c>
      <c r="D104" s="27" t="s">
        <v>2012</v>
      </c>
      <c r="E104" s="27" t="s">
        <v>2047</v>
      </c>
      <c r="F104" s="24">
        <v>387.17</v>
      </c>
      <c r="G104" s="25">
        <v>616.64</v>
      </c>
      <c r="H104" s="26">
        <v>16</v>
      </c>
      <c r="I104" s="27" t="s">
        <v>2117</v>
      </c>
      <c r="J104" s="27" t="str">
        <v>Transform Holistic Functionalities</v>
      </c>
      <c r="K104" s="27" t="str">
        <v>Office Supplies</v>
      </c>
      <c r="L104" s="27" t="str">
        <v>Ruiz Ltd</v>
      </c>
      <c r="M104" s="27">
        <v>179.27</v>
      </c>
      <c r="N104" s="28">
        <f t="shared" si="1"/>
        <v>1.5926853836815869</v>
      </c>
    </row>
    <row r="105" spans="2:14" ht="14.4" customHeight="1" x14ac:dyDescent="0.3">
      <c r="B105" s="2" t="s">
        <v>110</v>
      </c>
      <c r="C105" s="3">
        <v>44099</v>
      </c>
      <c r="D105" s="2" t="s">
        <v>2009</v>
      </c>
      <c r="E105" s="2" t="s">
        <v>2079</v>
      </c>
      <c r="F105" s="4">
        <v>1063.9000000000001</v>
      </c>
      <c r="G105" s="5">
        <v>554.38</v>
      </c>
      <c r="H105" s="6">
        <v>5</v>
      </c>
      <c r="I105" s="2" t="s">
        <v>2117</v>
      </c>
      <c r="J105" s="2" t="str">
        <v>Iterate Extensible Roi</v>
      </c>
      <c r="K105" s="2" t="str">
        <v>Office Supplies</v>
      </c>
      <c r="L105" s="2" t="str">
        <v>Hill-Kelly</v>
      </c>
      <c r="M105" s="2">
        <v>180</v>
      </c>
      <c r="N105" s="16">
        <f t="shared" si="1"/>
        <v>0.52108280853463662</v>
      </c>
    </row>
    <row r="106" spans="2:14" ht="14.4" customHeight="1" x14ac:dyDescent="0.3">
      <c r="B106" s="2" t="s">
        <v>111</v>
      </c>
      <c r="C106" s="3">
        <v>45092</v>
      </c>
      <c r="D106" s="2" t="s">
        <v>2012</v>
      </c>
      <c r="E106" s="2" t="s">
        <v>2013</v>
      </c>
      <c r="F106" s="4">
        <v>2753.78</v>
      </c>
      <c r="G106" s="5">
        <v>930.89</v>
      </c>
      <c r="H106" s="6">
        <v>18</v>
      </c>
      <c r="I106" s="2" t="s">
        <v>2117</v>
      </c>
      <c r="J106" s="2" t="str">
        <v>Re-Intermediate Seamless Applications</v>
      </c>
      <c r="K106" s="2" t="str">
        <v>Office Supplies</v>
      </c>
      <c r="L106" s="2" t="str">
        <v>Welch-Reed</v>
      </c>
      <c r="M106" s="2">
        <v>45.82</v>
      </c>
      <c r="N106" s="16">
        <f t="shared" si="1"/>
        <v>0.3380408020974805</v>
      </c>
    </row>
    <row r="107" spans="2:14" ht="14.4" customHeight="1" x14ac:dyDescent="0.3">
      <c r="B107" s="2" t="s">
        <v>112</v>
      </c>
      <c r="C107" s="3">
        <v>45344</v>
      </c>
      <c r="D107" s="2" t="s">
        <v>2011</v>
      </c>
      <c r="E107" s="2" t="s">
        <v>2080</v>
      </c>
      <c r="F107" s="4">
        <v>3121.82</v>
      </c>
      <c r="G107" s="5">
        <v>719.48</v>
      </c>
      <c r="H107" s="6">
        <v>20</v>
      </c>
      <c r="I107" s="2" t="s">
        <v>2116</v>
      </c>
      <c r="J107" s="2" t="str">
        <v>Scale Vertical Networks</v>
      </c>
      <c r="K107" s="2" t="str">
        <v>Furniture</v>
      </c>
      <c r="L107" s="2" t="str">
        <v>Lam, Wood and Jacobs</v>
      </c>
      <c r="M107" s="2">
        <v>133.24</v>
      </c>
      <c r="N107" s="16">
        <f t="shared" si="1"/>
        <v>0.23046812436335215</v>
      </c>
    </row>
    <row r="108" spans="2:14" ht="14.4" customHeight="1" x14ac:dyDescent="0.3">
      <c r="B108" s="2" t="s">
        <v>113</v>
      </c>
      <c r="C108" s="3">
        <v>44456</v>
      </c>
      <c r="D108" s="2" t="s">
        <v>2012</v>
      </c>
      <c r="E108" s="2" t="s">
        <v>2081</v>
      </c>
      <c r="F108" s="4">
        <v>1684.63</v>
      </c>
      <c r="G108" s="5">
        <v>652.88</v>
      </c>
      <c r="H108" s="6">
        <v>3</v>
      </c>
      <c r="I108" s="2" t="s">
        <v>2116</v>
      </c>
      <c r="J108" s="2" t="str">
        <v>Orchestrate User-Centric Platforms</v>
      </c>
      <c r="K108" s="2" t="str">
        <v>Furniture</v>
      </c>
      <c r="L108" s="2" t="str">
        <v>Wells Ltd</v>
      </c>
      <c r="M108" s="2">
        <v>201.87</v>
      </c>
      <c r="N108" s="16">
        <f t="shared" si="1"/>
        <v>0.38755097558514329</v>
      </c>
    </row>
    <row r="109" spans="2:14" ht="14.4" customHeight="1" x14ac:dyDescent="0.3">
      <c r="B109" s="2" t="s">
        <v>114</v>
      </c>
      <c r="C109" s="3">
        <v>43932</v>
      </c>
      <c r="D109" s="2" t="s">
        <v>2012</v>
      </c>
      <c r="E109" s="2" t="s">
        <v>2048</v>
      </c>
      <c r="F109" s="4">
        <v>4769.18</v>
      </c>
      <c r="G109" s="5">
        <v>802.33</v>
      </c>
      <c r="H109" s="6">
        <v>1</v>
      </c>
      <c r="I109" s="2" t="s">
        <v>2118</v>
      </c>
      <c r="J109" s="2" t="str">
        <v>Drive Compelling E-Services</v>
      </c>
      <c r="K109" s="2" t="str">
        <v>Office Supplies</v>
      </c>
      <c r="L109" s="2" t="str">
        <v>Morris-Villanueva</v>
      </c>
      <c r="M109" s="2">
        <v>27.22</v>
      </c>
      <c r="N109" s="16">
        <f t="shared" si="1"/>
        <v>0.16823227473066649</v>
      </c>
    </row>
    <row r="110" spans="2:14" ht="14.4" customHeight="1" x14ac:dyDescent="0.3">
      <c r="B110" s="2" t="s">
        <v>115</v>
      </c>
      <c r="C110" s="3">
        <v>45594</v>
      </c>
      <c r="D110" s="2" t="s">
        <v>2009</v>
      </c>
      <c r="E110" s="2" t="s">
        <v>2078</v>
      </c>
      <c r="F110" s="4">
        <v>2019.54</v>
      </c>
      <c r="G110" s="5">
        <v>481.76</v>
      </c>
      <c r="H110" s="6">
        <v>8</v>
      </c>
      <c r="I110" s="2" t="s">
        <v>2118</v>
      </c>
      <c r="J110" s="2" t="str">
        <v>Strategize E-Business Content</v>
      </c>
      <c r="K110" s="2" t="str">
        <v>Electronics</v>
      </c>
      <c r="L110" s="2" t="str">
        <v>Patterson LLC</v>
      </c>
      <c r="M110" s="2">
        <v>294.02</v>
      </c>
      <c r="N110" s="16">
        <f t="shared" si="1"/>
        <v>0.23854937262941064</v>
      </c>
    </row>
    <row r="111" spans="2:14" ht="14.4" customHeight="1" x14ac:dyDescent="0.3">
      <c r="B111" s="2" t="s">
        <v>116</v>
      </c>
      <c r="C111" s="3">
        <v>44974</v>
      </c>
      <c r="D111" s="2" t="s">
        <v>2012</v>
      </c>
      <c r="E111" s="2" t="s">
        <v>2082</v>
      </c>
      <c r="F111" s="4">
        <v>3675.57</v>
      </c>
      <c r="G111" s="5">
        <v>672.7</v>
      </c>
      <c r="H111" s="6">
        <v>7</v>
      </c>
      <c r="I111" s="2" t="s">
        <v>2117</v>
      </c>
      <c r="J111" s="2" t="str">
        <v>Re-Contextualize Viral Markets</v>
      </c>
      <c r="K111" s="2" t="str">
        <v>Electronics</v>
      </c>
      <c r="L111" s="2" t="str">
        <v>Meadows-Barber</v>
      </c>
      <c r="M111" s="2">
        <v>177.52</v>
      </c>
      <c r="N111" s="16">
        <f t="shared" si="1"/>
        <v>0.18301923239116655</v>
      </c>
    </row>
    <row r="112" spans="2:14" ht="14.4" customHeight="1" x14ac:dyDescent="0.3">
      <c r="B112" s="2" t="s">
        <v>117</v>
      </c>
      <c r="C112" s="3">
        <v>44144</v>
      </c>
      <c r="D112" s="2" t="s">
        <v>2011</v>
      </c>
      <c r="E112" s="2" t="s">
        <v>2024</v>
      </c>
      <c r="F112" s="4">
        <v>1729.87</v>
      </c>
      <c r="G112" s="5">
        <v>119.79</v>
      </c>
      <c r="H112" s="6">
        <v>5</v>
      </c>
      <c r="I112" s="2" t="s">
        <v>2116</v>
      </c>
      <c r="J112" s="2" t="str">
        <v>Target Viral Methodologies</v>
      </c>
      <c r="K112" s="2" t="str">
        <v>Electronics</v>
      </c>
      <c r="L112" s="2" t="str">
        <v>Alvarez, Myers and Walter</v>
      </c>
      <c r="M112" s="2">
        <v>149.26</v>
      </c>
      <c r="N112" s="16">
        <f t="shared" si="1"/>
        <v>6.9247978171770141E-2</v>
      </c>
    </row>
    <row r="113" spans="2:14" ht="14.4" customHeight="1" x14ac:dyDescent="0.3">
      <c r="B113" s="27" t="s">
        <v>118</v>
      </c>
      <c r="C113" s="29">
        <v>44072</v>
      </c>
      <c r="D113" s="27" t="s">
        <v>2011</v>
      </c>
      <c r="E113" s="27" t="s">
        <v>2074</v>
      </c>
      <c r="F113" s="24">
        <v>195.33</v>
      </c>
      <c r="G113" s="25">
        <v>843.64</v>
      </c>
      <c r="H113" s="26">
        <v>8</v>
      </c>
      <c r="I113" s="27" t="s">
        <v>2116</v>
      </c>
      <c r="J113" s="27" t="str">
        <v>Utilize Ubiquitous Synergies</v>
      </c>
      <c r="K113" s="27" t="str">
        <v>Electronics</v>
      </c>
      <c r="L113" s="27" t="str">
        <v>Kramer, Huang and Shaw</v>
      </c>
      <c r="M113" s="27">
        <v>295.89999999999998</v>
      </c>
      <c r="N113" s="28">
        <f t="shared" si="1"/>
        <v>4.3190498131367425</v>
      </c>
    </row>
    <row r="114" spans="2:14" ht="14.4" customHeight="1" x14ac:dyDescent="0.3">
      <c r="B114" s="2" t="s">
        <v>119</v>
      </c>
      <c r="C114" s="3">
        <v>44316</v>
      </c>
      <c r="D114" s="2" t="s">
        <v>2012</v>
      </c>
      <c r="E114" s="2" t="s">
        <v>2083</v>
      </c>
      <c r="F114" s="4">
        <v>2923.5</v>
      </c>
      <c r="G114" s="5">
        <v>134.44</v>
      </c>
      <c r="H114" s="6">
        <v>3</v>
      </c>
      <c r="I114" s="2" t="s">
        <v>2116</v>
      </c>
      <c r="J114" s="2" t="str">
        <v>Whiteboard Sticky Content</v>
      </c>
      <c r="K114" s="2" t="str">
        <v>Furniture</v>
      </c>
      <c r="L114" s="2" t="str">
        <v>Wolfe Group</v>
      </c>
      <c r="M114" s="2">
        <v>82.16</v>
      </c>
      <c r="N114" s="16">
        <f t="shared" si="1"/>
        <v>4.5985975714041387E-2</v>
      </c>
    </row>
    <row r="115" spans="2:14" ht="14.4" customHeight="1" x14ac:dyDescent="0.3">
      <c r="B115" s="2" t="s">
        <v>120</v>
      </c>
      <c r="C115" s="3">
        <v>44270</v>
      </c>
      <c r="D115" s="2" t="s">
        <v>2010</v>
      </c>
      <c r="E115" s="2" t="s">
        <v>2013</v>
      </c>
      <c r="F115" s="4">
        <v>639.13</v>
      </c>
      <c r="G115" s="5">
        <v>168.42</v>
      </c>
      <c r="H115" s="6">
        <v>1</v>
      </c>
      <c r="I115" s="2" t="s">
        <v>2117</v>
      </c>
      <c r="J115" s="2" t="str">
        <v>Re-Intermediate Seamless Applications</v>
      </c>
      <c r="K115" s="2" t="str">
        <v>Office Supplies</v>
      </c>
      <c r="L115" s="2" t="str">
        <v>Welch-Reed</v>
      </c>
      <c r="M115" s="2">
        <v>45.82</v>
      </c>
      <c r="N115" s="16">
        <f t="shared" si="1"/>
        <v>0.26351446497582648</v>
      </c>
    </row>
    <row r="116" spans="2:14" ht="14.4" customHeight="1" x14ac:dyDescent="0.3">
      <c r="B116" s="2" t="s">
        <v>121</v>
      </c>
      <c r="C116" s="3">
        <v>44016</v>
      </c>
      <c r="D116" s="2" t="s">
        <v>2009</v>
      </c>
      <c r="E116" s="2" t="s">
        <v>2036</v>
      </c>
      <c r="F116" s="4">
        <v>2832.75</v>
      </c>
      <c r="G116" s="5">
        <v>384.31</v>
      </c>
      <c r="H116" s="6">
        <v>19</v>
      </c>
      <c r="I116" s="2" t="s">
        <v>2118</v>
      </c>
      <c r="J116" s="2" t="str">
        <v>Innovate Strategic Systems</v>
      </c>
      <c r="K116" s="2" t="str">
        <v>Office Supplies</v>
      </c>
      <c r="L116" s="2" t="str">
        <v>Mcfarland, Parker and Armstrong</v>
      </c>
      <c r="M116" s="2">
        <v>70.239999999999995</v>
      </c>
      <c r="N116" s="16">
        <f t="shared" si="1"/>
        <v>0.13566675492013061</v>
      </c>
    </row>
    <row r="117" spans="2:14" ht="14.4" customHeight="1" x14ac:dyDescent="0.3">
      <c r="B117" s="2" t="s">
        <v>122</v>
      </c>
      <c r="C117" s="3">
        <v>44966</v>
      </c>
      <c r="D117" s="2" t="s">
        <v>2012</v>
      </c>
      <c r="E117" s="2" t="s">
        <v>2038</v>
      </c>
      <c r="F117" s="4">
        <v>3777.35</v>
      </c>
      <c r="G117" s="5">
        <v>139.49</v>
      </c>
      <c r="H117" s="6">
        <v>2</v>
      </c>
      <c r="I117" s="2" t="s">
        <v>2118</v>
      </c>
      <c r="J117" s="2" t="str">
        <v>Reinvent Mission-Critical Markets</v>
      </c>
      <c r="K117" s="2" t="str">
        <v>Furniture</v>
      </c>
      <c r="L117" s="2" t="str">
        <v>Gilbert-Sanders</v>
      </c>
      <c r="M117" s="2">
        <v>154.21</v>
      </c>
      <c r="N117" s="16">
        <f t="shared" si="1"/>
        <v>3.6928005082928511E-2</v>
      </c>
    </row>
    <row r="118" spans="2:14" ht="14.4" customHeight="1" x14ac:dyDescent="0.3">
      <c r="B118" s="2" t="s">
        <v>123</v>
      </c>
      <c r="C118" s="3">
        <v>44636</v>
      </c>
      <c r="D118" s="2" t="s">
        <v>2012</v>
      </c>
      <c r="E118" s="2" t="s">
        <v>2061</v>
      </c>
      <c r="F118" s="4">
        <v>2239.63</v>
      </c>
      <c r="G118" s="5">
        <v>763.75</v>
      </c>
      <c r="H118" s="6">
        <v>1</v>
      </c>
      <c r="I118" s="2" t="s">
        <v>2117</v>
      </c>
      <c r="J118" s="2" t="str">
        <v>Optimize Collaborative Initiatives</v>
      </c>
      <c r="K118" s="2" t="str">
        <v>Electronics</v>
      </c>
      <c r="L118" s="2" t="str">
        <v>Adkins Ltd</v>
      </c>
      <c r="M118" s="2">
        <v>34.46</v>
      </c>
      <c r="N118" s="16">
        <f t="shared" si="1"/>
        <v>0.34101614998906066</v>
      </c>
    </row>
    <row r="119" spans="2:14" ht="14.4" customHeight="1" x14ac:dyDescent="0.3">
      <c r="B119" s="2" t="s">
        <v>124</v>
      </c>
      <c r="C119" s="3">
        <v>44266</v>
      </c>
      <c r="D119" s="2" t="s">
        <v>2010</v>
      </c>
      <c r="E119" s="2" t="s">
        <v>2044</v>
      </c>
      <c r="F119" s="4">
        <v>685.74</v>
      </c>
      <c r="G119" s="5">
        <v>939.28</v>
      </c>
      <c r="H119" s="6">
        <v>20</v>
      </c>
      <c r="I119" s="2" t="s">
        <v>2117</v>
      </c>
      <c r="J119" s="2" t="str">
        <v>Grow Back-End Supply-Chains</v>
      </c>
      <c r="K119" s="2" t="str">
        <v>Electronics</v>
      </c>
      <c r="L119" s="2" t="str">
        <v>Green LLC</v>
      </c>
      <c r="M119" s="2">
        <v>140.08000000000001</v>
      </c>
      <c r="N119" s="16">
        <f t="shared" si="1"/>
        <v>1.3697319683845188</v>
      </c>
    </row>
    <row r="120" spans="2:14" ht="14.4" customHeight="1" x14ac:dyDescent="0.3">
      <c r="B120" s="2" t="s">
        <v>125</v>
      </c>
      <c r="C120" s="3">
        <v>44596</v>
      </c>
      <c r="D120" s="2" t="s">
        <v>2012</v>
      </c>
      <c r="E120" s="2" t="s">
        <v>2039</v>
      </c>
      <c r="F120" s="4">
        <v>2271.3200000000002</v>
      </c>
      <c r="G120" s="5">
        <v>876.32</v>
      </c>
      <c r="H120" s="6">
        <v>7</v>
      </c>
      <c r="I120" s="2" t="s">
        <v>2116</v>
      </c>
      <c r="J120" s="2" t="str">
        <v>Empower Dot-Com Deliverables</v>
      </c>
      <c r="K120" s="2" t="str">
        <v>Electronics</v>
      </c>
      <c r="L120" s="2" t="str">
        <v>Davis LLC</v>
      </c>
      <c r="M120" s="2">
        <v>250.66</v>
      </c>
      <c r="N120" s="16">
        <f t="shared" si="1"/>
        <v>0.3858196995579663</v>
      </c>
    </row>
    <row r="121" spans="2:14" ht="14.4" customHeight="1" x14ac:dyDescent="0.3">
      <c r="B121" s="2" t="s">
        <v>126</v>
      </c>
      <c r="C121" s="3">
        <v>44405</v>
      </c>
      <c r="D121" s="2" t="s">
        <v>2010</v>
      </c>
      <c r="E121" s="2" t="s">
        <v>2073</v>
      </c>
      <c r="F121" s="4">
        <v>256.39999999999998</v>
      </c>
      <c r="G121" s="5">
        <v>839.85</v>
      </c>
      <c r="H121" s="6">
        <v>4</v>
      </c>
      <c r="I121" s="2" t="s">
        <v>2118</v>
      </c>
      <c r="J121" s="2" t="str">
        <v>Visualize Dynamic E-Commerce</v>
      </c>
      <c r="K121" s="2" t="str">
        <v>Furniture</v>
      </c>
      <c r="L121" s="2" t="str">
        <v>Jones LLC</v>
      </c>
      <c r="M121" s="2">
        <v>92.61</v>
      </c>
      <c r="N121" s="16">
        <f t="shared" si="1"/>
        <v>3.2755460218408738</v>
      </c>
    </row>
    <row r="122" spans="2:14" ht="14.4" customHeight="1" x14ac:dyDescent="0.3">
      <c r="B122" s="2" t="s">
        <v>127</v>
      </c>
      <c r="C122" s="3">
        <v>45133</v>
      </c>
      <c r="D122" s="2" t="s">
        <v>2012</v>
      </c>
      <c r="E122" s="2" t="s">
        <v>2029</v>
      </c>
      <c r="F122" s="4">
        <v>1491.89</v>
      </c>
      <c r="G122" s="5">
        <v>170.24</v>
      </c>
      <c r="H122" s="6">
        <v>9</v>
      </c>
      <c r="I122" s="2" t="s">
        <v>2117</v>
      </c>
      <c r="J122" s="2" t="str">
        <v>E-Enable Next-Generation Experiences</v>
      </c>
      <c r="K122" s="2" t="str">
        <v>Furniture</v>
      </c>
      <c r="L122" s="2" t="str">
        <v>Sanchez-Quinn</v>
      </c>
      <c r="M122" s="2">
        <v>266.93</v>
      </c>
      <c r="N122" s="16">
        <f t="shared" si="1"/>
        <v>0.11411028963261366</v>
      </c>
    </row>
    <row r="123" spans="2:14" ht="14.4" customHeight="1" x14ac:dyDescent="0.3">
      <c r="B123" s="2" t="s">
        <v>128</v>
      </c>
      <c r="C123" s="3">
        <v>45595</v>
      </c>
      <c r="D123" s="2" t="s">
        <v>2011</v>
      </c>
      <c r="E123" s="2" t="s">
        <v>2055</v>
      </c>
      <c r="F123" s="4">
        <v>2937.57</v>
      </c>
      <c r="G123" s="5">
        <v>358.77</v>
      </c>
      <c r="H123" s="6">
        <v>9</v>
      </c>
      <c r="I123" s="2" t="s">
        <v>2116</v>
      </c>
      <c r="J123" s="2" t="str">
        <v>Engineer Real-Time Architectures</v>
      </c>
      <c r="K123" s="2" t="str">
        <v>Furniture</v>
      </c>
      <c r="L123" s="2" t="str">
        <v>James and Sons</v>
      </c>
      <c r="M123" s="2">
        <v>127.23</v>
      </c>
      <c r="N123" s="16">
        <f t="shared" si="1"/>
        <v>0.12213155771607144</v>
      </c>
    </row>
    <row r="124" spans="2:14" ht="14.4" customHeight="1" x14ac:dyDescent="0.3">
      <c r="B124" s="2" t="s">
        <v>129</v>
      </c>
      <c r="C124" s="3">
        <v>44996</v>
      </c>
      <c r="D124" s="2" t="s">
        <v>2010</v>
      </c>
      <c r="E124" s="2" t="s">
        <v>2013</v>
      </c>
      <c r="F124" s="4">
        <v>2768.6</v>
      </c>
      <c r="G124" s="5">
        <v>199.98</v>
      </c>
      <c r="H124" s="6">
        <v>2</v>
      </c>
      <c r="I124" s="2" t="s">
        <v>2117</v>
      </c>
      <c r="J124" s="2" t="str">
        <v>Re-Intermediate Seamless Applications</v>
      </c>
      <c r="K124" s="2" t="str">
        <v>Office Supplies</v>
      </c>
      <c r="L124" s="2" t="str">
        <v>Welch-Reed</v>
      </c>
      <c r="M124" s="2">
        <v>45.82</v>
      </c>
      <c r="N124" s="16">
        <f t="shared" si="1"/>
        <v>7.2231452719786177E-2</v>
      </c>
    </row>
    <row r="125" spans="2:14" ht="14.4" customHeight="1" x14ac:dyDescent="0.3">
      <c r="B125" s="2" t="s">
        <v>130</v>
      </c>
      <c r="C125" s="3">
        <v>44628</v>
      </c>
      <c r="D125" s="2" t="s">
        <v>2009</v>
      </c>
      <c r="E125" s="2" t="s">
        <v>2084</v>
      </c>
      <c r="F125" s="4">
        <v>2167.1</v>
      </c>
      <c r="G125" s="5">
        <v>632.48</v>
      </c>
      <c r="H125" s="6">
        <v>4</v>
      </c>
      <c r="I125" s="2" t="s">
        <v>2118</v>
      </c>
      <c r="J125" s="2" t="str">
        <v>Grow Synergistic Infrastructures</v>
      </c>
      <c r="K125" s="2" t="str">
        <v>Furniture</v>
      </c>
      <c r="L125" s="2" t="str">
        <v>Adams-Carter</v>
      </c>
      <c r="M125" s="2">
        <v>113.17</v>
      </c>
      <c r="N125" s="16">
        <f t="shared" si="1"/>
        <v>0.29185547505883441</v>
      </c>
    </row>
    <row r="126" spans="2:14" ht="14.4" customHeight="1" x14ac:dyDescent="0.3">
      <c r="B126" s="2" t="s">
        <v>131</v>
      </c>
      <c r="C126" s="3">
        <v>44167</v>
      </c>
      <c r="D126" s="2" t="s">
        <v>2012</v>
      </c>
      <c r="E126" s="2" t="s">
        <v>2085</v>
      </c>
      <c r="F126" s="4">
        <v>2265.2399999999998</v>
      </c>
      <c r="G126" s="5">
        <v>75.39</v>
      </c>
      <c r="H126" s="6">
        <v>2</v>
      </c>
      <c r="I126" s="2" t="s">
        <v>2117</v>
      </c>
      <c r="J126" s="2" t="str">
        <v>Incentivize User-Centric Mindshare</v>
      </c>
      <c r="K126" s="2" t="str">
        <v>Electronics</v>
      </c>
      <c r="L126" s="2" t="str">
        <v>Becker, Wright and Wong</v>
      </c>
      <c r="M126" s="2">
        <v>38.51</v>
      </c>
      <c r="N126" s="16">
        <f t="shared" si="1"/>
        <v>3.3281241722731371E-2</v>
      </c>
    </row>
    <row r="127" spans="2:14" ht="14.4" customHeight="1" x14ac:dyDescent="0.3">
      <c r="B127" s="2" t="s">
        <v>132</v>
      </c>
      <c r="C127" s="3">
        <v>44854</v>
      </c>
      <c r="D127" s="2" t="s">
        <v>2012</v>
      </c>
      <c r="E127" s="2" t="s">
        <v>2069</v>
      </c>
      <c r="F127" s="4">
        <v>3647.86</v>
      </c>
      <c r="G127" s="5">
        <v>906.62</v>
      </c>
      <c r="H127" s="6">
        <v>8</v>
      </c>
      <c r="I127" s="2" t="s">
        <v>2117</v>
      </c>
      <c r="J127" s="2" t="str">
        <v>Optimize Transparent E-Markets</v>
      </c>
      <c r="K127" s="2" t="str">
        <v>Office Supplies</v>
      </c>
      <c r="L127" s="2" t="str">
        <v>Lee, Tyler and Blevins</v>
      </c>
      <c r="M127" s="2">
        <v>111.22</v>
      </c>
      <c r="N127" s="16">
        <f t="shared" si="1"/>
        <v>0.24853475736459182</v>
      </c>
    </row>
    <row r="128" spans="2:14" ht="14.4" customHeight="1" x14ac:dyDescent="0.3">
      <c r="B128" s="2" t="s">
        <v>133</v>
      </c>
      <c r="C128" s="3">
        <v>44631</v>
      </c>
      <c r="D128" s="2" t="s">
        <v>2009</v>
      </c>
      <c r="E128" s="2" t="s">
        <v>2049</v>
      </c>
      <c r="F128" s="4">
        <v>2665.73</v>
      </c>
      <c r="G128" s="5">
        <v>80.39</v>
      </c>
      <c r="H128" s="6">
        <v>4</v>
      </c>
      <c r="I128" s="2" t="s">
        <v>2118</v>
      </c>
      <c r="J128" s="2" t="str">
        <v>Scale 24/365 Networks</v>
      </c>
      <c r="K128" s="2" t="str">
        <v>Furniture</v>
      </c>
      <c r="L128" s="2" t="str">
        <v>Kim-Hamilton</v>
      </c>
      <c r="M128" s="2">
        <v>157.55000000000001</v>
      </c>
      <c r="N128" s="16">
        <f t="shared" si="1"/>
        <v>3.0156842590960076E-2</v>
      </c>
    </row>
    <row r="129" spans="2:14" ht="14.4" customHeight="1" x14ac:dyDescent="0.3">
      <c r="B129" s="2" t="s">
        <v>134</v>
      </c>
      <c r="C129" s="3">
        <v>44618</v>
      </c>
      <c r="D129" s="2" t="s">
        <v>2011</v>
      </c>
      <c r="E129" s="2" t="s">
        <v>2056</v>
      </c>
      <c r="F129" s="4">
        <v>4087.08</v>
      </c>
      <c r="G129" s="5">
        <v>207.95</v>
      </c>
      <c r="H129" s="6">
        <v>8</v>
      </c>
      <c r="I129" s="2" t="s">
        <v>2116</v>
      </c>
      <c r="J129" s="2" t="str">
        <v>Mesh Intuitive Supply-Chains</v>
      </c>
      <c r="K129" s="2" t="str">
        <v>Electronics</v>
      </c>
      <c r="L129" s="2" t="str">
        <v>Soto, Barnett and Heath</v>
      </c>
      <c r="M129" s="2">
        <v>281</v>
      </c>
      <c r="N129" s="16">
        <f t="shared" si="1"/>
        <v>5.0879845757851566E-2</v>
      </c>
    </row>
    <row r="130" spans="2:14" ht="14.4" customHeight="1" x14ac:dyDescent="0.3">
      <c r="B130" s="2" t="s">
        <v>135</v>
      </c>
      <c r="C130" s="3">
        <v>44873</v>
      </c>
      <c r="D130" s="2" t="s">
        <v>2012</v>
      </c>
      <c r="E130" s="2" t="s">
        <v>2086</v>
      </c>
      <c r="F130" s="4">
        <v>4777.8599999999997</v>
      </c>
      <c r="G130" s="5">
        <v>458.06</v>
      </c>
      <c r="H130" s="6">
        <v>5</v>
      </c>
      <c r="I130" s="2" t="s">
        <v>2118</v>
      </c>
      <c r="J130" s="2" t="str">
        <v>Harness Proactive Eyeballs</v>
      </c>
      <c r="K130" s="2" t="str">
        <v>Electronics</v>
      </c>
      <c r="L130" s="2" t="str">
        <v>Moran and Sons</v>
      </c>
      <c r="M130" s="2">
        <v>58.01</v>
      </c>
      <c r="N130" s="16">
        <f t="shared" si="1"/>
        <v>9.5871373376365157E-2</v>
      </c>
    </row>
    <row r="131" spans="2:14" ht="14.4" customHeight="1" x14ac:dyDescent="0.3">
      <c r="B131" s="2" t="s">
        <v>136</v>
      </c>
      <c r="C131" s="3">
        <v>44982</v>
      </c>
      <c r="D131" s="2" t="s">
        <v>2009</v>
      </c>
      <c r="E131" s="2" t="s">
        <v>2043</v>
      </c>
      <c r="F131" s="4">
        <v>641.27</v>
      </c>
      <c r="G131" s="5">
        <v>865.72</v>
      </c>
      <c r="H131" s="6">
        <v>14</v>
      </c>
      <c r="I131" s="2" t="s">
        <v>2118</v>
      </c>
      <c r="J131" s="2" t="str">
        <v>Brand Distributed Info-Mediaries</v>
      </c>
      <c r="K131" s="2" t="str">
        <v>Furniture</v>
      </c>
      <c r="L131" s="2" t="str">
        <v>Garcia Ltd</v>
      </c>
      <c r="M131" s="2">
        <v>114.48</v>
      </c>
      <c r="N131" s="16">
        <f t="shared" si="1"/>
        <v>1.3500085767305503</v>
      </c>
    </row>
    <row r="132" spans="2:14" ht="14.4" customHeight="1" x14ac:dyDescent="0.3">
      <c r="B132" s="2" t="s">
        <v>137</v>
      </c>
      <c r="C132" s="3">
        <v>45289</v>
      </c>
      <c r="D132" s="2" t="s">
        <v>2012</v>
      </c>
      <c r="E132" s="2" t="s">
        <v>2064</v>
      </c>
      <c r="F132" s="4">
        <v>1738.23</v>
      </c>
      <c r="G132" s="5">
        <v>284.85000000000002</v>
      </c>
      <c r="H132" s="6">
        <v>7</v>
      </c>
      <c r="I132" s="2" t="s">
        <v>2116</v>
      </c>
      <c r="J132" s="2" t="str">
        <v>Synergize E-Business Deliverables</v>
      </c>
      <c r="K132" s="2" t="str">
        <v>Electronics</v>
      </c>
      <c r="L132" s="2" t="str">
        <v>Crawford, Warren and Williams</v>
      </c>
      <c r="M132" s="2">
        <v>125.93</v>
      </c>
      <c r="N132" s="16">
        <f t="shared" si="1"/>
        <v>0.16387359555409814</v>
      </c>
    </row>
    <row r="133" spans="2:14" ht="14.4" customHeight="1" x14ac:dyDescent="0.3">
      <c r="B133" s="2" t="s">
        <v>138</v>
      </c>
      <c r="C133" s="3">
        <v>44541</v>
      </c>
      <c r="D133" s="2" t="s">
        <v>2011</v>
      </c>
      <c r="E133" s="2" t="s">
        <v>2087</v>
      </c>
      <c r="F133" s="4">
        <v>3693.88</v>
      </c>
      <c r="G133" s="5">
        <v>733.18</v>
      </c>
      <c r="H133" s="6">
        <v>10</v>
      </c>
      <c r="I133" s="2" t="s">
        <v>2117</v>
      </c>
      <c r="J133" s="2" t="str">
        <v>Empower Seamless Roi</v>
      </c>
      <c r="K133" s="2" t="str">
        <v>Office Supplies</v>
      </c>
      <c r="L133" s="2" t="str">
        <v>Proctor Group</v>
      </c>
      <c r="M133" s="2">
        <v>266.64999999999998</v>
      </c>
      <c r="N133" s="16">
        <f t="shared" ref="N133:N196" si="2">(G133/F133)</f>
        <v>0.19848506177785957</v>
      </c>
    </row>
    <row r="134" spans="2:14" ht="14.4" customHeight="1" x14ac:dyDescent="0.3">
      <c r="B134" s="2" t="s">
        <v>139</v>
      </c>
      <c r="C134" s="3">
        <v>44492</v>
      </c>
      <c r="D134" s="2" t="s">
        <v>2009</v>
      </c>
      <c r="E134" s="2" t="s">
        <v>2083</v>
      </c>
      <c r="F134" s="4">
        <v>4480.79</v>
      </c>
      <c r="G134" s="5">
        <v>137.77000000000001</v>
      </c>
      <c r="H134" s="6">
        <v>10</v>
      </c>
      <c r="I134" s="2" t="s">
        <v>2117</v>
      </c>
      <c r="J134" s="2" t="str">
        <v>Whiteboard Sticky Content</v>
      </c>
      <c r="K134" s="2" t="str">
        <v>Furniture</v>
      </c>
      <c r="L134" s="2" t="str">
        <v>Wolfe Group</v>
      </c>
      <c r="M134" s="2">
        <v>82.16</v>
      </c>
      <c r="N134" s="16">
        <f t="shared" si="2"/>
        <v>3.0746810272295737E-2</v>
      </c>
    </row>
    <row r="135" spans="2:14" ht="14.4" customHeight="1" x14ac:dyDescent="0.3">
      <c r="B135" s="2" t="s">
        <v>140</v>
      </c>
      <c r="C135" s="3">
        <v>44913</v>
      </c>
      <c r="D135" s="2" t="s">
        <v>2012</v>
      </c>
      <c r="E135" s="2" t="s">
        <v>2087</v>
      </c>
      <c r="F135" s="4">
        <v>1203.18</v>
      </c>
      <c r="G135" s="5">
        <v>365.08</v>
      </c>
      <c r="H135" s="6">
        <v>18</v>
      </c>
      <c r="I135" s="2" t="s">
        <v>2117</v>
      </c>
      <c r="J135" s="2" t="str">
        <v>Empower Seamless Roi</v>
      </c>
      <c r="K135" s="2" t="str">
        <v>Office Supplies</v>
      </c>
      <c r="L135" s="2" t="str">
        <v>Proctor Group</v>
      </c>
      <c r="M135" s="2">
        <v>266.64999999999998</v>
      </c>
      <c r="N135" s="16">
        <f t="shared" si="2"/>
        <v>0.3034292458318788</v>
      </c>
    </row>
    <row r="136" spans="2:14" ht="14.4" customHeight="1" x14ac:dyDescent="0.3">
      <c r="B136" s="2" t="s">
        <v>141</v>
      </c>
      <c r="C136" s="3">
        <v>44106</v>
      </c>
      <c r="D136" s="2" t="s">
        <v>2012</v>
      </c>
      <c r="E136" s="2" t="s">
        <v>2072</v>
      </c>
      <c r="F136" s="4">
        <v>4075.22</v>
      </c>
      <c r="G136" s="5">
        <v>840.06</v>
      </c>
      <c r="H136" s="6">
        <v>1</v>
      </c>
      <c r="I136" s="2" t="s">
        <v>2117</v>
      </c>
      <c r="J136" s="2" t="str">
        <v>Evolve Innovative Web Services</v>
      </c>
      <c r="K136" s="2" t="str">
        <v>Furniture</v>
      </c>
      <c r="L136" s="2" t="str">
        <v>Bush Inc</v>
      </c>
      <c r="M136" s="2">
        <v>87.75</v>
      </c>
      <c r="N136" s="16">
        <f t="shared" si="2"/>
        <v>0.20613856429836916</v>
      </c>
    </row>
    <row r="137" spans="2:14" ht="14.4" customHeight="1" x14ac:dyDescent="0.3">
      <c r="B137" s="2" t="s">
        <v>142</v>
      </c>
      <c r="C137" s="3">
        <v>43883</v>
      </c>
      <c r="D137" s="2" t="s">
        <v>2011</v>
      </c>
      <c r="E137" s="2" t="s">
        <v>2038</v>
      </c>
      <c r="F137" s="4">
        <v>2468.8000000000002</v>
      </c>
      <c r="G137" s="5">
        <v>427.74</v>
      </c>
      <c r="H137" s="6">
        <v>1</v>
      </c>
      <c r="I137" s="2" t="s">
        <v>2116</v>
      </c>
      <c r="J137" s="2" t="str">
        <v>Reinvent Mission-Critical Markets</v>
      </c>
      <c r="K137" s="2" t="str">
        <v>Furniture</v>
      </c>
      <c r="L137" s="2" t="str">
        <v>Gilbert-Sanders</v>
      </c>
      <c r="M137" s="2">
        <v>154.21</v>
      </c>
      <c r="N137" s="16">
        <f t="shared" si="2"/>
        <v>0.17325826312378484</v>
      </c>
    </row>
    <row r="138" spans="2:14" ht="14.4" customHeight="1" x14ac:dyDescent="0.3">
      <c r="B138" s="2" t="s">
        <v>143</v>
      </c>
      <c r="C138" s="3">
        <v>44338</v>
      </c>
      <c r="D138" s="2" t="s">
        <v>2012</v>
      </c>
      <c r="E138" s="2" t="s">
        <v>2049</v>
      </c>
      <c r="F138" s="4">
        <v>3101.77</v>
      </c>
      <c r="G138" s="5">
        <v>948.71</v>
      </c>
      <c r="H138" s="6">
        <v>4</v>
      </c>
      <c r="I138" s="2" t="s">
        <v>2116</v>
      </c>
      <c r="J138" s="2" t="str">
        <v>Scale 24/365 Networks</v>
      </c>
      <c r="K138" s="2" t="str">
        <v>Furniture</v>
      </c>
      <c r="L138" s="2" t="str">
        <v>Kim-Hamilton</v>
      </c>
      <c r="M138" s="2">
        <v>157.55000000000001</v>
      </c>
      <c r="N138" s="16">
        <f t="shared" si="2"/>
        <v>0.3058608471936991</v>
      </c>
    </row>
    <row r="139" spans="2:14" ht="14.4" customHeight="1" x14ac:dyDescent="0.3">
      <c r="B139" s="2" t="s">
        <v>144</v>
      </c>
      <c r="C139" s="3">
        <v>44565</v>
      </c>
      <c r="D139" s="2" t="s">
        <v>2009</v>
      </c>
      <c r="E139" s="2" t="s">
        <v>2023</v>
      </c>
      <c r="F139" s="4">
        <v>812.1</v>
      </c>
      <c r="G139" s="5">
        <v>331.59</v>
      </c>
      <c r="H139" s="6">
        <v>15</v>
      </c>
      <c r="I139" s="2" t="s">
        <v>2116</v>
      </c>
      <c r="J139" s="2" t="str">
        <v>Leverage Cutting-Edge Vortals</v>
      </c>
      <c r="K139" s="2" t="str">
        <v>Electronics</v>
      </c>
      <c r="L139" s="2" t="str">
        <v>Robinson, Garrett and Chavez</v>
      </c>
      <c r="M139" s="2">
        <v>117.3</v>
      </c>
      <c r="N139" s="16">
        <f t="shared" si="2"/>
        <v>0.40831178426302173</v>
      </c>
    </row>
    <row r="140" spans="2:14" ht="14.4" customHeight="1" x14ac:dyDescent="0.3">
      <c r="B140" s="2" t="s">
        <v>145</v>
      </c>
      <c r="C140" s="3">
        <v>44503</v>
      </c>
      <c r="D140" s="2" t="s">
        <v>2009</v>
      </c>
      <c r="E140" s="2" t="s">
        <v>2021</v>
      </c>
      <c r="F140" s="4">
        <v>208.41</v>
      </c>
      <c r="G140" s="5">
        <v>76.42</v>
      </c>
      <c r="H140" s="6">
        <v>17</v>
      </c>
      <c r="I140" s="2" t="s">
        <v>2118</v>
      </c>
      <c r="J140" s="2" t="str">
        <v>Whiteboard Compelling Experiences</v>
      </c>
      <c r="K140" s="2" t="str">
        <v>Furniture</v>
      </c>
      <c r="L140" s="2" t="str">
        <v>Carrillo, Carr and Ball</v>
      </c>
      <c r="M140" s="2">
        <v>206.54</v>
      </c>
      <c r="N140" s="16">
        <f t="shared" si="2"/>
        <v>0.36668106136941608</v>
      </c>
    </row>
    <row r="141" spans="2:14" ht="14.4" customHeight="1" x14ac:dyDescent="0.3">
      <c r="B141" s="2" t="s">
        <v>146</v>
      </c>
      <c r="C141" s="3">
        <v>45537</v>
      </c>
      <c r="D141" s="2" t="s">
        <v>2012</v>
      </c>
      <c r="E141" s="2" t="s">
        <v>2017</v>
      </c>
      <c r="F141" s="4">
        <v>601.79</v>
      </c>
      <c r="G141" s="5">
        <v>203.76</v>
      </c>
      <c r="H141" s="6">
        <v>6</v>
      </c>
      <c r="I141" s="2" t="s">
        <v>2116</v>
      </c>
      <c r="J141" s="2" t="str">
        <v>Target Bricks-And-Clicks Channels</v>
      </c>
      <c r="K141" s="2" t="str">
        <v>Electronics</v>
      </c>
      <c r="L141" s="2" t="str">
        <v>Dunn, Christensen and Meyer</v>
      </c>
      <c r="M141" s="2">
        <v>126.86</v>
      </c>
      <c r="N141" s="16">
        <f t="shared" si="2"/>
        <v>0.33858987354392728</v>
      </c>
    </row>
    <row r="142" spans="2:14" ht="14.4" customHeight="1" x14ac:dyDescent="0.3">
      <c r="B142" s="2" t="s">
        <v>147</v>
      </c>
      <c r="C142" s="3">
        <v>45242</v>
      </c>
      <c r="D142" s="2" t="s">
        <v>2010</v>
      </c>
      <c r="E142" s="2" t="s">
        <v>2048</v>
      </c>
      <c r="F142" s="4">
        <v>1113.25</v>
      </c>
      <c r="G142" s="5">
        <v>659.07</v>
      </c>
      <c r="H142" s="6">
        <v>4</v>
      </c>
      <c r="I142" s="2" t="s">
        <v>2117</v>
      </c>
      <c r="J142" s="2" t="str">
        <v>Drive Compelling E-Services</v>
      </c>
      <c r="K142" s="2" t="str">
        <v>Office Supplies</v>
      </c>
      <c r="L142" s="2" t="str">
        <v>Morris-Villanueva</v>
      </c>
      <c r="M142" s="2">
        <v>27.22</v>
      </c>
      <c r="N142" s="16">
        <f t="shared" si="2"/>
        <v>0.59202335504154502</v>
      </c>
    </row>
    <row r="143" spans="2:14" ht="14.4" customHeight="1" x14ac:dyDescent="0.3">
      <c r="B143" s="2" t="s">
        <v>148</v>
      </c>
      <c r="C143" s="3">
        <v>45199</v>
      </c>
      <c r="D143" s="2" t="s">
        <v>2010</v>
      </c>
      <c r="E143" s="2" t="s">
        <v>2079</v>
      </c>
      <c r="F143" s="4">
        <v>4648.99</v>
      </c>
      <c r="G143" s="5">
        <v>209.64</v>
      </c>
      <c r="H143" s="6">
        <v>13</v>
      </c>
      <c r="I143" s="2" t="s">
        <v>2117</v>
      </c>
      <c r="J143" s="2" t="str">
        <v>Iterate Extensible Roi</v>
      </c>
      <c r="K143" s="2" t="str">
        <v>Office Supplies</v>
      </c>
      <c r="L143" s="2" t="str">
        <v>Hill-Kelly</v>
      </c>
      <c r="M143" s="2">
        <v>180</v>
      </c>
      <c r="N143" s="16">
        <f t="shared" si="2"/>
        <v>4.5093665505841055E-2</v>
      </c>
    </row>
    <row r="144" spans="2:14" ht="14.4" customHeight="1" x14ac:dyDescent="0.3">
      <c r="B144" s="2" t="s">
        <v>149</v>
      </c>
      <c r="C144" s="3">
        <v>45151</v>
      </c>
      <c r="D144" s="2" t="s">
        <v>2011</v>
      </c>
      <c r="E144" s="2" t="s">
        <v>2088</v>
      </c>
      <c r="F144" s="4">
        <v>428.54</v>
      </c>
      <c r="G144" s="5">
        <v>844.3</v>
      </c>
      <c r="H144" s="6">
        <v>3</v>
      </c>
      <c r="I144" s="2" t="s">
        <v>2116</v>
      </c>
      <c r="J144" s="2" t="str">
        <v>E-Enable Holistic Supply-Chains</v>
      </c>
      <c r="K144" s="2" t="str">
        <v>Furniture</v>
      </c>
      <c r="L144" s="2" t="str">
        <v>Lin-Mcdaniel</v>
      </c>
      <c r="M144" s="2">
        <v>160.33000000000001</v>
      </c>
      <c r="N144" s="16">
        <f t="shared" si="2"/>
        <v>1.9701778130396228</v>
      </c>
    </row>
    <row r="145" spans="2:14" ht="14.4" customHeight="1" x14ac:dyDescent="0.3">
      <c r="B145" s="2" t="s">
        <v>150</v>
      </c>
      <c r="C145" s="3">
        <v>45325</v>
      </c>
      <c r="D145" s="2" t="s">
        <v>2011</v>
      </c>
      <c r="E145" s="2" t="s">
        <v>2089</v>
      </c>
      <c r="F145" s="4">
        <v>2541.0100000000002</v>
      </c>
      <c r="G145" s="5">
        <v>608.61</v>
      </c>
      <c r="H145" s="6">
        <v>10</v>
      </c>
      <c r="I145" s="2" t="s">
        <v>2117</v>
      </c>
      <c r="J145" s="2" t="str">
        <v>Morph World-Class Synergies</v>
      </c>
      <c r="K145" s="2" t="str">
        <v>Electronics</v>
      </c>
      <c r="L145" s="2" t="str">
        <v>Bryant Ltd</v>
      </c>
      <c r="M145" s="2">
        <v>20.69</v>
      </c>
      <c r="N145" s="16">
        <f t="shared" si="2"/>
        <v>0.23951499600552534</v>
      </c>
    </row>
    <row r="146" spans="2:14" ht="14.4" customHeight="1" x14ac:dyDescent="0.3">
      <c r="B146" s="2" t="s">
        <v>151</v>
      </c>
      <c r="C146" s="3">
        <v>45435</v>
      </c>
      <c r="D146" s="2" t="s">
        <v>2011</v>
      </c>
      <c r="E146" s="2" t="s">
        <v>2090</v>
      </c>
      <c r="F146" s="4">
        <v>595.72</v>
      </c>
      <c r="G146" s="5">
        <v>380.99</v>
      </c>
      <c r="H146" s="6">
        <v>3</v>
      </c>
      <c r="I146" s="2" t="s">
        <v>2116</v>
      </c>
      <c r="J146" s="2" t="str">
        <v>Empower Bleeding-Edge Action-Items</v>
      </c>
      <c r="K146" s="2" t="str">
        <v>Furniture</v>
      </c>
      <c r="L146" s="2" t="str">
        <v>Gray, Hayes and Banks</v>
      </c>
      <c r="M146" s="2">
        <v>204.26</v>
      </c>
      <c r="N146" s="16">
        <f t="shared" si="2"/>
        <v>0.6395454240247096</v>
      </c>
    </row>
    <row r="147" spans="2:14" ht="14.4" customHeight="1" x14ac:dyDescent="0.3">
      <c r="B147" s="2" t="s">
        <v>152</v>
      </c>
      <c r="C147" s="3">
        <v>44185</v>
      </c>
      <c r="D147" s="2" t="s">
        <v>2010</v>
      </c>
      <c r="E147" s="2" t="s">
        <v>2091</v>
      </c>
      <c r="F147" s="4">
        <v>77.16</v>
      </c>
      <c r="G147" s="5">
        <v>542.99</v>
      </c>
      <c r="H147" s="6">
        <v>12</v>
      </c>
      <c r="I147" s="2" t="s">
        <v>2118</v>
      </c>
      <c r="J147" s="2" t="str">
        <v>Synthesize Scalable Portals</v>
      </c>
      <c r="K147" s="2" t="str">
        <v>Furniture</v>
      </c>
      <c r="L147" s="2" t="str">
        <v>Singh, Villa and Flynn</v>
      </c>
      <c r="M147" s="2">
        <v>298.57</v>
      </c>
      <c r="N147" s="16">
        <f t="shared" si="2"/>
        <v>7.0371954380508042</v>
      </c>
    </row>
    <row r="148" spans="2:14" ht="14.4" customHeight="1" x14ac:dyDescent="0.3">
      <c r="B148" s="2" t="s">
        <v>153</v>
      </c>
      <c r="C148" s="3">
        <v>44660</v>
      </c>
      <c r="D148" s="2" t="s">
        <v>2009</v>
      </c>
      <c r="E148" s="2" t="s">
        <v>2064</v>
      </c>
      <c r="F148" s="4">
        <v>597.87</v>
      </c>
      <c r="G148" s="5">
        <v>928.2</v>
      </c>
      <c r="H148" s="6">
        <v>16</v>
      </c>
      <c r="I148" s="2" t="s">
        <v>2117</v>
      </c>
      <c r="J148" s="2" t="str">
        <v>Synergize E-Business Deliverables</v>
      </c>
      <c r="K148" s="2" t="str">
        <v>Electronics</v>
      </c>
      <c r="L148" s="2" t="str">
        <v>Crawford, Warren and Williams</v>
      </c>
      <c r="M148" s="2">
        <v>125.93</v>
      </c>
      <c r="N148" s="16">
        <f t="shared" si="2"/>
        <v>1.5525114155251143</v>
      </c>
    </row>
    <row r="149" spans="2:14" ht="14.4" customHeight="1" x14ac:dyDescent="0.3">
      <c r="B149" s="2" t="s">
        <v>154</v>
      </c>
      <c r="C149" s="3">
        <v>44046</v>
      </c>
      <c r="D149" s="2" t="s">
        <v>2010</v>
      </c>
      <c r="E149" s="2" t="s">
        <v>2092</v>
      </c>
      <c r="F149" s="4">
        <v>4374.3500000000004</v>
      </c>
      <c r="G149" s="5">
        <v>420.7</v>
      </c>
      <c r="H149" s="6">
        <v>12</v>
      </c>
      <c r="I149" s="2" t="s">
        <v>2116</v>
      </c>
      <c r="J149" s="2" t="str">
        <v>Seize Clicks-And-Mortar Platforms</v>
      </c>
      <c r="K149" s="2" t="str">
        <v>Office Supplies</v>
      </c>
      <c r="L149" s="2" t="str">
        <v>Owens, Campos and Wood</v>
      </c>
      <c r="M149" s="2">
        <v>271.16000000000003</v>
      </c>
      <c r="N149" s="16">
        <f t="shared" si="2"/>
        <v>9.6174288751471632E-2</v>
      </c>
    </row>
    <row r="150" spans="2:14" ht="14.4" customHeight="1" x14ac:dyDescent="0.3">
      <c r="B150" s="2" t="s">
        <v>155</v>
      </c>
      <c r="C150" s="3">
        <v>45382</v>
      </c>
      <c r="D150" s="2" t="s">
        <v>2010</v>
      </c>
      <c r="E150" s="2" t="s">
        <v>2093</v>
      </c>
      <c r="F150" s="4">
        <v>677.19</v>
      </c>
      <c r="G150" s="5">
        <v>494.93</v>
      </c>
      <c r="H150" s="6">
        <v>19</v>
      </c>
      <c r="I150" s="2" t="s">
        <v>2116</v>
      </c>
      <c r="J150" s="2" t="str">
        <v>Synergize Frictionless Synergies</v>
      </c>
      <c r="K150" s="2" t="str">
        <v>Furniture</v>
      </c>
      <c r="L150" s="2" t="str">
        <v>Hester and Sons</v>
      </c>
      <c r="M150" s="2">
        <v>289.06</v>
      </c>
      <c r="N150" s="16">
        <f t="shared" si="2"/>
        <v>0.73085840015357573</v>
      </c>
    </row>
    <row r="151" spans="2:14" ht="14.4" customHeight="1" x14ac:dyDescent="0.3">
      <c r="B151" s="2" t="s">
        <v>156</v>
      </c>
      <c r="C151" s="3">
        <v>44304</v>
      </c>
      <c r="D151" s="2" t="s">
        <v>2009</v>
      </c>
      <c r="E151" s="2" t="s">
        <v>2074</v>
      </c>
      <c r="F151" s="4">
        <v>3472.91</v>
      </c>
      <c r="G151" s="5">
        <v>991.68</v>
      </c>
      <c r="H151" s="6">
        <v>9</v>
      </c>
      <c r="I151" s="2" t="s">
        <v>2117</v>
      </c>
      <c r="J151" s="2" t="str">
        <v>Utilize Ubiquitous Synergies</v>
      </c>
      <c r="K151" s="2" t="str">
        <v>Electronics</v>
      </c>
      <c r="L151" s="2" t="str">
        <v>Kramer, Huang and Shaw</v>
      </c>
      <c r="M151" s="2">
        <v>295.89999999999998</v>
      </c>
      <c r="N151" s="16">
        <f t="shared" si="2"/>
        <v>0.28554727879501629</v>
      </c>
    </row>
    <row r="152" spans="2:14" ht="14.4" customHeight="1" x14ac:dyDescent="0.3">
      <c r="B152" s="2" t="s">
        <v>157</v>
      </c>
      <c r="C152" s="3">
        <v>45062</v>
      </c>
      <c r="D152" s="2" t="s">
        <v>2010</v>
      </c>
      <c r="E152" s="2" t="s">
        <v>2087</v>
      </c>
      <c r="F152" s="4">
        <v>3484.07</v>
      </c>
      <c r="G152" s="5">
        <v>177.94</v>
      </c>
      <c r="H152" s="6">
        <v>5</v>
      </c>
      <c r="I152" s="2" t="s">
        <v>2116</v>
      </c>
      <c r="J152" s="2" t="str">
        <v>Empower Seamless Roi</v>
      </c>
      <c r="K152" s="2" t="str">
        <v>Office Supplies</v>
      </c>
      <c r="L152" s="2" t="str">
        <v>Proctor Group</v>
      </c>
      <c r="M152" s="2">
        <v>266.64999999999998</v>
      </c>
      <c r="N152" s="16">
        <f t="shared" si="2"/>
        <v>5.1072452620067904E-2</v>
      </c>
    </row>
    <row r="153" spans="2:14" ht="14.4" customHeight="1" x14ac:dyDescent="0.3">
      <c r="B153" s="2" t="s">
        <v>158</v>
      </c>
      <c r="C153" s="3">
        <v>45279</v>
      </c>
      <c r="D153" s="2" t="s">
        <v>2011</v>
      </c>
      <c r="E153" s="2" t="s">
        <v>2094</v>
      </c>
      <c r="F153" s="4">
        <v>2569.12</v>
      </c>
      <c r="G153" s="5">
        <v>125.16</v>
      </c>
      <c r="H153" s="6">
        <v>19</v>
      </c>
      <c r="I153" s="2" t="s">
        <v>2116</v>
      </c>
      <c r="J153" s="2" t="str">
        <v>Implement Rich Platforms</v>
      </c>
      <c r="K153" s="2" t="str">
        <v>Electronics</v>
      </c>
      <c r="L153" s="2" t="str">
        <v>Parker, Anderson and Salazar</v>
      </c>
      <c r="M153" s="2">
        <v>53.59</v>
      </c>
      <c r="N153" s="16">
        <f t="shared" si="2"/>
        <v>4.8717070436569719E-2</v>
      </c>
    </row>
    <row r="154" spans="2:14" ht="14.4" customHeight="1" x14ac:dyDescent="0.3">
      <c r="B154" s="2" t="s">
        <v>159</v>
      </c>
      <c r="C154" s="3">
        <v>44517</v>
      </c>
      <c r="D154" s="2" t="s">
        <v>2010</v>
      </c>
      <c r="E154" s="2" t="s">
        <v>2095</v>
      </c>
      <c r="F154" s="4">
        <v>2303.34</v>
      </c>
      <c r="G154" s="5">
        <v>883.93</v>
      </c>
      <c r="H154" s="6">
        <v>2</v>
      </c>
      <c r="I154" s="2" t="s">
        <v>2117</v>
      </c>
      <c r="J154" s="2" t="str">
        <v>Envisioneer B2B Users</v>
      </c>
      <c r="K154" s="2" t="str">
        <v>Office Supplies</v>
      </c>
      <c r="L154" s="2" t="str">
        <v>Rogers Group</v>
      </c>
      <c r="M154" s="2">
        <v>239.16</v>
      </c>
      <c r="N154" s="16">
        <f t="shared" si="2"/>
        <v>0.38376010489115803</v>
      </c>
    </row>
    <row r="155" spans="2:14" ht="14.4" customHeight="1" x14ac:dyDescent="0.3">
      <c r="B155" s="2" t="s">
        <v>160</v>
      </c>
      <c r="C155" s="3">
        <v>44767</v>
      </c>
      <c r="D155" s="2" t="s">
        <v>2011</v>
      </c>
      <c r="E155" s="2" t="s">
        <v>2096</v>
      </c>
      <c r="F155" s="4">
        <v>2817.1</v>
      </c>
      <c r="G155" s="5">
        <v>518.97</v>
      </c>
      <c r="H155" s="6">
        <v>17</v>
      </c>
      <c r="I155" s="2" t="s">
        <v>2117</v>
      </c>
      <c r="J155" s="2" t="str">
        <v>Disintermediate Scalable Bandwidth</v>
      </c>
      <c r="K155" s="2" t="str">
        <v>Electronics</v>
      </c>
      <c r="L155" s="2" t="str">
        <v>Levy PLC</v>
      </c>
      <c r="M155" s="2">
        <v>19.86</v>
      </c>
      <c r="N155" s="16">
        <f t="shared" si="2"/>
        <v>0.18422136239395123</v>
      </c>
    </row>
    <row r="156" spans="2:14" ht="14.4" customHeight="1" x14ac:dyDescent="0.3">
      <c r="B156" s="2" t="s">
        <v>161</v>
      </c>
      <c r="C156" s="3">
        <v>45072</v>
      </c>
      <c r="D156" s="2" t="s">
        <v>2012</v>
      </c>
      <c r="E156" s="2" t="s">
        <v>2069</v>
      </c>
      <c r="F156" s="4">
        <v>4931.68</v>
      </c>
      <c r="G156" s="5">
        <v>915.91</v>
      </c>
      <c r="H156" s="6">
        <v>5</v>
      </c>
      <c r="I156" s="2" t="s">
        <v>2118</v>
      </c>
      <c r="J156" s="2" t="str">
        <v>Optimize Transparent E-Markets</v>
      </c>
      <c r="K156" s="2" t="str">
        <v>Office Supplies</v>
      </c>
      <c r="L156" s="2" t="str">
        <v>Lee, Tyler and Blevins</v>
      </c>
      <c r="M156" s="2">
        <v>111.22</v>
      </c>
      <c r="N156" s="16">
        <f t="shared" si="2"/>
        <v>0.18571967362034841</v>
      </c>
    </row>
    <row r="157" spans="2:14" ht="14.4" customHeight="1" x14ac:dyDescent="0.3">
      <c r="B157" s="2" t="s">
        <v>162</v>
      </c>
      <c r="C157" s="3">
        <v>44499</v>
      </c>
      <c r="D157" s="2" t="s">
        <v>2010</v>
      </c>
      <c r="E157" s="2" t="s">
        <v>2097</v>
      </c>
      <c r="F157" s="4">
        <v>672.65</v>
      </c>
      <c r="G157" s="5">
        <v>456.45</v>
      </c>
      <c r="H157" s="6">
        <v>14</v>
      </c>
      <c r="I157" s="2" t="s">
        <v>2117</v>
      </c>
      <c r="J157" s="2" t="str">
        <v>Generate End-To-End Functionalities</v>
      </c>
      <c r="K157" s="2" t="str">
        <v>Electronics</v>
      </c>
      <c r="L157" s="2" t="str">
        <v>Sanchez-Stewart</v>
      </c>
      <c r="M157" s="2">
        <v>196.15</v>
      </c>
      <c r="N157" s="16">
        <f t="shared" si="2"/>
        <v>0.6785847022968855</v>
      </c>
    </row>
    <row r="158" spans="2:14" ht="14.4" customHeight="1" x14ac:dyDescent="0.3">
      <c r="B158" s="2" t="s">
        <v>163</v>
      </c>
      <c r="C158" s="3">
        <v>44811</v>
      </c>
      <c r="D158" s="2" t="s">
        <v>2011</v>
      </c>
      <c r="E158" s="2" t="s">
        <v>2098</v>
      </c>
      <c r="F158" s="4">
        <v>4118.74</v>
      </c>
      <c r="G158" s="5">
        <v>624.41999999999996</v>
      </c>
      <c r="H158" s="6">
        <v>1</v>
      </c>
      <c r="I158" s="2" t="s">
        <v>2118</v>
      </c>
      <c r="J158" s="2" t="str">
        <v>Deliver Viral Channels</v>
      </c>
      <c r="K158" s="2" t="str">
        <v>Furniture</v>
      </c>
      <c r="L158" s="2" t="str">
        <v>Parker LLC</v>
      </c>
      <c r="M158" s="2">
        <v>45.41</v>
      </c>
      <c r="N158" s="16">
        <f t="shared" si="2"/>
        <v>0.1516046169459592</v>
      </c>
    </row>
    <row r="159" spans="2:14" ht="14.4" customHeight="1" x14ac:dyDescent="0.3">
      <c r="B159" s="2" t="s">
        <v>164</v>
      </c>
      <c r="C159" s="3">
        <v>45506</v>
      </c>
      <c r="D159" s="2" t="s">
        <v>2009</v>
      </c>
      <c r="E159" s="2" t="s">
        <v>2099</v>
      </c>
      <c r="F159" s="4">
        <v>1284.75</v>
      </c>
      <c r="G159" s="5">
        <v>628.16</v>
      </c>
      <c r="H159" s="6">
        <v>9</v>
      </c>
      <c r="I159" s="2" t="s">
        <v>2117</v>
      </c>
      <c r="J159" s="2" t="str">
        <v>Synergize Cross-Platform Vortals</v>
      </c>
      <c r="K159" s="2" t="str">
        <v>Furniture</v>
      </c>
      <c r="L159" s="2" t="str">
        <v>Edwards Group</v>
      </c>
      <c r="M159" s="2">
        <v>87.18</v>
      </c>
      <c r="N159" s="16">
        <f t="shared" si="2"/>
        <v>0.48893559058182523</v>
      </c>
    </row>
    <row r="160" spans="2:14" ht="14.4" customHeight="1" x14ac:dyDescent="0.3">
      <c r="B160" s="2" t="s">
        <v>165</v>
      </c>
      <c r="C160" s="3">
        <v>44167</v>
      </c>
      <c r="D160" s="2" t="s">
        <v>2010</v>
      </c>
      <c r="E160" s="2" t="s">
        <v>2024</v>
      </c>
      <c r="F160" s="4">
        <v>3289.46</v>
      </c>
      <c r="G160" s="5">
        <v>615.78</v>
      </c>
      <c r="H160" s="6">
        <v>20</v>
      </c>
      <c r="I160" s="2" t="s">
        <v>2118</v>
      </c>
      <c r="J160" s="2" t="str">
        <v>Target Viral Methodologies</v>
      </c>
      <c r="K160" s="2" t="str">
        <v>Electronics</v>
      </c>
      <c r="L160" s="2" t="str">
        <v>Alvarez, Myers and Walter</v>
      </c>
      <c r="M160" s="2">
        <v>149.26</v>
      </c>
      <c r="N160" s="16">
        <f t="shared" si="2"/>
        <v>0.18719789874325876</v>
      </c>
    </row>
    <row r="161" spans="2:14" ht="14.4" customHeight="1" x14ac:dyDescent="0.3">
      <c r="B161" s="2" t="s">
        <v>166</v>
      </c>
      <c r="C161" s="3">
        <v>44608</v>
      </c>
      <c r="D161" s="2" t="s">
        <v>2011</v>
      </c>
      <c r="E161" s="2" t="s">
        <v>2079</v>
      </c>
      <c r="F161" s="4">
        <v>1625.58</v>
      </c>
      <c r="G161" s="5">
        <v>956.16</v>
      </c>
      <c r="H161" s="6">
        <v>8</v>
      </c>
      <c r="I161" s="2" t="s">
        <v>2117</v>
      </c>
      <c r="J161" s="2" t="str">
        <v>Iterate Extensible Roi</v>
      </c>
      <c r="K161" s="2" t="str">
        <v>Office Supplies</v>
      </c>
      <c r="L161" s="2" t="str">
        <v>Hill-Kelly</v>
      </c>
      <c r="M161" s="2">
        <v>180</v>
      </c>
      <c r="N161" s="16">
        <f t="shared" si="2"/>
        <v>0.58819621304395975</v>
      </c>
    </row>
    <row r="162" spans="2:14" ht="14.4" customHeight="1" x14ac:dyDescent="0.3">
      <c r="B162" s="2" t="s">
        <v>167</v>
      </c>
      <c r="C162" s="3">
        <v>44539</v>
      </c>
      <c r="D162" s="2" t="s">
        <v>2011</v>
      </c>
      <c r="E162" s="2" t="s">
        <v>2100</v>
      </c>
      <c r="F162" s="4">
        <v>1161.1300000000001</v>
      </c>
      <c r="G162" s="5">
        <v>764.92</v>
      </c>
      <c r="H162" s="6">
        <v>17</v>
      </c>
      <c r="I162" s="2" t="s">
        <v>2118</v>
      </c>
      <c r="J162" s="2" t="str">
        <v>Strategize Best-Of-Breed Web-Readiness</v>
      </c>
      <c r="K162" s="2" t="str">
        <v>Office Supplies</v>
      </c>
      <c r="L162" s="2" t="str">
        <v>Morris, King and Ayers</v>
      </c>
      <c r="M162" s="2">
        <v>220.16</v>
      </c>
      <c r="N162" s="16">
        <f t="shared" si="2"/>
        <v>0.65877205825359764</v>
      </c>
    </row>
    <row r="163" spans="2:14" ht="14.4" customHeight="1" x14ac:dyDescent="0.3">
      <c r="B163" s="2" t="s">
        <v>168</v>
      </c>
      <c r="C163" s="3">
        <v>44468</v>
      </c>
      <c r="D163" s="2" t="s">
        <v>2012</v>
      </c>
      <c r="E163" s="2" t="s">
        <v>2101</v>
      </c>
      <c r="F163" s="4">
        <v>2223.36</v>
      </c>
      <c r="G163" s="5">
        <v>731.25</v>
      </c>
      <c r="H163" s="6">
        <v>11</v>
      </c>
      <c r="I163" s="2" t="s">
        <v>2117</v>
      </c>
      <c r="J163" s="2" t="str">
        <v>Deploy Granular Channels</v>
      </c>
      <c r="K163" s="2" t="str">
        <v>Furniture</v>
      </c>
      <c r="L163" s="2" t="str">
        <v>Barnes Ltd</v>
      </c>
      <c r="M163" s="2">
        <v>288.99</v>
      </c>
      <c r="N163" s="16">
        <f t="shared" si="2"/>
        <v>0.32889410621761656</v>
      </c>
    </row>
    <row r="164" spans="2:14" ht="14.4" customHeight="1" x14ac:dyDescent="0.3">
      <c r="B164" s="2" t="s">
        <v>169</v>
      </c>
      <c r="C164" s="3">
        <v>44278</v>
      </c>
      <c r="D164" s="2" t="s">
        <v>2010</v>
      </c>
      <c r="E164" s="2" t="s">
        <v>2092</v>
      </c>
      <c r="F164" s="4">
        <v>2688.84</v>
      </c>
      <c r="G164" s="5">
        <v>615.79</v>
      </c>
      <c r="H164" s="6">
        <v>12</v>
      </c>
      <c r="I164" s="2" t="s">
        <v>2117</v>
      </c>
      <c r="J164" s="2" t="str">
        <v>Seize Clicks-And-Mortar Platforms</v>
      </c>
      <c r="K164" s="2" t="str">
        <v>Office Supplies</v>
      </c>
      <c r="L164" s="2" t="str">
        <v>Owens, Campos and Wood</v>
      </c>
      <c r="M164" s="2">
        <v>271.16000000000003</v>
      </c>
      <c r="N164" s="16">
        <f t="shared" si="2"/>
        <v>0.22901697386233466</v>
      </c>
    </row>
    <row r="165" spans="2:14" ht="14.4" customHeight="1" x14ac:dyDescent="0.3">
      <c r="B165" s="2" t="s">
        <v>170</v>
      </c>
      <c r="C165" s="3">
        <v>45063</v>
      </c>
      <c r="D165" s="2" t="s">
        <v>2012</v>
      </c>
      <c r="E165" s="2" t="s">
        <v>2088</v>
      </c>
      <c r="F165" s="4">
        <v>4700.6499999999996</v>
      </c>
      <c r="G165" s="5">
        <v>706.17</v>
      </c>
      <c r="H165" s="6">
        <v>15</v>
      </c>
      <c r="I165" s="2" t="s">
        <v>2118</v>
      </c>
      <c r="J165" s="2" t="str">
        <v>E-Enable Holistic Supply-Chains</v>
      </c>
      <c r="K165" s="2" t="str">
        <v>Furniture</v>
      </c>
      <c r="L165" s="2" t="str">
        <v>Lin-Mcdaniel</v>
      </c>
      <c r="M165" s="2">
        <v>160.33000000000001</v>
      </c>
      <c r="N165" s="16">
        <f t="shared" si="2"/>
        <v>0.15022815993532809</v>
      </c>
    </row>
    <row r="166" spans="2:14" ht="14.4" customHeight="1" x14ac:dyDescent="0.3">
      <c r="B166" s="2" t="s">
        <v>171</v>
      </c>
      <c r="C166" s="3">
        <v>44621</v>
      </c>
      <c r="D166" s="2" t="s">
        <v>2010</v>
      </c>
      <c r="E166" s="2" t="s">
        <v>2022</v>
      </c>
      <c r="F166" s="4">
        <v>3126.49</v>
      </c>
      <c r="G166" s="5">
        <v>972.35</v>
      </c>
      <c r="H166" s="6">
        <v>16</v>
      </c>
      <c r="I166" s="2" t="s">
        <v>2117</v>
      </c>
      <c r="J166" s="2" t="str">
        <v>Monetize Collaborative Metrics</v>
      </c>
      <c r="K166" s="2" t="str">
        <v>Electronics</v>
      </c>
      <c r="L166" s="2" t="str">
        <v>Ramirez-Brown</v>
      </c>
      <c r="M166" s="2">
        <v>286.04000000000002</v>
      </c>
      <c r="N166" s="16">
        <f t="shared" si="2"/>
        <v>0.31100371342943689</v>
      </c>
    </row>
    <row r="167" spans="2:14" ht="14.4" customHeight="1" x14ac:dyDescent="0.3">
      <c r="B167" s="2" t="s">
        <v>172</v>
      </c>
      <c r="C167" s="3">
        <v>45265</v>
      </c>
      <c r="D167" s="2" t="s">
        <v>2012</v>
      </c>
      <c r="E167" s="2" t="s">
        <v>2030</v>
      </c>
      <c r="F167" s="4">
        <v>228.14</v>
      </c>
      <c r="G167" s="5">
        <v>942.02</v>
      </c>
      <c r="H167" s="6">
        <v>6</v>
      </c>
      <c r="I167" s="2" t="s">
        <v>2116</v>
      </c>
      <c r="J167" s="2" t="str">
        <v>Engage Rich Web-Readiness</v>
      </c>
      <c r="K167" s="2" t="str">
        <v>Office Supplies</v>
      </c>
      <c r="L167" s="2" t="str">
        <v>Turner Inc</v>
      </c>
      <c r="M167" s="2">
        <v>81.069999999999993</v>
      </c>
      <c r="N167" s="16">
        <f t="shared" si="2"/>
        <v>4.1291312352064526</v>
      </c>
    </row>
    <row r="168" spans="2:14" ht="14.4" customHeight="1" x14ac:dyDescent="0.3">
      <c r="B168" s="2" t="s">
        <v>173</v>
      </c>
      <c r="C168" s="3">
        <v>45539</v>
      </c>
      <c r="D168" s="2" t="s">
        <v>2012</v>
      </c>
      <c r="E168" s="2" t="s">
        <v>2080</v>
      </c>
      <c r="F168" s="4">
        <v>3685.18</v>
      </c>
      <c r="G168" s="5">
        <v>343</v>
      </c>
      <c r="H168" s="6">
        <v>20</v>
      </c>
      <c r="I168" s="2" t="s">
        <v>2116</v>
      </c>
      <c r="J168" s="2" t="str">
        <v>Scale Vertical Networks</v>
      </c>
      <c r="K168" s="2" t="str">
        <v>Furniture</v>
      </c>
      <c r="L168" s="2" t="str">
        <v>Lam, Wood and Jacobs</v>
      </c>
      <c r="M168" s="2">
        <v>133.24</v>
      </c>
      <c r="N168" s="16">
        <f t="shared" si="2"/>
        <v>9.3075507844935665E-2</v>
      </c>
    </row>
    <row r="169" spans="2:14" ht="14.4" customHeight="1" x14ac:dyDescent="0.3">
      <c r="B169" s="2" t="s">
        <v>174</v>
      </c>
      <c r="C169" s="3">
        <v>45083</v>
      </c>
      <c r="D169" s="2" t="s">
        <v>2011</v>
      </c>
      <c r="E169" s="2" t="s">
        <v>2026</v>
      </c>
      <c r="F169" s="4">
        <v>3120.96</v>
      </c>
      <c r="G169" s="5">
        <v>848.72</v>
      </c>
      <c r="H169" s="6">
        <v>5</v>
      </c>
      <c r="I169" s="2" t="s">
        <v>2116</v>
      </c>
      <c r="J169" s="2" t="str">
        <v>Monetize Wireless Functionalities</v>
      </c>
      <c r="K169" s="2" t="str">
        <v>Furniture</v>
      </c>
      <c r="L169" s="2" t="str">
        <v>Robinson, Rodriguez and Hernandez</v>
      </c>
      <c r="M169" s="2">
        <v>162.22</v>
      </c>
      <c r="N169" s="16">
        <f t="shared" si="2"/>
        <v>0.27194196657438735</v>
      </c>
    </row>
    <row r="170" spans="2:14" ht="14.4" customHeight="1" x14ac:dyDescent="0.3">
      <c r="B170" s="2" t="s">
        <v>175</v>
      </c>
      <c r="C170" s="3">
        <v>44012</v>
      </c>
      <c r="D170" s="2" t="s">
        <v>2011</v>
      </c>
      <c r="E170" s="2" t="s">
        <v>2027</v>
      </c>
      <c r="F170" s="4">
        <v>4220.93</v>
      </c>
      <c r="G170" s="5">
        <v>165.78</v>
      </c>
      <c r="H170" s="6">
        <v>18</v>
      </c>
      <c r="I170" s="2" t="s">
        <v>2117</v>
      </c>
      <c r="J170" s="2" t="str">
        <v>Monetize Value-Added Niches</v>
      </c>
      <c r="K170" s="2" t="str">
        <v>Office Supplies</v>
      </c>
      <c r="L170" s="2" t="str">
        <v>Foster, Velazquez and Lee</v>
      </c>
      <c r="M170" s="2">
        <v>171.51</v>
      </c>
      <c r="N170" s="16">
        <f t="shared" si="2"/>
        <v>3.9275704643289507E-2</v>
      </c>
    </row>
    <row r="171" spans="2:14" ht="14.4" customHeight="1" x14ac:dyDescent="0.3">
      <c r="B171" s="2" t="s">
        <v>176</v>
      </c>
      <c r="C171" s="3">
        <v>45366</v>
      </c>
      <c r="D171" s="2" t="s">
        <v>2010</v>
      </c>
      <c r="E171" s="2" t="s">
        <v>2093</v>
      </c>
      <c r="F171" s="4">
        <v>3206.76</v>
      </c>
      <c r="G171" s="5">
        <v>254.78</v>
      </c>
      <c r="H171" s="6">
        <v>2</v>
      </c>
      <c r="I171" s="2" t="s">
        <v>2117</v>
      </c>
      <c r="J171" s="2" t="str">
        <v>Synergize Frictionless Synergies</v>
      </c>
      <c r="K171" s="2" t="str">
        <v>Furniture</v>
      </c>
      <c r="L171" s="2" t="str">
        <v>Hester and Sons</v>
      </c>
      <c r="M171" s="2">
        <v>289.06</v>
      </c>
      <c r="N171" s="16">
        <f t="shared" si="2"/>
        <v>7.9450909952724857E-2</v>
      </c>
    </row>
    <row r="172" spans="2:14" ht="14.4" customHeight="1" x14ac:dyDescent="0.3">
      <c r="B172" s="2" t="s">
        <v>177</v>
      </c>
      <c r="C172" s="3">
        <v>43950</v>
      </c>
      <c r="D172" s="2" t="s">
        <v>2012</v>
      </c>
      <c r="E172" s="2" t="s">
        <v>2079</v>
      </c>
      <c r="F172" s="4">
        <v>2652.73</v>
      </c>
      <c r="G172" s="5">
        <v>587.5</v>
      </c>
      <c r="H172" s="6">
        <v>6</v>
      </c>
      <c r="I172" s="2" t="s">
        <v>2117</v>
      </c>
      <c r="J172" s="2" t="str">
        <v>Iterate Extensible Roi</v>
      </c>
      <c r="K172" s="2" t="str">
        <v>Office Supplies</v>
      </c>
      <c r="L172" s="2" t="str">
        <v>Hill-Kelly</v>
      </c>
      <c r="M172" s="2">
        <v>180</v>
      </c>
      <c r="N172" s="16">
        <f t="shared" si="2"/>
        <v>0.22146995736467714</v>
      </c>
    </row>
    <row r="173" spans="2:14" ht="14.4" customHeight="1" x14ac:dyDescent="0.3">
      <c r="B173" s="2" t="s">
        <v>178</v>
      </c>
      <c r="C173" s="3">
        <v>44596</v>
      </c>
      <c r="D173" s="2" t="s">
        <v>2012</v>
      </c>
      <c r="E173" s="2" t="s">
        <v>2094</v>
      </c>
      <c r="F173" s="4">
        <v>437.36</v>
      </c>
      <c r="G173" s="5">
        <v>853.06</v>
      </c>
      <c r="H173" s="6">
        <v>8</v>
      </c>
      <c r="I173" s="2" t="s">
        <v>2118</v>
      </c>
      <c r="J173" s="2" t="str">
        <v>Implement Rich Platforms</v>
      </c>
      <c r="K173" s="2" t="str">
        <v>Electronics</v>
      </c>
      <c r="L173" s="2" t="str">
        <v>Parker, Anderson and Salazar</v>
      </c>
      <c r="M173" s="2">
        <v>53.59</v>
      </c>
      <c r="N173" s="16">
        <f t="shared" si="2"/>
        <v>1.9504755807572707</v>
      </c>
    </row>
    <row r="174" spans="2:14" ht="14.4" customHeight="1" x14ac:dyDescent="0.3">
      <c r="B174" s="2" t="s">
        <v>179</v>
      </c>
      <c r="C174" s="3">
        <v>44505</v>
      </c>
      <c r="D174" s="2" t="s">
        <v>2012</v>
      </c>
      <c r="E174" s="2" t="s">
        <v>2068</v>
      </c>
      <c r="F174" s="4">
        <v>3676</v>
      </c>
      <c r="G174" s="5">
        <v>655.83</v>
      </c>
      <c r="H174" s="6">
        <v>12</v>
      </c>
      <c r="I174" s="2" t="s">
        <v>2117</v>
      </c>
      <c r="J174" s="2" t="str">
        <v>E-Enable Virtual Methodologies</v>
      </c>
      <c r="K174" s="2" t="str">
        <v>Office Supplies</v>
      </c>
      <c r="L174" s="2" t="str">
        <v>Floyd-Love</v>
      </c>
      <c r="M174" s="2">
        <v>283.64999999999998</v>
      </c>
      <c r="N174" s="16">
        <f t="shared" si="2"/>
        <v>0.17840859630032646</v>
      </c>
    </row>
    <row r="175" spans="2:14" ht="14.4" customHeight="1" x14ac:dyDescent="0.3">
      <c r="B175" s="2" t="s">
        <v>180</v>
      </c>
      <c r="C175" s="3">
        <v>44878</v>
      </c>
      <c r="D175" s="2" t="s">
        <v>2009</v>
      </c>
      <c r="E175" s="2" t="s">
        <v>2092</v>
      </c>
      <c r="F175" s="4">
        <v>1784.7</v>
      </c>
      <c r="G175" s="5">
        <v>921.65</v>
      </c>
      <c r="H175" s="6">
        <v>14</v>
      </c>
      <c r="I175" s="2" t="s">
        <v>2117</v>
      </c>
      <c r="J175" s="2" t="str">
        <v>Seize Clicks-And-Mortar Platforms</v>
      </c>
      <c r="K175" s="2" t="str">
        <v>Office Supplies</v>
      </c>
      <c r="L175" s="2" t="str">
        <v>Owens, Campos and Wood</v>
      </c>
      <c r="M175" s="2">
        <v>271.16000000000003</v>
      </c>
      <c r="N175" s="16">
        <f t="shared" si="2"/>
        <v>0.5164173250406231</v>
      </c>
    </row>
    <row r="176" spans="2:14" ht="14.4" customHeight="1" x14ac:dyDescent="0.3">
      <c r="B176" s="2" t="s">
        <v>181</v>
      </c>
      <c r="C176" s="3">
        <v>45533</v>
      </c>
      <c r="D176" s="2" t="s">
        <v>2010</v>
      </c>
      <c r="E176" s="2" t="s">
        <v>2020</v>
      </c>
      <c r="F176" s="4">
        <v>1005.16</v>
      </c>
      <c r="G176" s="5">
        <v>456.81</v>
      </c>
      <c r="H176" s="6">
        <v>11</v>
      </c>
      <c r="I176" s="2" t="s">
        <v>2117</v>
      </c>
      <c r="J176" s="2" t="str">
        <v>Harness Revolutionary Interfaces</v>
      </c>
      <c r="K176" s="2" t="str">
        <v>Furniture</v>
      </c>
      <c r="L176" s="2" t="str">
        <v>Davis, Short and Nguyen</v>
      </c>
      <c r="M176" s="2">
        <v>26.49</v>
      </c>
      <c r="N176" s="16">
        <f t="shared" si="2"/>
        <v>0.45446496080226034</v>
      </c>
    </row>
    <row r="177" spans="2:14" ht="14.4" customHeight="1" x14ac:dyDescent="0.3">
      <c r="B177" s="2" t="s">
        <v>182</v>
      </c>
      <c r="C177" s="3">
        <v>44743</v>
      </c>
      <c r="D177" s="2" t="s">
        <v>2009</v>
      </c>
      <c r="E177" s="2" t="s">
        <v>2037</v>
      </c>
      <c r="F177" s="4">
        <v>2804.49</v>
      </c>
      <c r="G177" s="5">
        <v>639.09</v>
      </c>
      <c r="H177" s="6">
        <v>13</v>
      </c>
      <c r="I177" s="2" t="s">
        <v>2118</v>
      </c>
      <c r="J177" s="2" t="str">
        <v>Utilize Back-End Models</v>
      </c>
      <c r="K177" s="2" t="str">
        <v>Furniture</v>
      </c>
      <c r="L177" s="2" t="str">
        <v>Lewis-Holden</v>
      </c>
      <c r="M177" s="2">
        <v>241.53</v>
      </c>
      <c r="N177" s="16">
        <f t="shared" si="2"/>
        <v>0.22788100510253204</v>
      </c>
    </row>
    <row r="178" spans="2:14" ht="14.4" customHeight="1" x14ac:dyDescent="0.3">
      <c r="B178" s="2" t="s">
        <v>183</v>
      </c>
      <c r="C178" s="3">
        <v>44341</v>
      </c>
      <c r="D178" s="2" t="s">
        <v>2009</v>
      </c>
      <c r="E178" s="2" t="s">
        <v>2057</v>
      </c>
      <c r="F178" s="4">
        <v>4878.17</v>
      </c>
      <c r="G178" s="5">
        <v>114.47</v>
      </c>
      <c r="H178" s="6">
        <v>9</v>
      </c>
      <c r="I178" s="2" t="s">
        <v>2117</v>
      </c>
      <c r="J178" s="2" t="str">
        <v>Reinvent Out-Of-The-Box Models</v>
      </c>
      <c r="K178" s="2" t="str">
        <v>Office Supplies</v>
      </c>
      <c r="L178" s="2" t="str">
        <v>Wagner-Curtis</v>
      </c>
      <c r="M178" s="2">
        <v>172.34</v>
      </c>
      <c r="N178" s="16">
        <f t="shared" si="2"/>
        <v>2.3465766875693139E-2</v>
      </c>
    </row>
    <row r="179" spans="2:14" ht="14.4" customHeight="1" x14ac:dyDescent="0.3">
      <c r="B179" s="2" t="s">
        <v>184</v>
      </c>
      <c r="C179" s="3">
        <v>45355</v>
      </c>
      <c r="D179" s="2" t="s">
        <v>2009</v>
      </c>
      <c r="E179" s="2" t="s">
        <v>2015</v>
      </c>
      <c r="F179" s="4">
        <v>4851.63</v>
      </c>
      <c r="G179" s="5">
        <v>626.78</v>
      </c>
      <c r="H179" s="6">
        <v>20</v>
      </c>
      <c r="I179" s="2" t="s">
        <v>2117</v>
      </c>
      <c r="J179" s="2" t="str">
        <v>Brand Web-Enabled Solutions</v>
      </c>
      <c r="K179" s="2" t="str">
        <v>Electronics</v>
      </c>
      <c r="L179" s="2" t="str">
        <v>Russell Group</v>
      </c>
      <c r="M179" s="2">
        <v>51.67</v>
      </c>
      <c r="N179" s="16">
        <f t="shared" si="2"/>
        <v>0.12918957133994141</v>
      </c>
    </row>
    <row r="180" spans="2:14" ht="14.4" customHeight="1" x14ac:dyDescent="0.3">
      <c r="B180" s="2" t="s">
        <v>185</v>
      </c>
      <c r="C180" s="3">
        <v>44397</v>
      </c>
      <c r="D180" s="2" t="s">
        <v>2012</v>
      </c>
      <c r="E180" s="2" t="s">
        <v>2036</v>
      </c>
      <c r="F180" s="4">
        <v>3491.38</v>
      </c>
      <c r="G180" s="5">
        <v>823.11</v>
      </c>
      <c r="H180" s="6">
        <v>17</v>
      </c>
      <c r="I180" s="2" t="s">
        <v>2118</v>
      </c>
      <c r="J180" s="2" t="str">
        <v>Innovate Strategic Systems</v>
      </c>
      <c r="K180" s="2" t="str">
        <v>Office Supplies</v>
      </c>
      <c r="L180" s="2" t="str">
        <v>Mcfarland, Parker and Armstrong</v>
      </c>
      <c r="M180" s="2">
        <v>70.239999999999995</v>
      </c>
      <c r="N180" s="16">
        <f t="shared" si="2"/>
        <v>0.23575491639409057</v>
      </c>
    </row>
    <row r="181" spans="2:14" ht="14.4" customHeight="1" x14ac:dyDescent="0.3">
      <c r="B181" s="2" t="s">
        <v>186</v>
      </c>
      <c r="C181" s="3">
        <v>44701</v>
      </c>
      <c r="D181" s="2" t="s">
        <v>2011</v>
      </c>
      <c r="E181" s="2" t="s">
        <v>2102</v>
      </c>
      <c r="F181" s="4">
        <v>1584.51</v>
      </c>
      <c r="G181" s="5">
        <v>628.84</v>
      </c>
      <c r="H181" s="6">
        <v>5</v>
      </c>
      <c r="I181" s="2" t="s">
        <v>2116</v>
      </c>
      <c r="J181" s="2" t="str">
        <v>Re-Contextualize Viral Mindshare</v>
      </c>
      <c r="K181" s="2" t="str">
        <v>Electronics</v>
      </c>
      <c r="L181" s="2" t="str">
        <v>Carter-Lane</v>
      </c>
      <c r="M181" s="2">
        <v>142.25</v>
      </c>
      <c r="N181" s="16">
        <f t="shared" si="2"/>
        <v>0.39686717029239327</v>
      </c>
    </row>
    <row r="182" spans="2:14" ht="14.4" customHeight="1" x14ac:dyDescent="0.3">
      <c r="B182" s="2" t="s">
        <v>187</v>
      </c>
      <c r="C182" s="3">
        <v>44536</v>
      </c>
      <c r="D182" s="2" t="s">
        <v>2011</v>
      </c>
      <c r="E182" s="2" t="s">
        <v>2070</v>
      </c>
      <c r="F182" s="4">
        <v>3878.18</v>
      </c>
      <c r="G182" s="5">
        <v>610.32000000000005</v>
      </c>
      <c r="H182" s="6">
        <v>2</v>
      </c>
      <c r="I182" s="2" t="s">
        <v>2118</v>
      </c>
      <c r="J182" s="2" t="str">
        <v>Seize Plug-And-Play Web-Readiness</v>
      </c>
      <c r="K182" s="2" t="str">
        <v>Electronics</v>
      </c>
      <c r="L182" s="2" t="str">
        <v>Joseph, Mayer and Carr</v>
      </c>
      <c r="M182" s="2">
        <v>102.73</v>
      </c>
      <c r="N182" s="16">
        <f t="shared" si="2"/>
        <v>0.15737278826666118</v>
      </c>
    </row>
    <row r="183" spans="2:14" ht="14.4" customHeight="1" x14ac:dyDescent="0.3">
      <c r="B183" s="2" t="s">
        <v>188</v>
      </c>
      <c r="C183" s="3">
        <v>45561</v>
      </c>
      <c r="D183" s="2" t="s">
        <v>2011</v>
      </c>
      <c r="E183" s="2" t="s">
        <v>2103</v>
      </c>
      <c r="F183" s="4">
        <v>4544.66</v>
      </c>
      <c r="G183" s="5">
        <v>340.69</v>
      </c>
      <c r="H183" s="6">
        <v>6</v>
      </c>
      <c r="I183" s="2" t="s">
        <v>2116</v>
      </c>
      <c r="J183" s="2" t="str">
        <v>Benchmark Cross-Platform Markets</v>
      </c>
      <c r="K183" s="2" t="str">
        <v>Furniture</v>
      </c>
      <c r="L183" s="2" t="str">
        <v>Murphy, Mathews and Wilson</v>
      </c>
      <c r="M183" s="2">
        <v>78.88</v>
      </c>
      <c r="N183" s="16">
        <f t="shared" si="2"/>
        <v>7.4964903865195637E-2</v>
      </c>
    </row>
    <row r="184" spans="2:14" ht="14.4" customHeight="1" x14ac:dyDescent="0.3">
      <c r="B184" s="2" t="s">
        <v>189</v>
      </c>
      <c r="C184" s="3">
        <v>45550</v>
      </c>
      <c r="D184" s="2" t="s">
        <v>2009</v>
      </c>
      <c r="E184" s="2" t="s">
        <v>2095</v>
      </c>
      <c r="F184" s="4">
        <v>1458.71</v>
      </c>
      <c r="G184" s="5">
        <v>563.96</v>
      </c>
      <c r="H184" s="6">
        <v>5</v>
      </c>
      <c r="I184" s="2" t="s">
        <v>2116</v>
      </c>
      <c r="J184" s="2" t="str">
        <v>Envisioneer B2B Users</v>
      </c>
      <c r="K184" s="2" t="str">
        <v>Office Supplies</v>
      </c>
      <c r="L184" s="2" t="str">
        <v>Rogers Group</v>
      </c>
      <c r="M184" s="2">
        <v>239.16</v>
      </c>
      <c r="N184" s="16">
        <f t="shared" si="2"/>
        <v>0.38661557129244334</v>
      </c>
    </row>
    <row r="185" spans="2:14" ht="14.4" customHeight="1" x14ac:dyDescent="0.3">
      <c r="B185" s="2" t="s">
        <v>190</v>
      </c>
      <c r="C185" s="3">
        <v>44825</v>
      </c>
      <c r="D185" s="2" t="s">
        <v>2012</v>
      </c>
      <c r="E185" s="2" t="s">
        <v>2084</v>
      </c>
      <c r="F185" s="4">
        <v>4868.8100000000004</v>
      </c>
      <c r="G185" s="5">
        <v>758.59</v>
      </c>
      <c r="H185" s="6">
        <v>19</v>
      </c>
      <c r="I185" s="2" t="s">
        <v>2117</v>
      </c>
      <c r="J185" s="2" t="str">
        <v>Grow Synergistic Infrastructures</v>
      </c>
      <c r="K185" s="2" t="str">
        <v>Furniture</v>
      </c>
      <c r="L185" s="2" t="str">
        <v>Adams-Carter</v>
      </c>
      <c r="M185" s="2">
        <v>113.17</v>
      </c>
      <c r="N185" s="16">
        <f t="shared" si="2"/>
        <v>0.15580603884727479</v>
      </c>
    </row>
    <row r="186" spans="2:14" ht="14.4" customHeight="1" x14ac:dyDescent="0.3">
      <c r="B186" s="2" t="s">
        <v>191</v>
      </c>
      <c r="C186" s="3">
        <v>44120</v>
      </c>
      <c r="D186" s="2" t="s">
        <v>2011</v>
      </c>
      <c r="E186" s="2" t="s">
        <v>2024</v>
      </c>
      <c r="F186" s="4">
        <v>2317.48</v>
      </c>
      <c r="G186" s="5">
        <v>171.48</v>
      </c>
      <c r="H186" s="6">
        <v>17</v>
      </c>
      <c r="I186" s="2" t="s">
        <v>2117</v>
      </c>
      <c r="J186" s="2" t="str">
        <v>Target Viral Methodologies</v>
      </c>
      <c r="K186" s="2" t="str">
        <v>Electronics</v>
      </c>
      <c r="L186" s="2" t="str">
        <v>Alvarez, Myers and Walter</v>
      </c>
      <c r="M186" s="2">
        <v>149.26</v>
      </c>
      <c r="N186" s="16">
        <f t="shared" si="2"/>
        <v>7.3994166076945644E-2</v>
      </c>
    </row>
    <row r="187" spans="2:14" ht="14.4" customHeight="1" x14ac:dyDescent="0.3">
      <c r="B187" s="2" t="s">
        <v>192</v>
      </c>
      <c r="C187" s="3">
        <v>45527</v>
      </c>
      <c r="D187" s="2" t="s">
        <v>2011</v>
      </c>
      <c r="E187" s="2" t="s">
        <v>2076</v>
      </c>
      <c r="F187" s="4">
        <v>1471.68</v>
      </c>
      <c r="G187" s="5">
        <v>565.17999999999995</v>
      </c>
      <c r="H187" s="6">
        <v>2</v>
      </c>
      <c r="I187" s="2" t="s">
        <v>2116</v>
      </c>
      <c r="J187" s="2" t="str">
        <v>Deliver Extensible Partnerships</v>
      </c>
      <c r="K187" s="2" t="str">
        <v>Furniture</v>
      </c>
      <c r="L187" s="2" t="str">
        <v>Martin, Paul and Salazar</v>
      </c>
      <c r="M187" s="2">
        <v>43.76</v>
      </c>
      <c r="N187" s="16">
        <f t="shared" si="2"/>
        <v>0.38403729071537285</v>
      </c>
    </row>
    <row r="188" spans="2:14" ht="14.4" customHeight="1" x14ac:dyDescent="0.3">
      <c r="B188" s="2" t="s">
        <v>193</v>
      </c>
      <c r="C188" s="3">
        <v>45117</v>
      </c>
      <c r="D188" s="2" t="s">
        <v>2012</v>
      </c>
      <c r="E188" s="2" t="s">
        <v>2058</v>
      </c>
      <c r="F188" s="4">
        <v>89.71</v>
      </c>
      <c r="G188" s="5">
        <v>392.31</v>
      </c>
      <c r="H188" s="6">
        <v>14</v>
      </c>
      <c r="I188" s="2" t="s">
        <v>2116</v>
      </c>
      <c r="J188" s="2" t="str">
        <v>Envisioneer B2C Web-Readiness</v>
      </c>
      <c r="K188" s="2" t="str">
        <v>Electronics</v>
      </c>
      <c r="L188" s="2" t="str">
        <v>Kemp Group</v>
      </c>
      <c r="M188" s="2">
        <v>97.23</v>
      </c>
      <c r="N188" s="16">
        <f t="shared" si="2"/>
        <v>4.3730910712295179</v>
      </c>
    </row>
    <row r="189" spans="2:14" ht="14.4" customHeight="1" x14ac:dyDescent="0.3">
      <c r="B189" s="2" t="s">
        <v>194</v>
      </c>
      <c r="C189" s="3">
        <v>45100</v>
      </c>
      <c r="D189" s="2" t="s">
        <v>2012</v>
      </c>
      <c r="E189" s="2" t="s">
        <v>2032</v>
      </c>
      <c r="F189" s="4">
        <v>1556.46</v>
      </c>
      <c r="G189" s="5">
        <v>691.61</v>
      </c>
      <c r="H189" s="6">
        <v>14</v>
      </c>
      <c r="I189" s="2" t="s">
        <v>2117</v>
      </c>
      <c r="J189" s="2" t="str">
        <v>Reinvent Frictionless Roi</v>
      </c>
      <c r="K189" s="2" t="str">
        <v>Furniture</v>
      </c>
      <c r="L189" s="2" t="str">
        <v>Bridges, Castillo and Rodriguez</v>
      </c>
      <c r="M189" s="2">
        <v>253.89</v>
      </c>
      <c r="N189" s="16">
        <f t="shared" si="2"/>
        <v>0.44434807190676279</v>
      </c>
    </row>
    <row r="190" spans="2:14" ht="14.4" customHeight="1" x14ac:dyDescent="0.3">
      <c r="B190" s="2" t="s">
        <v>195</v>
      </c>
      <c r="C190" s="3">
        <v>45049</v>
      </c>
      <c r="D190" s="2" t="s">
        <v>2009</v>
      </c>
      <c r="E190" s="2" t="s">
        <v>2013</v>
      </c>
      <c r="F190" s="4">
        <v>4261.3500000000004</v>
      </c>
      <c r="G190" s="5">
        <v>829.06</v>
      </c>
      <c r="H190" s="6">
        <v>15</v>
      </c>
      <c r="I190" s="2" t="s">
        <v>2116</v>
      </c>
      <c r="J190" s="2" t="str">
        <v>Re-Intermediate Seamless Applications</v>
      </c>
      <c r="K190" s="2" t="str">
        <v>Office Supplies</v>
      </c>
      <c r="L190" s="2" t="str">
        <v>Welch-Reed</v>
      </c>
      <c r="M190" s="2">
        <v>45.82</v>
      </c>
      <c r="N190" s="16">
        <f t="shared" si="2"/>
        <v>0.1945533692374482</v>
      </c>
    </row>
    <row r="191" spans="2:14" ht="14.4" customHeight="1" x14ac:dyDescent="0.3">
      <c r="B191" s="2" t="s">
        <v>196</v>
      </c>
      <c r="C191" s="3">
        <v>44876</v>
      </c>
      <c r="D191" s="2" t="s">
        <v>2009</v>
      </c>
      <c r="E191" s="2" t="s">
        <v>2022</v>
      </c>
      <c r="F191" s="4">
        <v>1119.4000000000001</v>
      </c>
      <c r="G191" s="5">
        <v>126.24</v>
      </c>
      <c r="H191" s="6">
        <v>6</v>
      </c>
      <c r="I191" s="2" t="s">
        <v>2117</v>
      </c>
      <c r="J191" s="2" t="str">
        <v>Monetize Collaborative Metrics</v>
      </c>
      <c r="K191" s="2" t="str">
        <v>Electronics</v>
      </c>
      <c r="L191" s="2" t="str">
        <v>Ramirez-Brown</v>
      </c>
      <c r="M191" s="2">
        <v>286.04000000000002</v>
      </c>
      <c r="N191" s="16">
        <f t="shared" si="2"/>
        <v>0.11277470073253527</v>
      </c>
    </row>
    <row r="192" spans="2:14" ht="14.4" customHeight="1" x14ac:dyDescent="0.3">
      <c r="B192" s="2" t="s">
        <v>197</v>
      </c>
      <c r="C192" s="3">
        <v>44795</v>
      </c>
      <c r="D192" s="2" t="s">
        <v>2010</v>
      </c>
      <c r="E192" s="2" t="s">
        <v>2040</v>
      </c>
      <c r="F192" s="4">
        <v>4606.8</v>
      </c>
      <c r="G192" s="5">
        <v>868.72</v>
      </c>
      <c r="H192" s="6">
        <v>16</v>
      </c>
      <c r="I192" s="2" t="s">
        <v>2118</v>
      </c>
      <c r="J192" s="2" t="str">
        <v>Synergize End-To-End Supply-Chains</v>
      </c>
      <c r="K192" s="2" t="str">
        <v>Office Supplies</v>
      </c>
      <c r="L192" s="2" t="str">
        <v>Higgins-Espinoza</v>
      </c>
      <c r="M192" s="2">
        <v>279.8</v>
      </c>
      <c r="N192" s="16">
        <f t="shared" si="2"/>
        <v>0.18857341321524704</v>
      </c>
    </row>
    <row r="193" spans="2:14" ht="14.4" customHeight="1" x14ac:dyDescent="0.3">
      <c r="B193" s="2" t="s">
        <v>198</v>
      </c>
      <c r="C193" s="3">
        <v>44610</v>
      </c>
      <c r="D193" s="2" t="s">
        <v>2011</v>
      </c>
      <c r="E193" s="2" t="s">
        <v>2080</v>
      </c>
      <c r="F193" s="4">
        <v>3894.2</v>
      </c>
      <c r="G193" s="5">
        <v>265.14</v>
      </c>
      <c r="H193" s="6">
        <v>8</v>
      </c>
      <c r="I193" s="2" t="s">
        <v>2117</v>
      </c>
      <c r="J193" s="2" t="str">
        <v>Scale Vertical Networks</v>
      </c>
      <c r="K193" s="2" t="str">
        <v>Furniture</v>
      </c>
      <c r="L193" s="2" t="str">
        <v>Lam, Wood and Jacobs</v>
      </c>
      <c r="M193" s="2">
        <v>133.24</v>
      </c>
      <c r="N193" s="16">
        <f t="shared" si="2"/>
        <v>6.8085871295773204E-2</v>
      </c>
    </row>
    <row r="194" spans="2:14" ht="14.4" customHeight="1" x14ac:dyDescent="0.3">
      <c r="B194" s="2" t="s">
        <v>199</v>
      </c>
      <c r="C194" s="3">
        <v>44273</v>
      </c>
      <c r="D194" s="2" t="s">
        <v>2009</v>
      </c>
      <c r="E194" s="2" t="s">
        <v>2030</v>
      </c>
      <c r="F194" s="4">
        <v>230.22</v>
      </c>
      <c r="G194" s="5">
        <v>538.6</v>
      </c>
      <c r="H194" s="6">
        <v>19</v>
      </c>
      <c r="I194" s="2" t="s">
        <v>2117</v>
      </c>
      <c r="J194" s="2" t="str">
        <v>Engage Rich Web-Readiness</v>
      </c>
      <c r="K194" s="2" t="str">
        <v>Office Supplies</v>
      </c>
      <c r="L194" s="2" t="str">
        <v>Turner Inc</v>
      </c>
      <c r="M194" s="2">
        <v>81.069999999999993</v>
      </c>
      <c r="N194" s="16">
        <f t="shared" si="2"/>
        <v>2.3395013465380941</v>
      </c>
    </row>
    <row r="195" spans="2:14" ht="14.4" customHeight="1" x14ac:dyDescent="0.3">
      <c r="B195" s="2" t="s">
        <v>200</v>
      </c>
      <c r="C195" s="3">
        <v>43915</v>
      </c>
      <c r="D195" s="2" t="s">
        <v>2011</v>
      </c>
      <c r="E195" s="2" t="s">
        <v>2037</v>
      </c>
      <c r="F195" s="4">
        <v>3342.99</v>
      </c>
      <c r="G195" s="5">
        <v>788.51</v>
      </c>
      <c r="H195" s="6">
        <v>1</v>
      </c>
      <c r="I195" s="2" t="s">
        <v>2117</v>
      </c>
      <c r="J195" s="2" t="str">
        <v>Utilize Back-End Models</v>
      </c>
      <c r="K195" s="2" t="str">
        <v>Furniture</v>
      </c>
      <c r="L195" s="2" t="str">
        <v>Lewis-Holden</v>
      </c>
      <c r="M195" s="2">
        <v>241.53</v>
      </c>
      <c r="N195" s="16">
        <f t="shared" si="2"/>
        <v>0.23586968552104554</v>
      </c>
    </row>
    <row r="196" spans="2:14" ht="14.4" customHeight="1" x14ac:dyDescent="0.3">
      <c r="B196" s="2" t="s">
        <v>201</v>
      </c>
      <c r="C196" s="3">
        <v>44023</v>
      </c>
      <c r="D196" s="2" t="s">
        <v>2010</v>
      </c>
      <c r="E196" s="2" t="s">
        <v>2098</v>
      </c>
      <c r="F196" s="4">
        <v>2824.55</v>
      </c>
      <c r="G196" s="5">
        <v>96.29</v>
      </c>
      <c r="H196" s="6">
        <v>1</v>
      </c>
      <c r="I196" s="2" t="s">
        <v>2118</v>
      </c>
      <c r="J196" s="2" t="str">
        <v>Deliver Viral Channels</v>
      </c>
      <c r="K196" s="2" t="str">
        <v>Furniture</v>
      </c>
      <c r="L196" s="2" t="str">
        <v>Parker LLC</v>
      </c>
      <c r="M196" s="2">
        <v>45.41</v>
      </c>
      <c r="N196" s="16">
        <f t="shared" si="2"/>
        <v>3.4090386079198454E-2</v>
      </c>
    </row>
    <row r="197" spans="2:14" ht="14.4" customHeight="1" x14ac:dyDescent="0.3">
      <c r="B197" s="2" t="s">
        <v>202</v>
      </c>
      <c r="C197" s="3">
        <v>45109</v>
      </c>
      <c r="D197" s="2" t="s">
        <v>2010</v>
      </c>
      <c r="E197" s="2" t="s">
        <v>2035</v>
      </c>
      <c r="F197" s="4">
        <v>4959.1899999999996</v>
      </c>
      <c r="G197" s="5">
        <v>298.20999999999998</v>
      </c>
      <c r="H197" s="6">
        <v>2</v>
      </c>
      <c r="I197" s="2" t="s">
        <v>2116</v>
      </c>
      <c r="J197" s="2" t="str">
        <v>Optimize 24/365 E-Services</v>
      </c>
      <c r="K197" s="2" t="str">
        <v>Office Supplies</v>
      </c>
      <c r="L197" s="2" t="str">
        <v>Chase Ltd</v>
      </c>
      <c r="M197" s="2">
        <v>100.35</v>
      </c>
      <c r="N197" s="16">
        <f t="shared" ref="N197:N260" si="3">(G197/F197)</f>
        <v>6.0132803945805668E-2</v>
      </c>
    </row>
    <row r="198" spans="2:14" ht="14.4" customHeight="1" x14ac:dyDescent="0.3">
      <c r="B198" s="2" t="s">
        <v>203</v>
      </c>
      <c r="C198" s="3">
        <v>45103</v>
      </c>
      <c r="D198" s="2" t="s">
        <v>2011</v>
      </c>
      <c r="E198" s="2" t="s">
        <v>2050</v>
      </c>
      <c r="F198" s="4">
        <v>4539.2299999999996</v>
      </c>
      <c r="G198" s="5">
        <v>611.03</v>
      </c>
      <c r="H198" s="6">
        <v>6</v>
      </c>
      <c r="I198" s="2" t="s">
        <v>2118</v>
      </c>
      <c r="J198" s="2" t="str">
        <v>Extend Bricks-And-Clicks Architectures</v>
      </c>
      <c r="K198" s="2" t="str">
        <v>Furniture</v>
      </c>
      <c r="L198" s="2" t="str">
        <v>Fuller PLC</v>
      </c>
      <c r="M198" s="2">
        <v>202.99</v>
      </c>
      <c r="N198" s="16">
        <f t="shared" si="3"/>
        <v>0.13461093621605427</v>
      </c>
    </row>
    <row r="199" spans="2:14" ht="14.4" customHeight="1" x14ac:dyDescent="0.3">
      <c r="B199" s="2" t="s">
        <v>204</v>
      </c>
      <c r="C199" s="3">
        <v>45329</v>
      </c>
      <c r="D199" s="2" t="s">
        <v>2011</v>
      </c>
      <c r="E199" s="2" t="s">
        <v>2037</v>
      </c>
      <c r="F199" s="4">
        <v>4955.5200000000004</v>
      </c>
      <c r="G199" s="5">
        <v>561.07000000000005</v>
      </c>
      <c r="H199" s="6">
        <v>10</v>
      </c>
      <c r="I199" s="2" t="s">
        <v>2117</v>
      </c>
      <c r="J199" s="2" t="str">
        <v>Utilize Back-End Models</v>
      </c>
      <c r="K199" s="2" t="str">
        <v>Furniture</v>
      </c>
      <c r="L199" s="2" t="str">
        <v>Lewis-Holden</v>
      </c>
      <c r="M199" s="2">
        <v>241.53</v>
      </c>
      <c r="N199" s="16">
        <f t="shared" si="3"/>
        <v>0.11322121593697533</v>
      </c>
    </row>
    <row r="200" spans="2:14" ht="14.4" customHeight="1" x14ac:dyDescent="0.3">
      <c r="B200" s="2" t="s">
        <v>205</v>
      </c>
      <c r="C200" s="3">
        <v>44787</v>
      </c>
      <c r="D200" s="2" t="s">
        <v>2012</v>
      </c>
      <c r="E200" s="2" t="s">
        <v>2016</v>
      </c>
      <c r="F200" s="4">
        <v>1793.71</v>
      </c>
      <c r="G200" s="5">
        <v>64.040000000000006</v>
      </c>
      <c r="H200" s="6">
        <v>7</v>
      </c>
      <c r="I200" s="2" t="s">
        <v>2117</v>
      </c>
      <c r="J200" s="2" t="str">
        <v>Revolutionize Efficient Niches</v>
      </c>
      <c r="K200" s="2" t="str">
        <v>Electronics</v>
      </c>
      <c r="L200" s="2" t="str">
        <v>Lopez-Torres</v>
      </c>
      <c r="M200" s="2">
        <v>23.02</v>
      </c>
      <c r="N200" s="16">
        <f t="shared" si="3"/>
        <v>3.5702538314443255E-2</v>
      </c>
    </row>
    <row r="201" spans="2:14" ht="14.4" customHeight="1" x14ac:dyDescent="0.3">
      <c r="B201" s="2" t="s">
        <v>206</v>
      </c>
      <c r="C201" s="3">
        <v>44999</v>
      </c>
      <c r="D201" s="2" t="s">
        <v>2012</v>
      </c>
      <c r="E201" s="2" t="s">
        <v>2104</v>
      </c>
      <c r="F201" s="4">
        <v>3220.07</v>
      </c>
      <c r="G201" s="5">
        <v>920.77</v>
      </c>
      <c r="H201" s="6">
        <v>19</v>
      </c>
      <c r="I201" s="2" t="s">
        <v>2118</v>
      </c>
      <c r="J201" s="2" t="str">
        <v>Scale Cross-Platform Web Services</v>
      </c>
      <c r="K201" s="2" t="str">
        <v>Furniture</v>
      </c>
      <c r="L201" s="2" t="str">
        <v>Morrow, Brock and Lewis</v>
      </c>
      <c r="M201" s="2">
        <v>115.21</v>
      </c>
      <c r="N201" s="16">
        <f t="shared" si="3"/>
        <v>0.28594719990559209</v>
      </c>
    </row>
    <row r="202" spans="2:14" ht="14.4" customHeight="1" x14ac:dyDescent="0.3">
      <c r="B202" s="2" t="s">
        <v>207</v>
      </c>
      <c r="C202" s="3">
        <v>44903</v>
      </c>
      <c r="D202" s="2" t="s">
        <v>2012</v>
      </c>
      <c r="E202" s="2" t="s">
        <v>2087</v>
      </c>
      <c r="F202" s="4">
        <v>1361.46</v>
      </c>
      <c r="G202" s="5">
        <v>267.49</v>
      </c>
      <c r="H202" s="6">
        <v>3</v>
      </c>
      <c r="I202" s="2" t="s">
        <v>2116</v>
      </c>
      <c r="J202" s="2" t="str">
        <v>Empower Seamless Roi</v>
      </c>
      <c r="K202" s="2" t="str">
        <v>Office Supplies</v>
      </c>
      <c r="L202" s="2" t="str">
        <v>Proctor Group</v>
      </c>
      <c r="M202" s="2">
        <v>266.64999999999998</v>
      </c>
      <c r="N202" s="16">
        <f t="shared" si="3"/>
        <v>0.19647290408825818</v>
      </c>
    </row>
    <row r="203" spans="2:14" ht="14.4" customHeight="1" x14ac:dyDescent="0.3">
      <c r="B203" s="2" t="s">
        <v>208</v>
      </c>
      <c r="C203" s="3">
        <v>44671</v>
      </c>
      <c r="D203" s="2" t="s">
        <v>2012</v>
      </c>
      <c r="E203" s="2" t="s">
        <v>2077</v>
      </c>
      <c r="F203" s="4">
        <v>4348.88</v>
      </c>
      <c r="G203" s="5">
        <v>696.78</v>
      </c>
      <c r="H203" s="6">
        <v>5</v>
      </c>
      <c r="I203" s="2" t="s">
        <v>2116</v>
      </c>
      <c r="J203" s="2" t="str">
        <v>Synthesize Wireless Initiatives</v>
      </c>
      <c r="K203" s="2" t="str">
        <v>Electronics</v>
      </c>
      <c r="L203" s="2" t="str">
        <v>Mosley Ltd</v>
      </c>
      <c r="M203" s="2">
        <v>162.69999999999999</v>
      </c>
      <c r="N203" s="16">
        <f t="shared" si="3"/>
        <v>0.16022056253564135</v>
      </c>
    </row>
    <row r="204" spans="2:14" ht="14.4" customHeight="1" x14ac:dyDescent="0.3">
      <c r="B204" s="2" t="s">
        <v>209</v>
      </c>
      <c r="C204" s="3">
        <v>44502</v>
      </c>
      <c r="D204" s="2" t="s">
        <v>2010</v>
      </c>
      <c r="E204" s="2" t="s">
        <v>2037</v>
      </c>
      <c r="F204" s="4">
        <v>2881.67</v>
      </c>
      <c r="G204" s="5">
        <v>418.66</v>
      </c>
      <c r="H204" s="6">
        <v>11</v>
      </c>
      <c r="I204" s="2" t="s">
        <v>2117</v>
      </c>
      <c r="J204" s="2" t="str">
        <v>Utilize Back-End Models</v>
      </c>
      <c r="K204" s="2" t="str">
        <v>Furniture</v>
      </c>
      <c r="L204" s="2" t="str">
        <v>Lewis-Holden</v>
      </c>
      <c r="M204" s="2">
        <v>241.53</v>
      </c>
      <c r="N204" s="16">
        <f t="shared" si="3"/>
        <v>0.14528381112341107</v>
      </c>
    </row>
    <row r="205" spans="2:14" ht="14.4" customHeight="1" x14ac:dyDescent="0.3">
      <c r="B205" s="2" t="s">
        <v>210</v>
      </c>
      <c r="C205" s="3">
        <v>45587</v>
      </c>
      <c r="D205" s="2" t="s">
        <v>2012</v>
      </c>
      <c r="E205" s="2" t="s">
        <v>2057</v>
      </c>
      <c r="F205" s="4">
        <v>3579.89</v>
      </c>
      <c r="G205" s="5">
        <v>686.12</v>
      </c>
      <c r="H205" s="6">
        <v>15</v>
      </c>
      <c r="I205" s="2" t="s">
        <v>2116</v>
      </c>
      <c r="J205" s="2" t="str">
        <v>Reinvent Out-Of-The-Box Models</v>
      </c>
      <c r="K205" s="2" t="str">
        <v>Office Supplies</v>
      </c>
      <c r="L205" s="2" t="str">
        <v>Wagner-Curtis</v>
      </c>
      <c r="M205" s="2">
        <v>172.34</v>
      </c>
      <c r="N205" s="16">
        <f t="shared" si="3"/>
        <v>0.19165952026458916</v>
      </c>
    </row>
    <row r="206" spans="2:14" ht="14.4" customHeight="1" x14ac:dyDescent="0.3">
      <c r="B206" s="2" t="s">
        <v>211</v>
      </c>
      <c r="C206" s="3">
        <v>44198</v>
      </c>
      <c r="D206" s="2" t="s">
        <v>2009</v>
      </c>
      <c r="E206" s="2" t="s">
        <v>2050</v>
      </c>
      <c r="F206" s="4">
        <v>3600.04</v>
      </c>
      <c r="G206" s="5">
        <v>277.41000000000003</v>
      </c>
      <c r="H206" s="6">
        <v>1</v>
      </c>
      <c r="I206" s="2" t="s">
        <v>2116</v>
      </c>
      <c r="J206" s="2" t="str">
        <v>Extend Bricks-And-Clicks Architectures</v>
      </c>
      <c r="K206" s="2" t="str">
        <v>Furniture</v>
      </c>
      <c r="L206" s="2" t="str">
        <v>Fuller PLC</v>
      </c>
      <c r="M206" s="2">
        <v>202.99</v>
      </c>
      <c r="N206" s="16">
        <f t="shared" si="3"/>
        <v>7.7057477139142905E-2</v>
      </c>
    </row>
    <row r="207" spans="2:14" ht="14.4" customHeight="1" x14ac:dyDescent="0.3">
      <c r="B207" s="2" t="s">
        <v>212</v>
      </c>
      <c r="C207" s="3">
        <v>44056</v>
      </c>
      <c r="D207" s="2" t="s">
        <v>2011</v>
      </c>
      <c r="E207" s="2" t="s">
        <v>2083</v>
      </c>
      <c r="F207" s="4">
        <v>2730.85</v>
      </c>
      <c r="G207" s="5">
        <v>355.32</v>
      </c>
      <c r="H207" s="6">
        <v>9</v>
      </c>
      <c r="I207" s="2" t="s">
        <v>2118</v>
      </c>
      <c r="J207" s="2" t="str">
        <v>Whiteboard Sticky Content</v>
      </c>
      <c r="K207" s="2" t="str">
        <v>Furniture</v>
      </c>
      <c r="L207" s="2" t="str">
        <v>Wolfe Group</v>
      </c>
      <c r="M207" s="2">
        <v>82.16</v>
      </c>
      <c r="N207" s="16">
        <f t="shared" si="3"/>
        <v>0.13011333467601663</v>
      </c>
    </row>
    <row r="208" spans="2:14" ht="14.4" customHeight="1" x14ac:dyDescent="0.3">
      <c r="B208" s="2" t="s">
        <v>213</v>
      </c>
      <c r="C208" s="3">
        <v>45425</v>
      </c>
      <c r="D208" s="2" t="s">
        <v>2010</v>
      </c>
      <c r="E208" s="2" t="s">
        <v>2037</v>
      </c>
      <c r="F208" s="4">
        <v>3770.22</v>
      </c>
      <c r="G208" s="5">
        <v>642.71</v>
      </c>
      <c r="H208" s="6">
        <v>20</v>
      </c>
      <c r="I208" s="2" t="s">
        <v>2117</v>
      </c>
      <c r="J208" s="2" t="str">
        <v>Utilize Back-End Models</v>
      </c>
      <c r="K208" s="2" t="str">
        <v>Furniture</v>
      </c>
      <c r="L208" s="2" t="str">
        <v>Lewis-Holden</v>
      </c>
      <c r="M208" s="2">
        <v>241.53</v>
      </c>
      <c r="N208" s="16">
        <f t="shared" si="3"/>
        <v>0.17047015824010273</v>
      </c>
    </row>
    <row r="209" spans="2:14" ht="14.4" customHeight="1" x14ac:dyDescent="0.3">
      <c r="B209" s="2" t="s">
        <v>214</v>
      </c>
      <c r="C209" s="3">
        <v>44420</v>
      </c>
      <c r="D209" s="2" t="s">
        <v>2011</v>
      </c>
      <c r="E209" s="2" t="s">
        <v>2016</v>
      </c>
      <c r="F209" s="4">
        <v>2898.51</v>
      </c>
      <c r="G209" s="5">
        <v>731.63</v>
      </c>
      <c r="H209" s="6">
        <v>16</v>
      </c>
      <c r="I209" s="2" t="s">
        <v>2117</v>
      </c>
      <c r="J209" s="2" t="str">
        <v>Revolutionize Efficient Niches</v>
      </c>
      <c r="K209" s="2" t="str">
        <v>Electronics</v>
      </c>
      <c r="L209" s="2" t="str">
        <v>Lopez-Torres</v>
      </c>
      <c r="M209" s="2">
        <v>23.02</v>
      </c>
      <c r="N209" s="16">
        <f t="shared" si="3"/>
        <v>0.252415896443345</v>
      </c>
    </row>
    <row r="210" spans="2:14" ht="14.4" customHeight="1" x14ac:dyDescent="0.3">
      <c r="B210" s="2" t="s">
        <v>215</v>
      </c>
      <c r="C210" s="3">
        <v>45573</v>
      </c>
      <c r="D210" s="2" t="s">
        <v>2009</v>
      </c>
      <c r="E210" s="2" t="s">
        <v>2062</v>
      </c>
      <c r="F210" s="4">
        <v>4376.88</v>
      </c>
      <c r="G210" s="5">
        <v>882.99</v>
      </c>
      <c r="H210" s="6">
        <v>3</v>
      </c>
      <c r="I210" s="2" t="s">
        <v>2116</v>
      </c>
      <c r="J210" s="2" t="str">
        <v>Incubate Real-Time E-Tailers</v>
      </c>
      <c r="K210" s="2" t="str">
        <v>Electronics</v>
      </c>
      <c r="L210" s="2" t="str">
        <v>Johnson-Riley</v>
      </c>
      <c r="M210" s="2">
        <v>86.67</v>
      </c>
      <c r="N210" s="16">
        <f t="shared" si="3"/>
        <v>0.20173959532817898</v>
      </c>
    </row>
    <row r="211" spans="2:14" ht="14.4" customHeight="1" x14ac:dyDescent="0.3">
      <c r="B211" s="2" t="s">
        <v>216</v>
      </c>
      <c r="C211" s="3">
        <v>44486</v>
      </c>
      <c r="D211" s="2" t="s">
        <v>2010</v>
      </c>
      <c r="E211" s="2" t="s">
        <v>2039</v>
      </c>
      <c r="F211" s="4">
        <v>2070.38</v>
      </c>
      <c r="G211" s="5">
        <v>608.09</v>
      </c>
      <c r="H211" s="6">
        <v>13</v>
      </c>
      <c r="I211" s="2" t="s">
        <v>2116</v>
      </c>
      <c r="J211" s="2" t="str">
        <v>Empower Dot-Com Deliverables</v>
      </c>
      <c r="K211" s="2" t="str">
        <v>Electronics</v>
      </c>
      <c r="L211" s="2" t="str">
        <v>Davis LLC</v>
      </c>
      <c r="M211" s="2">
        <v>250.66</v>
      </c>
      <c r="N211" s="16">
        <f t="shared" si="3"/>
        <v>0.29370936736251319</v>
      </c>
    </row>
    <row r="212" spans="2:14" ht="14.4" customHeight="1" x14ac:dyDescent="0.3">
      <c r="B212" s="2" t="s">
        <v>217</v>
      </c>
      <c r="C212" s="3">
        <v>44794</v>
      </c>
      <c r="D212" s="2" t="s">
        <v>2011</v>
      </c>
      <c r="E212" s="2" t="s">
        <v>2070</v>
      </c>
      <c r="F212" s="4">
        <v>3564.37</v>
      </c>
      <c r="G212" s="5">
        <v>768.53</v>
      </c>
      <c r="H212" s="6">
        <v>12</v>
      </c>
      <c r="I212" s="2" t="s">
        <v>2117</v>
      </c>
      <c r="J212" s="2" t="str">
        <v>Seize Plug-And-Play Web-Readiness</v>
      </c>
      <c r="K212" s="2" t="str">
        <v>Electronics</v>
      </c>
      <c r="L212" s="2" t="str">
        <v>Joseph, Mayer and Carr</v>
      </c>
      <c r="M212" s="2">
        <v>102.73</v>
      </c>
      <c r="N212" s="16">
        <f t="shared" si="3"/>
        <v>0.21561454057799836</v>
      </c>
    </row>
    <row r="213" spans="2:14" ht="14.4" customHeight="1" x14ac:dyDescent="0.3">
      <c r="B213" s="2" t="s">
        <v>218</v>
      </c>
      <c r="C213" s="3">
        <v>43958</v>
      </c>
      <c r="D213" s="2" t="s">
        <v>2010</v>
      </c>
      <c r="E213" s="2" t="s">
        <v>2031</v>
      </c>
      <c r="F213" s="4">
        <v>1220.78</v>
      </c>
      <c r="G213" s="5">
        <v>189.35</v>
      </c>
      <c r="H213" s="6">
        <v>2</v>
      </c>
      <c r="I213" s="2" t="s">
        <v>2117</v>
      </c>
      <c r="J213" s="2" t="str">
        <v>Embrace 24/365 Functionalities</v>
      </c>
      <c r="K213" s="2" t="str">
        <v>Office Supplies</v>
      </c>
      <c r="L213" s="2" t="str">
        <v>Smith LLC</v>
      </c>
      <c r="M213" s="2">
        <v>204.04</v>
      </c>
      <c r="N213" s="16">
        <f t="shared" si="3"/>
        <v>0.15510575206015825</v>
      </c>
    </row>
    <row r="214" spans="2:14" ht="14.4" customHeight="1" x14ac:dyDescent="0.3">
      <c r="B214" s="2" t="s">
        <v>219</v>
      </c>
      <c r="C214" s="3">
        <v>43982</v>
      </c>
      <c r="D214" s="2" t="s">
        <v>2012</v>
      </c>
      <c r="E214" s="2" t="s">
        <v>2036</v>
      </c>
      <c r="F214" s="4">
        <v>2970.14</v>
      </c>
      <c r="G214" s="5">
        <v>532.91</v>
      </c>
      <c r="H214" s="6">
        <v>6</v>
      </c>
      <c r="I214" s="2" t="s">
        <v>2118</v>
      </c>
      <c r="J214" s="2" t="str">
        <v>Innovate Strategic Systems</v>
      </c>
      <c r="K214" s="2" t="str">
        <v>Office Supplies</v>
      </c>
      <c r="L214" s="2" t="str">
        <v>Mcfarland, Parker and Armstrong</v>
      </c>
      <c r="M214" s="2">
        <v>70.239999999999995</v>
      </c>
      <c r="N214" s="16">
        <f t="shared" si="3"/>
        <v>0.17942251880382742</v>
      </c>
    </row>
    <row r="215" spans="2:14" ht="14.4" customHeight="1" x14ac:dyDescent="0.3">
      <c r="B215" s="2" t="s">
        <v>220</v>
      </c>
      <c r="C215" s="3">
        <v>44297</v>
      </c>
      <c r="D215" s="2" t="s">
        <v>2011</v>
      </c>
      <c r="E215" s="2" t="s">
        <v>2063</v>
      </c>
      <c r="F215" s="4">
        <v>2423.65</v>
      </c>
      <c r="G215" s="5">
        <v>258.38</v>
      </c>
      <c r="H215" s="6">
        <v>9</v>
      </c>
      <c r="I215" s="2" t="s">
        <v>2117</v>
      </c>
      <c r="J215" s="2" t="str">
        <v>Unleash End-To-End Web Services</v>
      </c>
      <c r="K215" s="2" t="str">
        <v>Office Supplies</v>
      </c>
      <c r="L215" s="2" t="str">
        <v>Jones Ltd</v>
      </c>
      <c r="M215" s="2">
        <v>188.02</v>
      </c>
      <c r="N215" s="16">
        <f t="shared" si="3"/>
        <v>0.10660780228168258</v>
      </c>
    </row>
    <row r="216" spans="2:14" ht="14.4" customHeight="1" x14ac:dyDescent="0.3">
      <c r="B216" s="2" t="s">
        <v>221</v>
      </c>
      <c r="C216" s="3">
        <v>44554</v>
      </c>
      <c r="D216" s="2" t="s">
        <v>2011</v>
      </c>
      <c r="E216" s="2" t="s">
        <v>2048</v>
      </c>
      <c r="F216" s="4">
        <v>449.08</v>
      </c>
      <c r="G216" s="5">
        <v>451.79</v>
      </c>
      <c r="H216" s="6">
        <v>15</v>
      </c>
      <c r="I216" s="2" t="s">
        <v>2117</v>
      </c>
      <c r="J216" s="2" t="str">
        <v>Drive Compelling E-Services</v>
      </c>
      <c r="K216" s="2" t="str">
        <v>Office Supplies</v>
      </c>
      <c r="L216" s="2" t="str">
        <v>Morris-Villanueva</v>
      </c>
      <c r="M216" s="2">
        <v>27.22</v>
      </c>
      <c r="N216" s="16">
        <f t="shared" si="3"/>
        <v>1.0060345595439566</v>
      </c>
    </row>
    <row r="217" spans="2:14" ht="14.4" customHeight="1" x14ac:dyDescent="0.3">
      <c r="B217" s="2" t="s">
        <v>222</v>
      </c>
      <c r="C217" s="3">
        <v>44872</v>
      </c>
      <c r="D217" s="2" t="s">
        <v>2009</v>
      </c>
      <c r="E217" s="2" t="s">
        <v>2040</v>
      </c>
      <c r="F217" s="4">
        <v>1559.67</v>
      </c>
      <c r="G217" s="5">
        <v>297.14</v>
      </c>
      <c r="H217" s="6">
        <v>3</v>
      </c>
      <c r="I217" s="2" t="s">
        <v>2116</v>
      </c>
      <c r="J217" s="2" t="str">
        <v>Synergize End-To-End Supply-Chains</v>
      </c>
      <c r="K217" s="2" t="str">
        <v>Office Supplies</v>
      </c>
      <c r="L217" s="2" t="str">
        <v>Higgins-Espinoza</v>
      </c>
      <c r="M217" s="2">
        <v>279.8</v>
      </c>
      <c r="N217" s="16">
        <f t="shared" si="3"/>
        <v>0.19051466015246812</v>
      </c>
    </row>
    <row r="218" spans="2:14" ht="14.4" customHeight="1" x14ac:dyDescent="0.3">
      <c r="B218" s="2" t="s">
        <v>223</v>
      </c>
      <c r="C218" s="3">
        <v>44229</v>
      </c>
      <c r="D218" s="2" t="s">
        <v>2009</v>
      </c>
      <c r="E218" s="2" t="s">
        <v>2077</v>
      </c>
      <c r="F218" s="4">
        <v>4868.18</v>
      </c>
      <c r="G218" s="5">
        <v>744.96</v>
      </c>
      <c r="H218" s="6">
        <v>10</v>
      </c>
      <c r="I218" s="2" t="s">
        <v>2118</v>
      </c>
      <c r="J218" s="2" t="str">
        <v>Synthesize Wireless Initiatives</v>
      </c>
      <c r="K218" s="2" t="str">
        <v>Electronics</v>
      </c>
      <c r="L218" s="2" t="str">
        <v>Mosley Ltd</v>
      </c>
      <c r="M218" s="2">
        <v>162.69999999999999</v>
      </c>
      <c r="N218" s="16">
        <f t="shared" si="3"/>
        <v>0.15302638768492538</v>
      </c>
    </row>
    <row r="219" spans="2:14" ht="14.4" customHeight="1" x14ac:dyDescent="0.3">
      <c r="B219" s="2" t="s">
        <v>224</v>
      </c>
      <c r="C219" s="3">
        <v>44596</v>
      </c>
      <c r="D219" s="2" t="s">
        <v>2010</v>
      </c>
      <c r="E219" s="2" t="s">
        <v>2093</v>
      </c>
      <c r="F219" s="4">
        <v>2452.37</v>
      </c>
      <c r="G219" s="5">
        <v>549.54</v>
      </c>
      <c r="H219" s="6">
        <v>16</v>
      </c>
      <c r="I219" s="2" t="s">
        <v>2117</v>
      </c>
      <c r="J219" s="2" t="str">
        <v>Synergize Frictionless Synergies</v>
      </c>
      <c r="K219" s="2" t="str">
        <v>Furniture</v>
      </c>
      <c r="L219" s="2" t="str">
        <v>Hester and Sons</v>
      </c>
      <c r="M219" s="2">
        <v>289.06</v>
      </c>
      <c r="N219" s="16">
        <f t="shared" si="3"/>
        <v>0.22408527261383884</v>
      </c>
    </row>
    <row r="220" spans="2:14" ht="14.4" customHeight="1" x14ac:dyDescent="0.3">
      <c r="B220" s="2" t="s">
        <v>225</v>
      </c>
      <c r="C220" s="3">
        <v>43978</v>
      </c>
      <c r="D220" s="2" t="s">
        <v>2012</v>
      </c>
      <c r="E220" s="2" t="s">
        <v>2097</v>
      </c>
      <c r="F220" s="4">
        <v>1622.75</v>
      </c>
      <c r="G220" s="5">
        <v>762.28</v>
      </c>
      <c r="H220" s="6">
        <v>18</v>
      </c>
      <c r="I220" s="2" t="s">
        <v>2117</v>
      </c>
      <c r="J220" s="2" t="str">
        <v>Generate End-To-End Functionalities</v>
      </c>
      <c r="K220" s="2" t="str">
        <v>Electronics</v>
      </c>
      <c r="L220" s="2" t="str">
        <v>Sanchez-Stewart</v>
      </c>
      <c r="M220" s="2">
        <v>196.15</v>
      </c>
      <c r="N220" s="16">
        <f t="shared" si="3"/>
        <v>0.46974580187952547</v>
      </c>
    </row>
    <row r="221" spans="2:14" ht="14.4" customHeight="1" x14ac:dyDescent="0.3">
      <c r="B221" s="2" t="s">
        <v>226</v>
      </c>
      <c r="C221" s="3">
        <v>44063</v>
      </c>
      <c r="D221" s="2" t="s">
        <v>2011</v>
      </c>
      <c r="E221" s="2" t="s">
        <v>2041</v>
      </c>
      <c r="F221" s="4">
        <v>2092.48</v>
      </c>
      <c r="G221" s="5">
        <v>381.28</v>
      </c>
      <c r="H221" s="6">
        <v>10</v>
      </c>
      <c r="I221" s="2" t="s">
        <v>2118</v>
      </c>
      <c r="J221" s="2" t="str">
        <v>Expedite Synergistic Web-Readiness</v>
      </c>
      <c r="K221" s="2" t="str">
        <v>Electronics</v>
      </c>
      <c r="L221" s="2" t="str">
        <v>Dunlap, Carpenter and Monroe</v>
      </c>
      <c r="M221" s="2">
        <v>289.66000000000003</v>
      </c>
      <c r="N221" s="16">
        <f t="shared" si="3"/>
        <v>0.18221440587245755</v>
      </c>
    </row>
    <row r="222" spans="2:14" ht="14.4" customHeight="1" x14ac:dyDescent="0.3">
      <c r="B222" s="2" t="s">
        <v>227</v>
      </c>
      <c r="C222" s="3">
        <v>45464</v>
      </c>
      <c r="D222" s="2" t="s">
        <v>2010</v>
      </c>
      <c r="E222" s="2" t="s">
        <v>2090</v>
      </c>
      <c r="F222" s="4">
        <v>2115.85</v>
      </c>
      <c r="G222" s="5">
        <v>172.68</v>
      </c>
      <c r="H222" s="6">
        <v>11</v>
      </c>
      <c r="I222" s="2" t="s">
        <v>2116</v>
      </c>
      <c r="J222" s="2" t="str">
        <v>Empower Bleeding-Edge Action-Items</v>
      </c>
      <c r="K222" s="2" t="str">
        <v>Furniture</v>
      </c>
      <c r="L222" s="2" t="str">
        <v>Gray, Hayes and Banks</v>
      </c>
      <c r="M222" s="2">
        <v>204.26</v>
      </c>
      <c r="N222" s="16">
        <f t="shared" si="3"/>
        <v>8.1612590684594852E-2</v>
      </c>
    </row>
    <row r="223" spans="2:14" ht="14.4" customHeight="1" x14ac:dyDescent="0.3">
      <c r="B223" s="2" t="s">
        <v>228</v>
      </c>
      <c r="C223" s="3">
        <v>44289</v>
      </c>
      <c r="D223" s="2" t="s">
        <v>2012</v>
      </c>
      <c r="E223" s="2" t="s">
        <v>2023</v>
      </c>
      <c r="F223" s="4">
        <v>1150.76</v>
      </c>
      <c r="G223" s="5">
        <v>158.57</v>
      </c>
      <c r="H223" s="6">
        <v>18</v>
      </c>
      <c r="I223" s="2" t="s">
        <v>2116</v>
      </c>
      <c r="J223" s="2" t="str">
        <v>Leverage Cutting-Edge Vortals</v>
      </c>
      <c r="K223" s="2" t="str">
        <v>Electronics</v>
      </c>
      <c r="L223" s="2" t="str">
        <v>Robinson, Garrett and Chavez</v>
      </c>
      <c r="M223" s="2">
        <v>117.3</v>
      </c>
      <c r="N223" s="16">
        <f t="shared" si="3"/>
        <v>0.13779589141089366</v>
      </c>
    </row>
    <row r="224" spans="2:14" ht="14.4" customHeight="1" x14ac:dyDescent="0.3">
      <c r="B224" s="2" t="s">
        <v>229</v>
      </c>
      <c r="C224" s="3">
        <v>45589</v>
      </c>
      <c r="D224" s="2" t="s">
        <v>2009</v>
      </c>
      <c r="E224" s="2" t="s">
        <v>2105</v>
      </c>
      <c r="F224" s="4">
        <v>1261.94</v>
      </c>
      <c r="G224" s="5">
        <v>434.58</v>
      </c>
      <c r="H224" s="6">
        <v>19</v>
      </c>
      <c r="I224" s="2" t="s">
        <v>2118</v>
      </c>
      <c r="J224" s="2" t="str">
        <v>Brand B2C Info-Mediaries</v>
      </c>
      <c r="K224" s="2" t="str">
        <v>Office Supplies</v>
      </c>
      <c r="L224" s="2" t="str">
        <v>Preston Ltd</v>
      </c>
      <c r="M224" s="2">
        <v>13.46</v>
      </c>
      <c r="N224" s="16">
        <f t="shared" si="3"/>
        <v>0.34437453444696259</v>
      </c>
    </row>
    <row r="225" spans="2:14" ht="14.4" customHeight="1" x14ac:dyDescent="0.3">
      <c r="B225" s="2" t="s">
        <v>230</v>
      </c>
      <c r="C225" s="3">
        <v>44812</v>
      </c>
      <c r="D225" s="2" t="s">
        <v>2011</v>
      </c>
      <c r="E225" s="2" t="s">
        <v>2078</v>
      </c>
      <c r="F225" s="4">
        <v>2033.07</v>
      </c>
      <c r="G225" s="5">
        <v>389.64</v>
      </c>
      <c r="H225" s="6">
        <v>15</v>
      </c>
      <c r="I225" s="2" t="s">
        <v>2116</v>
      </c>
      <c r="J225" s="2" t="str">
        <v>Strategize E-Business Content</v>
      </c>
      <c r="K225" s="2" t="str">
        <v>Electronics</v>
      </c>
      <c r="L225" s="2" t="str">
        <v>Patterson LLC</v>
      </c>
      <c r="M225" s="2">
        <v>294.02</v>
      </c>
      <c r="N225" s="16">
        <f t="shared" si="3"/>
        <v>0.19165104989006773</v>
      </c>
    </row>
    <row r="226" spans="2:14" ht="14.4" customHeight="1" x14ac:dyDescent="0.3">
      <c r="B226" s="2" t="s">
        <v>231</v>
      </c>
      <c r="C226" s="3">
        <v>44625</v>
      </c>
      <c r="D226" s="2" t="s">
        <v>2012</v>
      </c>
      <c r="E226" s="2" t="s">
        <v>2079</v>
      </c>
      <c r="F226" s="4">
        <v>2323.2800000000002</v>
      </c>
      <c r="G226" s="5">
        <v>32.94</v>
      </c>
      <c r="H226" s="6">
        <v>12</v>
      </c>
      <c r="I226" s="2" t="s">
        <v>2118</v>
      </c>
      <c r="J226" s="2" t="str">
        <v>Iterate Extensible Roi</v>
      </c>
      <c r="K226" s="2" t="str">
        <v>Office Supplies</v>
      </c>
      <c r="L226" s="2" t="str">
        <v>Hill-Kelly</v>
      </c>
      <c r="M226" s="2">
        <v>180</v>
      </c>
      <c r="N226" s="16">
        <f t="shared" si="3"/>
        <v>1.4178230777177092E-2</v>
      </c>
    </row>
    <row r="227" spans="2:14" ht="14.4" customHeight="1" x14ac:dyDescent="0.3">
      <c r="B227" s="2" t="s">
        <v>232</v>
      </c>
      <c r="C227" s="3">
        <v>45049</v>
      </c>
      <c r="D227" s="2" t="s">
        <v>2012</v>
      </c>
      <c r="E227" s="2" t="s">
        <v>2043</v>
      </c>
      <c r="F227" s="4">
        <v>1619.51</v>
      </c>
      <c r="G227" s="5">
        <v>907.67</v>
      </c>
      <c r="H227" s="6">
        <v>12</v>
      </c>
      <c r="I227" s="2" t="s">
        <v>2117</v>
      </c>
      <c r="J227" s="2" t="str">
        <v>Brand Distributed Info-Mediaries</v>
      </c>
      <c r="K227" s="2" t="str">
        <v>Furniture</v>
      </c>
      <c r="L227" s="2" t="str">
        <v>Garcia Ltd</v>
      </c>
      <c r="M227" s="2">
        <v>114.48</v>
      </c>
      <c r="N227" s="16">
        <f t="shared" si="3"/>
        <v>0.5604596452013263</v>
      </c>
    </row>
    <row r="228" spans="2:14" ht="14.4" customHeight="1" x14ac:dyDescent="0.3">
      <c r="B228" s="2" t="s">
        <v>233</v>
      </c>
      <c r="C228" s="3">
        <v>45548</v>
      </c>
      <c r="D228" s="2" t="s">
        <v>2009</v>
      </c>
      <c r="E228" s="2" t="s">
        <v>2040</v>
      </c>
      <c r="F228" s="4">
        <v>1843.79</v>
      </c>
      <c r="G228" s="5">
        <v>677.42</v>
      </c>
      <c r="H228" s="6">
        <v>12</v>
      </c>
      <c r="I228" s="2" t="s">
        <v>2118</v>
      </c>
      <c r="J228" s="2" t="str">
        <v>Synergize End-To-End Supply-Chains</v>
      </c>
      <c r="K228" s="2" t="str">
        <v>Office Supplies</v>
      </c>
      <c r="L228" s="2" t="str">
        <v>Higgins-Espinoza</v>
      </c>
      <c r="M228" s="2">
        <v>279.8</v>
      </c>
      <c r="N228" s="16">
        <f t="shared" si="3"/>
        <v>0.36740626644032126</v>
      </c>
    </row>
    <row r="229" spans="2:14" ht="14.4" customHeight="1" x14ac:dyDescent="0.3">
      <c r="B229" s="2" t="s">
        <v>234</v>
      </c>
      <c r="C229" s="3">
        <v>44791</v>
      </c>
      <c r="D229" s="2" t="s">
        <v>2010</v>
      </c>
      <c r="E229" s="2" t="s">
        <v>2019</v>
      </c>
      <c r="F229" s="4">
        <v>4626.32</v>
      </c>
      <c r="G229" s="5">
        <v>795.83</v>
      </c>
      <c r="H229" s="6">
        <v>1</v>
      </c>
      <c r="I229" s="2" t="s">
        <v>2118</v>
      </c>
      <c r="J229" s="2" t="str">
        <v>Implement Clicks-And-Mortar Partnerships</v>
      </c>
      <c r="K229" s="2" t="str">
        <v>Electronics</v>
      </c>
      <c r="L229" s="2" t="str">
        <v>Smith Inc</v>
      </c>
      <c r="M229" s="2">
        <v>195.53</v>
      </c>
      <c r="N229" s="16">
        <f t="shared" si="3"/>
        <v>0.17202225526984732</v>
      </c>
    </row>
    <row r="230" spans="2:14" ht="14.4" customHeight="1" x14ac:dyDescent="0.3">
      <c r="B230" s="2" t="s">
        <v>235</v>
      </c>
      <c r="C230" s="3">
        <v>44631</v>
      </c>
      <c r="D230" s="2" t="s">
        <v>2011</v>
      </c>
      <c r="E230" s="2" t="s">
        <v>2068</v>
      </c>
      <c r="F230" s="4">
        <v>4811.95</v>
      </c>
      <c r="G230" s="5">
        <v>621.91999999999996</v>
      </c>
      <c r="H230" s="6">
        <v>4</v>
      </c>
      <c r="I230" s="2" t="s">
        <v>2117</v>
      </c>
      <c r="J230" s="2" t="str">
        <v>E-Enable Virtual Methodologies</v>
      </c>
      <c r="K230" s="2" t="str">
        <v>Office Supplies</v>
      </c>
      <c r="L230" s="2" t="str">
        <v>Floyd-Love</v>
      </c>
      <c r="M230" s="2">
        <v>283.64999999999998</v>
      </c>
      <c r="N230" s="16">
        <f t="shared" si="3"/>
        <v>0.12924490071592598</v>
      </c>
    </row>
    <row r="231" spans="2:14" ht="14.4" customHeight="1" x14ac:dyDescent="0.3">
      <c r="B231" s="2" t="s">
        <v>236</v>
      </c>
      <c r="C231" s="3">
        <v>44372</v>
      </c>
      <c r="D231" s="2" t="s">
        <v>2011</v>
      </c>
      <c r="E231" s="2" t="s">
        <v>2077</v>
      </c>
      <c r="F231" s="4">
        <v>3107</v>
      </c>
      <c r="G231" s="5">
        <v>32.57</v>
      </c>
      <c r="H231" s="6">
        <v>2</v>
      </c>
      <c r="I231" s="2" t="s">
        <v>2116</v>
      </c>
      <c r="J231" s="2" t="str">
        <v>Synthesize Wireless Initiatives</v>
      </c>
      <c r="K231" s="2" t="str">
        <v>Electronics</v>
      </c>
      <c r="L231" s="2" t="str">
        <v>Mosley Ltd</v>
      </c>
      <c r="M231" s="2">
        <v>162.69999999999999</v>
      </c>
      <c r="N231" s="16">
        <f t="shared" si="3"/>
        <v>1.0482780817508851E-2</v>
      </c>
    </row>
    <row r="232" spans="2:14" ht="14.4" customHeight="1" x14ac:dyDescent="0.3">
      <c r="B232" s="2" t="s">
        <v>237</v>
      </c>
      <c r="C232" s="3">
        <v>45356</v>
      </c>
      <c r="D232" s="2" t="s">
        <v>2011</v>
      </c>
      <c r="E232" s="2" t="s">
        <v>2039</v>
      </c>
      <c r="F232" s="4">
        <v>2461.7199999999998</v>
      </c>
      <c r="G232" s="5">
        <v>996.64</v>
      </c>
      <c r="H232" s="6">
        <v>14</v>
      </c>
      <c r="I232" s="2" t="s">
        <v>2118</v>
      </c>
      <c r="J232" s="2" t="str">
        <v>Empower Dot-Com Deliverables</v>
      </c>
      <c r="K232" s="2" t="str">
        <v>Electronics</v>
      </c>
      <c r="L232" s="2" t="str">
        <v>Davis LLC</v>
      </c>
      <c r="M232" s="2">
        <v>250.66</v>
      </c>
      <c r="N232" s="16">
        <f t="shared" si="3"/>
        <v>0.40485514193328243</v>
      </c>
    </row>
    <row r="233" spans="2:14" ht="14.4" customHeight="1" x14ac:dyDescent="0.3">
      <c r="B233" s="2" t="s">
        <v>238</v>
      </c>
      <c r="C233" s="3">
        <v>44474</v>
      </c>
      <c r="D233" s="2" t="s">
        <v>2011</v>
      </c>
      <c r="E233" s="2" t="s">
        <v>2035</v>
      </c>
      <c r="F233" s="4">
        <v>4353.18</v>
      </c>
      <c r="G233" s="5">
        <v>871</v>
      </c>
      <c r="H233" s="6">
        <v>15</v>
      </c>
      <c r="I233" s="2" t="s">
        <v>2116</v>
      </c>
      <c r="J233" s="2" t="str">
        <v>Optimize 24/365 E-Services</v>
      </c>
      <c r="K233" s="2" t="str">
        <v>Office Supplies</v>
      </c>
      <c r="L233" s="2" t="str">
        <v>Chase Ltd</v>
      </c>
      <c r="M233" s="2">
        <v>100.35</v>
      </c>
      <c r="N233" s="16">
        <f t="shared" si="3"/>
        <v>0.20008361703398433</v>
      </c>
    </row>
    <row r="234" spans="2:14" ht="14.4" customHeight="1" x14ac:dyDescent="0.3">
      <c r="B234" s="2" t="s">
        <v>239</v>
      </c>
      <c r="C234" s="3">
        <v>45583</v>
      </c>
      <c r="D234" s="2" t="s">
        <v>2011</v>
      </c>
      <c r="E234" s="2" t="s">
        <v>2087</v>
      </c>
      <c r="F234" s="4">
        <v>154.53</v>
      </c>
      <c r="G234" s="5">
        <v>136.46</v>
      </c>
      <c r="H234" s="6">
        <v>19</v>
      </c>
      <c r="I234" s="2" t="s">
        <v>2118</v>
      </c>
      <c r="J234" s="2" t="str">
        <v>Empower Seamless Roi</v>
      </c>
      <c r="K234" s="2" t="str">
        <v>Office Supplies</v>
      </c>
      <c r="L234" s="2" t="str">
        <v>Proctor Group</v>
      </c>
      <c r="M234" s="2">
        <v>266.64999999999998</v>
      </c>
      <c r="N234" s="16">
        <f t="shared" si="3"/>
        <v>0.88306477706594189</v>
      </c>
    </row>
    <row r="235" spans="2:14" ht="14.4" customHeight="1" x14ac:dyDescent="0.3">
      <c r="B235" s="2" t="s">
        <v>240</v>
      </c>
      <c r="C235" s="3">
        <v>44538</v>
      </c>
      <c r="D235" s="2" t="s">
        <v>2012</v>
      </c>
      <c r="E235" s="2" t="s">
        <v>2049</v>
      </c>
      <c r="F235" s="4">
        <v>2892.85</v>
      </c>
      <c r="G235" s="5">
        <v>667.51</v>
      </c>
      <c r="H235" s="6">
        <v>18</v>
      </c>
      <c r="I235" s="2" t="s">
        <v>2117</v>
      </c>
      <c r="J235" s="2" t="str">
        <v>Scale 24/365 Networks</v>
      </c>
      <c r="K235" s="2" t="str">
        <v>Furniture</v>
      </c>
      <c r="L235" s="2" t="str">
        <v>Kim-Hamilton</v>
      </c>
      <c r="M235" s="2">
        <v>157.55000000000001</v>
      </c>
      <c r="N235" s="16">
        <f t="shared" si="3"/>
        <v>0.2307447672710303</v>
      </c>
    </row>
    <row r="236" spans="2:14" ht="14.4" customHeight="1" x14ac:dyDescent="0.3">
      <c r="B236" s="2" t="s">
        <v>241</v>
      </c>
      <c r="C236" s="3">
        <v>45485</v>
      </c>
      <c r="D236" s="2" t="s">
        <v>2012</v>
      </c>
      <c r="E236" s="2" t="s">
        <v>2033</v>
      </c>
      <c r="F236" s="4">
        <v>4886.25</v>
      </c>
      <c r="G236" s="5">
        <v>502.4</v>
      </c>
      <c r="H236" s="6">
        <v>17</v>
      </c>
      <c r="I236" s="2" t="s">
        <v>2117</v>
      </c>
      <c r="J236" s="2" t="str">
        <v>Leverage Rich Portals</v>
      </c>
      <c r="K236" s="2" t="str">
        <v>Office Supplies</v>
      </c>
      <c r="L236" s="2" t="str">
        <v>Wilson PLC</v>
      </c>
      <c r="M236" s="2">
        <v>46.35</v>
      </c>
      <c r="N236" s="16">
        <f t="shared" si="3"/>
        <v>0.10281913532872856</v>
      </c>
    </row>
    <row r="237" spans="2:14" ht="14.4" customHeight="1" x14ac:dyDescent="0.3">
      <c r="B237" s="2" t="s">
        <v>242</v>
      </c>
      <c r="C237" s="3">
        <v>44998</v>
      </c>
      <c r="D237" s="2" t="s">
        <v>2010</v>
      </c>
      <c r="E237" s="2" t="s">
        <v>2084</v>
      </c>
      <c r="F237" s="4">
        <v>2690.62</v>
      </c>
      <c r="G237" s="5">
        <v>804.44</v>
      </c>
      <c r="H237" s="6">
        <v>6</v>
      </c>
      <c r="I237" s="2" t="s">
        <v>2116</v>
      </c>
      <c r="J237" s="2" t="str">
        <v>Grow Synergistic Infrastructures</v>
      </c>
      <c r="K237" s="2" t="str">
        <v>Furniture</v>
      </c>
      <c r="L237" s="2" t="str">
        <v>Adams-Carter</v>
      </c>
      <c r="M237" s="2">
        <v>113.17</v>
      </c>
      <c r="N237" s="16">
        <f t="shared" si="3"/>
        <v>0.29897941738335404</v>
      </c>
    </row>
    <row r="238" spans="2:14" ht="14.4" customHeight="1" x14ac:dyDescent="0.3">
      <c r="B238" s="2" t="s">
        <v>243</v>
      </c>
      <c r="C238" s="3">
        <v>44543</v>
      </c>
      <c r="D238" s="2" t="s">
        <v>2010</v>
      </c>
      <c r="E238" s="2" t="s">
        <v>2106</v>
      </c>
      <c r="F238" s="4">
        <v>3919.28</v>
      </c>
      <c r="G238" s="5">
        <v>740.28</v>
      </c>
      <c r="H238" s="6">
        <v>13</v>
      </c>
      <c r="I238" s="2" t="s">
        <v>2117</v>
      </c>
      <c r="J238" s="2" t="str">
        <v>Scale Bleeding-Edge Schemas</v>
      </c>
      <c r="K238" s="2" t="str">
        <v>Electronics</v>
      </c>
      <c r="L238" s="2" t="str">
        <v>Frazier-Schneider</v>
      </c>
      <c r="M238" s="2">
        <v>54.8</v>
      </c>
      <c r="N238" s="16">
        <f t="shared" si="3"/>
        <v>0.18888163132003835</v>
      </c>
    </row>
    <row r="239" spans="2:14" ht="14.4" customHeight="1" x14ac:dyDescent="0.3">
      <c r="B239" s="2" t="s">
        <v>244</v>
      </c>
      <c r="C239" s="3">
        <v>45240</v>
      </c>
      <c r="D239" s="2" t="s">
        <v>2011</v>
      </c>
      <c r="E239" s="2" t="s">
        <v>2080</v>
      </c>
      <c r="F239" s="4">
        <v>498.69</v>
      </c>
      <c r="G239" s="5">
        <v>893.74</v>
      </c>
      <c r="H239" s="6">
        <v>12</v>
      </c>
      <c r="I239" s="2" t="s">
        <v>2118</v>
      </c>
      <c r="J239" s="2" t="str">
        <v>Scale Vertical Networks</v>
      </c>
      <c r="K239" s="2" t="str">
        <v>Furniture</v>
      </c>
      <c r="L239" s="2" t="str">
        <v>Lam, Wood and Jacobs</v>
      </c>
      <c r="M239" s="2">
        <v>133.24</v>
      </c>
      <c r="N239" s="16">
        <f t="shared" si="3"/>
        <v>1.792175499809501</v>
      </c>
    </row>
    <row r="240" spans="2:14" ht="14.4" customHeight="1" x14ac:dyDescent="0.3">
      <c r="B240" s="2" t="s">
        <v>245</v>
      </c>
      <c r="C240" s="3">
        <v>44939</v>
      </c>
      <c r="D240" s="2" t="s">
        <v>2012</v>
      </c>
      <c r="E240" s="2" t="s">
        <v>2058</v>
      </c>
      <c r="F240" s="4">
        <v>3528.08</v>
      </c>
      <c r="G240" s="5">
        <v>75.16</v>
      </c>
      <c r="H240" s="6">
        <v>18</v>
      </c>
      <c r="I240" s="2" t="s">
        <v>2116</v>
      </c>
      <c r="J240" s="2" t="str">
        <v>Envisioneer B2C Web-Readiness</v>
      </c>
      <c r="K240" s="2" t="str">
        <v>Electronics</v>
      </c>
      <c r="L240" s="2" t="str">
        <v>Kemp Group</v>
      </c>
      <c r="M240" s="2">
        <v>97.23</v>
      </c>
      <c r="N240" s="16">
        <f t="shared" si="3"/>
        <v>2.1303371805627989E-2</v>
      </c>
    </row>
    <row r="241" spans="2:14" ht="14.4" customHeight="1" x14ac:dyDescent="0.3">
      <c r="B241" s="2" t="s">
        <v>246</v>
      </c>
      <c r="C241" s="3">
        <v>45288</v>
      </c>
      <c r="D241" s="2" t="s">
        <v>2012</v>
      </c>
      <c r="E241" s="2" t="s">
        <v>2038</v>
      </c>
      <c r="F241" s="4">
        <v>712.38</v>
      </c>
      <c r="G241" s="5">
        <v>707.21</v>
      </c>
      <c r="H241" s="6">
        <v>10</v>
      </c>
      <c r="I241" s="2" t="s">
        <v>2116</v>
      </c>
      <c r="J241" s="2" t="str">
        <v>Reinvent Mission-Critical Markets</v>
      </c>
      <c r="K241" s="2" t="str">
        <v>Furniture</v>
      </c>
      <c r="L241" s="2" t="str">
        <v>Gilbert-Sanders</v>
      </c>
      <c r="M241" s="2">
        <v>154.21</v>
      </c>
      <c r="N241" s="16">
        <f t="shared" si="3"/>
        <v>0.99274263735646706</v>
      </c>
    </row>
    <row r="242" spans="2:14" ht="14.4" customHeight="1" x14ac:dyDescent="0.3">
      <c r="B242" s="2" t="s">
        <v>247</v>
      </c>
      <c r="C242" s="3">
        <v>44510</v>
      </c>
      <c r="D242" s="2" t="s">
        <v>2009</v>
      </c>
      <c r="E242" s="2" t="s">
        <v>2057</v>
      </c>
      <c r="F242" s="4">
        <v>2721.61</v>
      </c>
      <c r="G242" s="5">
        <v>946.89</v>
      </c>
      <c r="H242" s="6">
        <v>5</v>
      </c>
      <c r="I242" s="2" t="s">
        <v>2118</v>
      </c>
      <c r="J242" s="2" t="str">
        <v>Reinvent Out-Of-The-Box Models</v>
      </c>
      <c r="K242" s="2" t="str">
        <v>Office Supplies</v>
      </c>
      <c r="L242" s="2" t="str">
        <v>Wagner-Curtis</v>
      </c>
      <c r="M242" s="2">
        <v>172.34</v>
      </c>
      <c r="N242" s="16">
        <f t="shared" si="3"/>
        <v>0.34791538831794416</v>
      </c>
    </row>
    <row r="243" spans="2:14" ht="14.4" customHeight="1" x14ac:dyDescent="0.3">
      <c r="B243" s="2" t="s">
        <v>248</v>
      </c>
      <c r="C243" s="3">
        <v>44690</v>
      </c>
      <c r="D243" s="2" t="s">
        <v>2009</v>
      </c>
      <c r="E243" s="2" t="s">
        <v>2057</v>
      </c>
      <c r="F243" s="4">
        <v>4466.42</v>
      </c>
      <c r="G243" s="5">
        <v>742.35</v>
      </c>
      <c r="H243" s="6">
        <v>14</v>
      </c>
      <c r="I243" s="2" t="s">
        <v>2118</v>
      </c>
      <c r="J243" s="2" t="str">
        <v>Reinvent Out-Of-The-Box Models</v>
      </c>
      <c r="K243" s="2" t="str">
        <v>Office Supplies</v>
      </c>
      <c r="L243" s="2" t="str">
        <v>Wagner-Curtis</v>
      </c>
      <c r="M243" s="2">
        <v>172.34</v>
      </c>
      <c r="N243" s="16">
        <f t="shared" si="3"/>
        <v>0.166206939786227</v>
      </c>
    </row>
    <row r="244" spans="2:14" ht="14.4" customHeight="1" x14ac:dyDescent="0.3">
      <c r="B244" s="2" t="s">
        <v>249</v>
      </c>
      <c r="C244" s="3">
        <v>44875</v>
      </c>
      <c r="D244" s="2" t="s">
        <v>2012</v>
      </c>
      <c r="E244" s="2" t="s">
        <v>2040</v>
      </c>
      <c r="F244" s="4">
        <v>1802.76</v>
      </c>
      <c r="G244" s="5">
        <v>36.99</v>
      </c>
      <c r="H244" s="6">
        <v>18</v>
      </c>
      <c r="I244" s="2" t="s">
        <v>2118</v>
      </c>
      <c r="J244" s="2" t="str">
        <v>Synergize End-To-End Supply-Chains</v>
      </c>
      <c r="K244" s="2" t="str">
        <v>Office Supplies</v>
      </c>
      <c r="L244" s="2" t="str">
        <v>Higgins-Espinoza</v>
      </c>
      <c r="M244" s="2">
        <v>279.8</v>
      </c>
      <c r="N244" s="16">
        <f t="shared" si="3"/>
        <v>2.0518538241363245E-2</v>
      </c>
    </row>
    <row r="245" spans="2:14" ht="14.4" customHeight="1" x14ac:dyDescent="0.3">
      <c r="B245" s="2" t="s">
        <v>250</v>
      </c>
      <c r="C245" s="3">
        <v>44544</v>
      </c>
      <c r="D245" s="2" t="s">
        <v>2009</v>
      </c>
      <c r="E245" s="2" t="s">
        <v>2063</v>
      </c>
      <c r="F245" s="4">
        <v>4436.8599999999997</v>
      </c>
      <c r="G245" s="5">
        <v>40.159999999999997</v>
      </c>
      <c r="H245" s="6">
        <v>11</v>
      </c>
      <c r="I245" s="2" t="s">
        <v>2117</v>
      </c>
      <c r="J245" s="2" t="str">
        <v>Unleash End-To-End Web Services</v>
      </c>
      <c r="K245" s="2" t="str">
        <v>Office Supplies</v>
      </c>
      <c r="L245" s="2" t="str">
        <v>Jones Ltd</v>
      </c>
      <c r="M245" s="2">
        <v>188.02</v>
      </c>
      <c r="N245" s="16">
        <f t="shared" si="3"/>
        <v>9.0514462930991729E-3</v>
      </c>
    </row>
    <row r="246" spans="2:14" ht="14.4" customHeight="1" x14ac:dyDescent="0.3">
      <c r="B246" s="2" t="s">
        <v>251</v>
      </c>
      <c r="C246" s="3">
        <v>44218</v>
      </c>
      <c r="D246" s="2" t="s">
        <v>2011</v>
      </c>
      <c r="E246" s="2" t="s">
        <v>2031</v>
      </c>
      <c r="F246" s="4">
        <v>758.3</v>
      </c>
      <c r="G246" s="5">
        <v>75.239999999999995</v>
      </c>
      <c r="H246" s="6">
        <v>3</v>
      </c>
      <c r="I246" s="2" t="s">
        <v>2118</v>
      </c>
      <c r="J246" s="2" t="str">
        <v>Embrace 24/365 Functionalities</v>
      </c>
      <c r="K246" s="2" t="str">
        <v>Office Supplies</v>
      </c>
      <c r="L246" s="2" t="str">
        <v>Smith LLC</v>
      </c>
      <c r="M246" s="2">
        <v>204.04</v>
      </c>
      <c r="N246" s="16">
        <f t="shared" si="3"/>
        <v>9.9221943821706446E-2</v>
      </c>
    </row>
    <row r="247" spans="2:14" ht="14.4" customHeight="1" x14ac:dyDescent="0.3">
      <c r="B247" s="2" t="s">
        <v>252</v>
      </c>
      <c r="C247" s="3">
        <v>45320</v>
      </c>
      <c r="D247" s="2" t="s">
        <v>2010</v>
      </c>
      <c r="E247" s="2" t="s">
        <v>2059</v>
      </c>
      <c r="F247" s="4">
        <v>857.7</v>
      </c>
      <c r="G247" s="5">
        <v>587.98</v>
      </c>
      <c r="H247" s="6">
        <v>19</v>
      </c>
      <c r="I247" s="2" t="s">
        <v>2116</v>
      </c>
      <c r="J247" s="2" t="str">
        <v>Redefine Real-Time Convergence</v>
      </c>
      <c r="K247" s="2" t="str">
        <v>Electronics</v>
      </c>
      <c r="L247" s="2" t="str">
        <v>Hayes, Peters and Douglas</v>
      </c>
      <c r="M247" s="2">
        <v>78.260000000000005</v>
      </c>
      <c r="N247" s="16">
        <f t="shared" si="3"/>
        <v>0.68553107147021097</v>
      </c>
    </row>
    <row r="248" spans="2:14" ht="14.4" customHeight="1" x14ac:dyDescent="0.3">
      <c r="B248" s="2" t="s">
        <v>253</v>
      </c>
      <c r="C248" s="3">
        <v>43912</v>
      </c>
      <c r="D248" s="2" t="s">
        <v>2009</v>
      </c>
      <c r="E248" s="2" t="s">
        <v>2059</v>
      </c>
      <c r="F248" s="4">
        <v>3930.24</v>
      </c>
      <c r="G248" s="5">
        <v>403.72</v>
      </c>
      <c r="H248" s="6">
        <v>13</v>
      </c>
      <c r="I248" s="2" t="s">
        <v>2118</v>
      </c>
      <c r="J248" s="2" t="str">
        <v>Redefine Real-Time Convergence</v>
      </c>
      <c r="K248" s="2" t="str">
        <v>Electronics</v>
      </c>
      <c r="L248" s="2" t="str">
        <v>Hayes, Peters and Douglas</v>
      </c>
      <c r="M248" s="2">
        <v>78.260000000000005</v>
      </c>
      <c r="N248" s="16">
        <f t="shared" si="3"/>
        <v>0.1027214623025566</v>
      </c>
    </row>
    <row r="249" spans="2:14" ht="14.4" customHeight="1" x14ac:dyDescent="0.3">
      <c r="B249" s="2" t="s">
        <v>254</v>
      </c>
      <c r="C249" s="3">
        <v>44005</v>
      </c>
      <c r="D249" s="2" t="s">
        <v>2010</v>
      </c>
      <c r="E249" s="2" t="s">
        <v>2095</v>
      </c>
      <c r="F249" s="4">
        <v>3396.64</v>
      </c>
      <c r="G249" s="5">
        <v>384.71</v>
      </c>
      <c r="H249" s="6">
        <v>10</v>
      </c>
      <c r="I249" s="2" t="s">
        <v>2117</v>
      </c>
      <c r="J249" s="2" t="str">
        <v>Envisioneer B2B Users</v>
      </c>
      <c r="K249" s="2" t="str">
        <v>Office Supplies</v>
      </c>
      <c r="L249" s="2" t="str">
        <v>Rogers Group</v>
      </c>
      <c r="M249" s="2">
        <v>239.16</v>
      </c>
      <c r="N249" s="16">
        <f t="shared" si="3"/>
        <v>0.11326192943614866</v>
      </c>
    </row>
    <row r="250" spans="2:14" ht="14.4" customHeight="1" x14ac:dyDescent="0.3">
      <c r="B250" s="2" t="s">
        <v>255</v>
      </c>
      <c r="C250" s="3">
        <v>44855</v>
      </c>
      <c r="D250" s="2" t="s">
        <v>2011</v>
      </c>
      <c r="E250" s="2" t="s">
        <v>2083</v>
      </c>
      <c r="F250" s="4">
        <v>3942.1</v>
      </c>
      <c r="G250" s="5">
        <v>215.08</v>
      </c>
      <c r="H250" s="6">
        <v>10</v>
      </c>
      <c r="I250" s="2" t="s">
        <v>2116</v>
      </c>
      <c r="J250" s="2" t="str">
        <v>Whiteboard Sticky Content</v>
      </c>
      <c r="K250" s="2" t="str">
        <v>Furniture</v>
      </c>
      <c r="L250" s="2" t="str">
        <v>Wolfe Group</v>
      </c>
      <c r="M250" s="2">
        <v>82.16</v>
      </c>
      <c r="N250" s="16">
        <f t="shared" si="3"/>
        <v>5.4559752416224856E-2</v>
      </c>
    </row>
    <row r="251" spans="2:14" ht="14.4" customHeight="1" x14ac:dyDescent="0.3">
      <c r="B251" s="2" t="s">
        <v>256</v>
      </c>
      <c r="C251" s="3">
        <v>44896</v>
      </c>
      <c r="D251" s="2" t="s">
        <v>2011</v>
      </c>
      <c r="E251" s="2" t="s">
        <v>2107</v>
      </c>
      <c r="F251" s="4">
        <v>3580.25</v>
      </c>
      <c r="G251" s="5">
        <v>780.77</v>
      </c>
      <c r="H251" s="6">
        <v>12</v>
      </c>
      <c r="I251" s="2" t="s">
        <v>2116</v>
      </c>
      <c r="J251" s="2" t="str">
        <v>Extend Bricks-And-Clicks Niches</v>
      </c>
      <c r="K251" s="2" t="str">
        <v>Office Supplies</v>
      </c>
      <c r="L251" s="2" t="str">
        <v>Hernandez-Rios</v>
      </c>
      <c r="M251" s="2">
        <v>65.989999999999995</v>
      </c>
      <c r="N251" s="16">
        <f t="shared" si="3"/>
        <v>0.21807694993366383</v>
      </c>
    </row>
    <row r="252" spans="2:14" ht="14.4" customHeight="1" x14ac:dyDescent="0.3">
      <c r="B252" s="2" t="s">
        <v>257</v>
      </c>
      <c r="C252" s="3">
        <v>44535</v>
      </c>
      <c r="D252" s="2" t="s">
        <v>2010</v>
      </c>
      <c r="E252" s="2" t="s">
        <v>2055</v>
      </c>
      <c r="F252" s="4">
        <v>3785.26</v>
      </c>
      <c r="G252" s="5">
        <v>795.61</v>
      </c>
      <c r="H252" s="6">
        <v>4</v>
      </c>
      <c r="I252" s="2" t="s">
        <v>2118</v>
      </c>
      <c r="J252" s="2" t="str">
        <v>Engineer Real-Time Architectures</v>
      </c>
      <c r="K252" s="2" t="str">
        <v>Furniture</v>
      </c>
      <c r="L252" s="2" t="str">
        <v>James and Sons</v>
      </c>
      <c r="M252" s="2">
        <v>127.23</v>
      </c>
      <c r="N252" s="16">
        <f t="shared" si="3"/>
        <v>0.21018635443800426</v>
      </c>
    </row>
    <row r="253" spans="2:14" ht="14.4" customHeight="1" x14ac:dyDescent="0.3">
      <c r="B253" s="2" t="s">
        <v>258</v>
      </c>
      <c r="C253" s="3">
        <v>45116</v>
      </c>
      <c r="D253" s="2" t="s">
        <v>2011</v>
      </c>
      <c r="E253" s="2" t="s">
        <v>2081</v>
      </c>
      <c r="F253" s="4">
        <v>4909.07</v>
      </c>
      <c r="G253" s="5">
        <v>330.68</v>
      </c>
      <c r="H253" s="6">
        <v>3</v>
      </c>
      <c r="I253" s="2" t="s">
        <v>2116</v>
      </c>
      <c r="J253" s="2" t="str">
        <v>Orchestrate User-Centric Platforms</v>
      </c>
      <c r="K253" s="2" t="str">
        <v>Furniture</v>
      </c>
      <c r="L253" s="2" t="str">
        <v>Wells Ltd</v>
      </c>
      <c r="M253" s="2">
        <v>201.87</v>
      </c>
      <c r="N253" s="16">
        <f t="shared" si="3"/>
        <v>6.7361027648821473E-2</v>
      </c>
    </row>
    <row r="254" spans="2:14" ht="14.4" customHeight="1" x14ac:dyDescent="0.3">
      <c r="B254" s="2" t="s">
        <v>259</v>
      </c>
      <c r="C254" s="3">
        <v>45056</v>
      </c>
      <c r="D254" s="2" t="s">
        <v>2012</v>
      </c>
      <c r="E254" s="2" t="s">
        <v>2101</v>
      </c>
      <c r="F254" s="4">
        <v>4380.54</v>
      </c>
      <c r="G254" s="5">
        <v>182.24</v>
      </c>
      <c r="H254" s="6">
        <v>12</v>
      </c>
      <c r="I254" s="2" t="s">
        <v>2116</v>
      </c>
      <c r="J254" s="2" t="str">
        <v>Deploy Granular Channels</v>
      </c>
      <c r="K254" s="2" t="str">
        <v>Furniture</v>
      </c>
      <c r="L254" s="2" t="str">
        <v>Barnes Ltd</v>
      </c>
      <c r="M254" s="2">
        <v>288.99</v>
      </c>
      <c r="N254" s="16">
        <f t="shared" si="3"/>
        <v>4.1602176900564773E-2</v>
      </c>
    </row>
    <row r="255" spans="2:14" ht="14.4" customHeight="1" x14ac:dyDescent="0.3">
      <c r="B255" s="2" t="s">
        <v>260</v>
      </c>
      <c r="C255" s="3">
        <v>43924</v>
      </c>
      <c r="D255" s="2" t="s">
        <v>2011</v>
      </c>
      <c r="E255" s="2" t="s">
        <v>2058</v>
      </c>
      <c r="F255" s="4">
        <v>3780.52</v>
      </c>
      <c r="G255" s="5">
        <v>351.24</v>
      </c>
      <c r="H255" s="6">
        <v>15</v>
      </c>
      <c r="I255" s="2" t="s">
        <v>2118</v>
      </c>
      <c r="J255" s="2" t="str">
        <v>Envisioneer B2C Web-Readiness</v>
      </c>
      <c r="K255" s="2" t="str">
        <v>Electronics</v>
      </c>
      <c r="L255" s="2" t="str">
        <v>Kemp Group</v>
      </c>
      <c r="M255" s="2">
        <v>97.23</v>
      </c>
      <c r="N255" s="16">
        <f t="shared" si="3"/>
        <v>9.2907853946018013E-2</v>
      </c>
    </row>
    <row r="256" spans="2:14" ht="14.4" customHeight="1" x14ac:dyDescent="0.3">
      <c r="B256" s="2" t="s">
        <v>261</v>
      </c>
      <c r="C256" s="3">
        <v>45162</v>
      </c>
      <c r="D256" s="2" t="s">
        <v>2010</v>
      </c>
      <c r="E256" s="2" t="s">
        <v>2015</v>
      </c>
      <c r="F256" s="4">
        <v>2845.99</v>
      </c>
      <c r="G256" s="5">
        <v>306.61</v>
      </c>
      <c r="H256" s="6">
        <v>6</v>
      </c>
      <c r="I256" s="2" t="s">
        <v>2118</v>
      </c>
      <c r="J256" s="2" t="str">
        <v>Brand Web-Enabled Solutions</v>
      </c>
      <c r="K256" s="2" t="str">
        <v>Electronics</v>
      </c>
      <c r="L256" s="2" t="str">
        <v>Russell Group</v>
      </c>
      <c r="M256" s="2">
        <v>51.67</v>
      </c>
      <c r="N256" s="16">
        <f t="shared" si="3"/>
        <v>0.10773403982445477</v>
      </c>
    </row>
    <row r="257" spans="2:14" ht="14.4" customHeight="1" x14ac:dyDescent="0.3">
      <c r="B257" s="2" t="s">
        <v>262</v>
      </c>
      <c r="C257" s="3">
        <v>44129</v>
      </c>
      <c r="D257" s="2" t="s">
        <v>2011</v>
      </c>
      <c r="E257" s="2" t="s">
        <v>2096</v>
      </c>
      <c r="F257" s="4">
        <v>1181.06</v>
      </c>
      <c r="G257" s="5">
        <v>719.79</v>
      </c>
      <c r="H257" s="6">
        <v>13</v>
      </c>
      <c r="I257" s="2" t="s">
        <v>2116</v>
      </c>
      <c r="J257" s="2" t="str">
        <v>Disintermediate Scalable Bandwidth</v>
      </c>
      <c r="K257" s="2" t="str">
        <v>Electronics</v>
      </c>
      <c r="L257" s="2" t="str">
        <v>Levy PLC</v>
      </c>
      <c r="M257" s="2">
        <v>19.86</v>
      </c>
      <c r="N257" s="16">
        <f t="shared" si="3"/>
        <v>0.60944405872690632</v>
      </c>
    </row>
    <row r="258" spans="2:14" ht="14.4" customHeight="1" x14ac:dyDescent="0.3">
      <c r="B258" s="2" t="s">
        <v>263</v>
      </c>
      <c r="C258" s="3">
        <v>44681</v>
      </c>
      <c r="D258" s="2" t="s">
        <v>2009</v>
      </c>
      <c r="E258" s="2" t="s">
        <v>2069</v>
      </c>
      <c r="F258" s="4">
        <v>4492.96</v>
      </c>
      <c r="G258" s="5">
        <v>57.07</v>
      </c>
      <c r="H258" s="6">
        <v>14</v>
      </c>
      <c r="I258" s="2" t="s">
        <v>2117</v>
      </c>
      <c r="J258" s="2" t="str">
        <v>Optimize Transparent E-Markets</v>
      </c>
      <c r="K258" s="2" t="str">
        <v>Office Supplies</v>
      </c>
      <c r="L258" s="2" t="str">
        <v>Lee, Tyler and Blevins</v>
      </c>
      <c r="M258" s="2">
        <v>111.22</v>
      </c>
      <c r="N258" s="16">
        <f t="shared" si="3"/>
        <v>1.2702093942523415E-2</v>
      </c>
    </row>
    <row r="259" spans="2:14" ht="14.4" customHeight="1" x14ac:dyDescent="0.3">
      <c r="B259" s="2" t="s">
        <v>264</v>
      </c>
      <c r="C259" s="3">
        <v>44286</v>
      </c>
      <c r="D259" s="2" t="s">
        <v>2010</v>
      </c>
      <c r="E259" s="2" t="s">
        <v>2023</v>
      </c>
      <c r="F259" s="4">
        <v>1742.91</v>
      </c>
      <c r="G259" s="5">
        <v>113.5</v>
      </c>
      <c r="H259" s="6">
        <v>15</v>
      </c>
      <c r="I259" s="2" t="s">
        <v>2118</v>
      </c>
      <c r="J259" s="2" t="str">
        <v>Leverage Cutting-Edge Vortals</v>
      </c>
      <c r="K259" s="2" t="str">
        <v>Electronics</v>
      </c>
      <c r="L259" s="2" t="str">
        <v>Robinson, Garrett and Chavez</v>
      </c>
      <c r="M259" s="2">
        <v>117.3</v>
      </c>
      <c r="N259" s="16">
        <f t="shared" si="3"/>
        <v>6.5120975839257328E-2</v>
      </c>
    </row>
    <row r="260" spans="2:14" ht="14.4" customHeight="1" x14ac:dyDescent="0.3">
      <c r="B260" s="2" t="s">
        <v>265</v>
      </c>
      <c r="C260" s="3">
        <v>44539</v>
      </c>
      <c r="D260" s="2" t="s">
        <v>2011</v>
      </c>
      <c r="E260" s="2" t="s">
        <v>2108</v>
      </c>
      <c r="F260" s="4">
        <v>4625.66</v>
      </c>
      <c r="G260" s="5">
        <v>730.91</v>
      </c>
      <c r="H260" s="6">
        <v>5</v>
      </c>
      <c r="I260" s="2" t="s">
        <v>2117</v>
      </c>
      <c r="J260" s="2" t="str">
        <v>Whiteboard B2B Content</v>
      </c>
      <c r="K260" s="2" t="str">
        <v>Office Supplies</v>
      </c>
      <c r="L260" s="2" t="str">
        <v>Romero PLC</v>
      </c>
      <c r="M260" s="2">
        <v>93.81</v>
      </c>
      <c r="N260" s="16">
        <f t="shared" si="3"/>
        <v>0.15801204584859241</v>
      </c>
    </row>
    <row r="261" spans="2:14" ht="14.4" customHeight="1" x14ac:dyDescent="0.3">
      <c r="B261" s="2" t="s">
        <v>266</v>
      </c>
      <c r="C261" s="3">
        <v>44237</v>
      </c>
      <c r="D261" s="2" t="s">
        <v>2010</v>
      </c>
      <c r="E261" s="2" t="s">
        <v>2029</v>
      </c>
      <c r="F261" s="4">
        <v>208.07</v>
      </c>
      <c r="G261" s="5">
        <v>118.2</v>
      </c>
      <c r="H261" s="6">
        <v>13</v>
      </c>
      <c r="I261" s="2" t="s">
        <v>2116</v>
      </c>
      <c r="J261" s="2" t="str">
        <v>E-Enable Next-Generation Experiences</v>
      </c>
      <c r="K261" s="2" t="str">
        <v>Furniture</v>
      </c>
      <c r="L261" s="2" t="str">
        <v>Sanchez-Quinn</v>
      </c>
      <c r="M261" s="2">
        <v>266.93</v>
      </c>
      <c r="N261" s="16">
        <f t="shared" ref="N261:N324" si="4">(G261/F261)</f>
        <v>0.56807805065602923</v>
      </c>
    </row>
    <row r="262" spans="2:14" ht="14.4" customHeight="1" x14ac:dyDescent="0.3">
      <c r="B262" s="2" t="s">
        <v>267</v>
      </c>
      <c r="C262" s="3">
        <v>44387</v>
      </c>
      <c r="D262" s="2" t="s">
        <v>2010</v>
      </c>
      <c r="E262" s="2" t="s">
        <v>2063</v>
      </c>
      <c r="F262" s="4">
        <v>2336.81</v>
      </c>
      <c r="G262" s="5">
        <v>269.72000000000003</v>
      </c>
      <c r="H262" s="6">
        <v>13</v>
      </c>
      <c r="I262" s="2" t="s">
        <v>2117</v>
      </c>
      <c r="J262" s="2" t="str">
        <v>Unleash End-To-End Web Services</v>
      </c>
      <c r="K262" s="2" t="str">
        <v>Office Supplies</v>
      </c>
      <c r="L262" s="2" t="str">
        <v>Jones Ltd</v>
      </c>
      <c r="M262" s="2">
        <v>188.02</v>
      </c>
      <c r="N262" s="16">
        <f t="shared" si="4"/>
        <v>0.11542230647763406</v>
      </c>
    </row>
    <row r="263" spans="2:14" ht="14.4" customHeight="1" x14ac:dyDescent="0.3">
      <c r="B263" s="2" t="s">
        <v>268</v>
      </c>
      <c r="C263" s="3">
        <v>44524</v>
      </c>
      <c r="D263" s="2" t="s">
        <v>2009</v>
      </c>
      <c r="E263" s="2" t="s">
        <v>2020</v>
      </c>
      <c r="F263" s="4">
        <v>1034.72</v>
      </c>
      <c r="G263" s="5">
        <v>707.18</v>
      </c>
      <c r="H263" s="6">
        <v>16</v>
      </c>
      <c r="I263" s="2" t="s">
        <v>2117</v>
      </c>
      <c r="J263" s="2" t="str">
        <v>Harness Revolutionary Interfaces</v>
      </c>
      <c r="K263" s="2" t="str">
        <v>Furniture</v>
      </c>
      <c r="L263" s="2" t="str">
        <v>Davis, Short and Nguyen</v>
      </c>
      <c r="M263" s="2">
        <v>26.49</v>
      </c>
      <c r="N263" s="16">
        <f t="shared" si="4"/>
        <v>0.68345059533013752</v>
      </c>
    </row>
    <row r="264" spans="2:14" ht="14.4" customHeight="1" x14ac:dyDescent="0.3">
      <c r="B264" s="2" t="s">
        <v>269</v>
      </c>
      <c r="C264" s="3">
        <v>44070</v>
      </c>
      <c r="D264" s="2" t="s">
        <v>2011</v>
      </c>
      <c r="E264" s="2" t="s">
        <v>2108</v>
      </c>
      <c r="F264" s="4">
        <v>4448.3500000000004</v>
      </c>
      <c r="G264" s="5">
        <v>293.64</v>
      </c>
      <c r="H264" s="6">
        <v>9</v>
      </c>
      <c r="I264" s="2" t="s">
        <v>2118</v>
      </c>
      <c r="J264" s="2" t="str">
        <v>Whiteboard B2B Content</v>
      </c>
      <c r="K264" s="2" t="str">
        <v>Office Supplies</v>
      </c>
      <c r="L264" s="2" t="str">
        <v>Romero PLC</v>
      </c>
      <c r="M264" s="2">
        <v>93.81</v>
      </c>
      <c r="N264" s="16">
        <f t="shared" si="4"/>
        <v>6.6010992840041804E-2</v>
      </c>
    </row>
    <row r="265" spans="2:14" ht="14.4" customHeight="1" x14ac:dyDescent="0.3">
      <c r="B265" s="2" t="s">
        <v>270</v>
      </c>
      <c r="C265" s="3">
        <v>45301</v>
      </c>
      <c r="D265" s="2" t="s">
        <v>2009</v>
      </c>
      <c r="E265" s="2" t="s">
        <v>2109</v>
      </c>
      <c r="F265" s="4">
        <v>4278.83</v>
      </c>
      <c r="G265" s="5">
        <v>132.79</v>
      </c>
      <c r="H265" s="6">
        <v>1</v>
      </c>
      <c r="I265" s="2" t="s">
        <v>2116</v>
      </c>
      <c r="J265" s="2" t="str">
        <v>Deliver Viral Eyeballs</v>
      </c>
      <c r="K265" s="2" t="str">
        <v>Office Supplies</v>
      </c>
      <c r="L265" s="2" t="str">
        <v>Estes, Chan and Thomas</v>
      </c>
      <c r="M265" s="2">
        <v>16.89</v>
      </c>
      <c r="N265" s="16">
        <f t="shared" si="4"/>
        <v>3.1034184578494588E-2</v>
      </c>
    </row>
    <row r="266" spans="2:14" ht="14.4" customHeight="1" x14ac:dyDescent="0.3">
      <c r="B266" s="2" t="s">
        <v>271</v>
      </c>
      <c r="C266" s="3">
        <v>44874</v>
      </c>
      <c r="D266" s="2" t="s">
        <v>2012</v>
      </c>
      <c r="E266" s="2" t="s">
        <v>2073</v>
      </c>
      <c r="F266" s="4">
        <v>2206.38</v>
      </c>
      <c r="G266" s="5">
        <v>726.65</v>
      </c>
      <c r="H266" s="6">
        <v>11</v>
      </c>
      <c r="I266" s="2" t="s">
        <v>2118</v>
      </c>
      <c r="J266" s="2" t="str">
        <v>Visualize Dynamic E-Commerce</v>
      </c>
      <c r="K266" s="2" t="str">
        <v>Furniture</v>
      </c>
      <c r="L266" s="2" t="str">
        <v>Jones LLC</v>
      </c>
      <c r="M266" s="2">
        <v>92.61</v>
      </c>
      <c r="N266" s="16">
        <f t="shared" si="4"/>
        <v>0.3293403674797632</v>
      </c>
    </row>
    <row r="267" spans="2:14" ht="14.4" customHeight="1" x14ac:dyDescent="0.3">
      <c r="B267" s="2" t="s">
        <v>272</v>
      </c>
      <c r="C267" s="3">
        <v>44240</v>
      </c>
      <c r="D267" s="2" t="s">
        <v>2010</v>
      </c>
      <c r="E267" s="2" t="s">
        <v>2078</v>
      </c>
      <c r="F267" s="4">
        <v>1857.53</v>
      </c>
      <c r="G267" s="5">
        <v>709.24</v>
      </c>
      <c r="H267" s="6">
        <v>11</v>
      </c>
      <c r="I267" s="2" t="s">
        <v>2118</v>
      </c>
      <c r="J267" s="2" t="str">
        <v>Strategize E-Business Content</v>
      </c>
      <c r="K267" s="2" t="str">
        <v>Electronics</v>
      </c>
      <c r="L267" s="2" t="str">
        <v>Patterson LLC</v>
      </c>
      <c r="M267" s="2">
        <v>294.02</v>
      </c>
      <c r="N267" s="16">
        <f t="shared" si="4"/>
        <v>0.38181886699003514</v>
      </c>
    </row>
    <row r="268" spans="2:14" ht="14.4" customHeight="1" x14ac:dyDescent="0.3">
      <c r="B268" s="2" t="s">
        <v>273</v>
      </c>
      <c r="C268" s="3">
        <v>44833</v>
      </c>
      <c r="D268" s="2" t="s">
        <v>2009</v>
      </c>
      <c r="E268" s="2" t="s">
        <v>2076</v>
      </c>
      <c r="F268" s="4">
        <v>374.76</v>
      </c>
      <c r="G268" s="5">
        <v>449.9</v>
      </c>
      <c r="H268" s="6">
        <v>12</v>
      </c>
      <c r="I268" s="2" t="s">
        <v>2117</v>
      </c>
      <c r="J268" s="2" t="str">
        <v>Deliver Extensible Partnerships</v>
      </c>
      <c r="K268" s="2" t="str">
        <v>Furniture</v>
      </c>
      <c r="L268" s="2" t="str">
        <v>Martin, Paul and Salazar</v>
      </c>
      <c r="M268" s="2">
        <v>43.76</v>
      </c>
      <c r="N268" s="16">
        <f t="shared" si="4"/>
        <v>1.2005016543921443</v>
      </c>
    </row>
    <row r="269" spans="2:14" ht="14.4" customHeight="1" x14ac:dyDescent="0.3">
      <c r="B269" s="2" t="s">
        <v>274</v>
      </c>
      <c r="C269" s="3">
        <v>45537</v>
      </c>
      <c r="D269" s="2" t="s">
        <v>2011</v>
      </c>
      <c r="E269" s="2" t="s">
        <v>2033</v>
      </c>
      <c r="F269" s="4">
        <v>2907.82</v>
      </c>
      <c r="G269" s="5">
        <v>97.3</v>
      </c>
      <c r="H269" s="6">
        <v>18</v>
      </c>
      <c r="I269" s="2" t="s">
        <v>2117</v>
      </c>
      <c r="J269" s="2" t="str">
        <v>Leverage Rich Portals</v>
      </c>
      <c r="K269" s="2" t="str">
        <v>Office Supplies</v>
      </c>
      <c r="L269" s="2" t="str">
        <v>Wilson PLC</v>
      </c>
      <c r="M269" s="2">
        <v>46.35</v>
      </c>
      <c r="N269" s="16">
        <f t="shared" si="4"/>
        <v>3.3461493489968429E-2</v>
      </c>
    </row>
    <row r="270" spans="2:14" ht="14.4" customHeight="1" x14ac:dyDescent="0.3">
      <c r="B270" s="2" t="s">
        <v>275</v>
      </c>
      <c r="C270" s="3">
        <v>44891</v>
      </c>
      <c r="D270" s="2" t="s">
        <v>2010</v>
      </c>
      <c r="E270" s="2" t="s">
        <v>2019</v>
      </c>
      <c r="F270" s="4">
        <v>3030.5</v>
      </c>
      <c r="G270" s="5">
        <v>819.67</v>
      </c>
      <c r="H270" s="6">
        <v>5</v>
      </c>
      <c r="I270" s="2" t="s">
        <v>2117</v>
      </c>
      <c r="J270" s="2" t="str">
        <v>Implement Clicks-And-Mortar Partnerships</v>
      </c>
      <c r="K270" s="2" t="str">
        <v>Electronics</v>
      </c>
      <c r="L270" s="2" t="str">
        <v>Smith Inc</v>
      </c>
      <c r="M270" s="2">
        <v>195.53</v>
      </c>
      <c r="N270" s="16">
        <f t="shared" si="4"/>
        <v>0.27047351922125062</v>
      </c>
    </row>
    <row r="271" spans="2:14" ht="14.4" customHeight="1" x14ac:dyDescent="0.3">
      <c r="B271" s="2" t="s">
        <v>276</v>
      </c>
      <c r="C271" s="3">
        <v>44915</v>
      </c>
      <c r="D271" s="2" t="s">
        <v>2011</v>
      </c>
      <c r="E271" s="2" t="s">
        <v>2028</v>
      </c>
      <c r="F271" s="4">
        <v>2975.88</v>
      </c>
      <c r="G271" s="5">
        <v>104.55</v>
      </c>
      <c r="H271" s="6">
        <v>13</v>
      </c>
      <c r="I271" s="2" t="s">
        <v>2116</v>
      </c>
      <c r="J271" s="2" t="str">
        <v>Synergize World-Class Networks</v>
      </c>
      <c r="K271" s="2" t="str">
        <v>Electronics</v>
      </c>
      <c r="L271" s="2" t="str">
        <v>Gomez-Lawrence</v>
      </c>
      <c r="M271" s="2">
        <v>72.37</v>
      </c>
      <c r="N271" s="16">
        <f t="shared" si="4"/>
        <v>3.5132465018750753E-2</v>
      </c>
    </row>
    <row r="272" spans="2:14" ht="14.4" customHeight="1" x14ac:dyDescent="0.3">
      <c r="B272" s="2" t="s">
        <v>277</v>
      </c>
      <c r="C272" s="3">
        <v>44607</v>
      </c>
      <c r="D272" s="2" t="s">
        <v>2010</v>
      </c>
      <c r="E272" s="2" t="s">
        <v>2108</v>
      </c>
      <c r="F272" s="4">
        <v>975.96</v>
      </c>
      <c r="G272" s="5">
        <v>58.55</v>
      </c>
      <c r="H272" s="6">
        <v>13</v>
      </c>
      <c r="I272" s="2" t="s">
        <v>2116</v>
      </c>
      <c r="J272" s="2" t="str">
        <v>Whiteboard B2B Content</v>
      </c>
      <c r="K272" s="2" t="str">
        <v>Office Supplies</v>
      </c>
      <c r="L272" s="2" t="str">
        <v>Romero PLC</v>
      </c>
      <c r="M272" s="2">
        <v>93.81</v>
      </c>
      <c r="N272" s="16">
        <f t="shared" si="4"/>
        <v>5.9992212795606376E-2</v>
      </c>
    </row>
    <row r="273" spans="2:14" ht="14.4" customHeight="1" x14ac:dyDescent="0.3">
      <c r="B273" s="2" t="s">
        <v>278</v>
      </c>
      <c r="C273" s="3">
        <v>45074</v>
      </c>
      <c r="D273" s="2" t="s">
        <v>2012</v>
      </c>
      <c r="E273" s="2" t="s">
        <v>2030</v>
      </c>
      <c r="F273" s="4">
        <v>4829.88</v>
      </c>
      <c r="G273" s="5">
        <v>323.13</v>
      </c>
      <c r="H273" s="6">
        <v>12</v>
      </c>
      <c r="I273" s="2" t="s">
        <v>2116</v>
      </c>
      <c r="J273" s="2" t="str">
        <v>Engage Rich Web-Readiness</v>
      </c>
      <c r="K273" s="2" t="str">
        <v>Office Supplies</v>
      </c>
      <c r="L273" s="2" t="str">
        <v>Turner Inc</v>
      </c>
      <c r="M273" s="2">
        <v>81.069999999999993</v>
      </c>
      <c r="N273" s="16">
        <f t="shared" si="4"/>
        <v>6.6902283286541284E-2</v>
      </c>
    </row>
    <row r="274" spans="2:14" ht="14.4" customHeight="1" x14ac:dyDescent="0.3">
      <c r="B274" s="2" t="s">
        <v>279</v>
      </c>
      <c r="C274" s="3">
        <v>45096</v>
      </c>
      <c r="D274" s="2" t="s">
        <v>2011</v>
      </c>
      <c r="E274" s="2" t="s">
        <v>2099</v>
      </c>
      <c r="F274" s="4">
        <v>2381.59</v>
      </c>
      <c r="G274" s="5">
        <v>344.28</v>
      </c>
      <c r="H274" s="6">
        <v>17</v>
      </c>
      <c r="I274" s="2" t="s">
        <v>2117</v>
      </c>
      <c r="J274" s="2" t="str">
        <v>Synergize Cross-Platform Vortals</v>
      </c>
      <c r="K274" s="2" t="str">
        <v>Furniture</v>
      </c>
      <c r="L274" s="2" t="str">
        <v>Edwards Group</v>
      </c>
      <c r="M274" s="2">
        <v>87.18</v>
      </c>
      <c r="N274" s="16">
        <f t="shared" si="4"/>
        <v>0.14455888713002657</v>
      </c>
    </row>
    <row r="275" spans="2:14" ht="14.4" customHeight="1" x14ac:dyDescent="0.3">
      <c r="B275" s="2" t="s">
        <v>280</v>
      </c>
      <c r="C275" s="3">
        <v>44296</v>
      </c>
      <c r="D275" s="2" t="s">
        <v>2011</v>
      </c>
      <c r="E275" s="2" t="s">
        <v>2076</v>
      </c>
      <c r="F275" s="4">
        <v>2946.15</v>
      </c>
      <c r="G275" s="5">
        <v>579.08000000000004</v>
      </c>
      <c r="H275" s="6">
        <v>9</v>
      </c>
      <c r="I275" s="2" t="s">
        <v>2116</v>
      </c>
      <c r="J275" s="2" t="str">
        <v>Deliver Extensible Partnerships</v>
      </c>
      <c r="K275" s="2" t="str">
        <v>Furniture</v>
      </c>
      <c r="L275" s="2" t="str">
        <v>Martin, Paul and Salazar</v>
      </c>
      <c r="M275" s="2">
        <v>43.76</v>
      </c>
      <c r="N275" s="16">
        <f t="shared" si="4"/>
        <v>0.1965548257895898</v>
      </c>
    </row>
    <row r="276" spans="2:14" ht="14.4" customHeight="1" x14ac:dyDescent="0.3">
      <c r="B276" s="2" t="s">
        <v>281</v>
      </c>
      <c r="C276" s="3">
        <v>44299</v>
      </c>
      <c r="D276" s="2" t="s">
        <v>2009</v>
      </c>
      <c r="E276" s="2" t="s">
        <v>2048</v>
      </c>
      <c r="F276" s="4">
        <v>2381.96</v>
      </c>
      <c r="G276" s="5">
        <v>108.9</v>
      </c>
      <c r="H276" s="6">
        <v>3</v>
      </c>
      <c r="I276" s="2" t="s">
        <v>2118</v>
      </c>
      <c r="J276" s="2" t="str">
        <v>Drive Compelling E-Services</v>
      </c>
      <c r="K276" s="2" t="str">
        <v>Office Supplies</v>
      </c>
      <c r="L276" s="2" t="str">
        <v>Morris-Villanueva</v>
      </c>
      <c r="M276" s="2">
        <v>27.22</v>
      </c>
      <c r="N276" s="16">
        <f t="shared" si="4"/>
        <v>4.5718651866530083E-2</v>
      </c>
    </row>
    <row r="277" spans="2:14" ht="14.4" customHeight="1" x14ac:dyDescent="0.3">
      <c r="B277" s="2" t="s">
        <v>282</v>
      </c>
      <c r="C277" s="3">
        <v>44202</v>
      </c>
      <c r="D277" s="2" t="s">
        <v>2009</v>
      </c>
      <c r="E277" s="2" t="s">
        <v>2060</v>
      </c>
      <c r="F277" s="4">
        <v>3786.62</v>
      </c>
      <c r="G277" s="5">
        <v>929.37</v>
      </c>
      <c r="H277" s="6">
        <v>5</v>
      </c>
      <c r="I277" s="2" t="s">
        <v>2116</v>
      </c>
      <c r="J277" s="2" t="str">
        <v>Synergize End-To-End Roi</v>
      </c>
      <c r="K277" s="2" t="str">
        <v>Electronics</v>
      </c>
      <c r="L277" s="2" t="str">
        <v>Evans-Smith</v>
      </c>
      <c r="M277" s="2">
        <v>159.85</v>
      </c>
      <c r="N277" s="16">
        <f t="shared" si="4"/>
        <v>0.24543524303996705</v>
      </c>
    </row>
    <row r="278" spans="2:14" ht="14.4" customHeight="1" x14ac:dyDescent="0.3">
      <c r="B278" s="2" t="s">
        <v>283</v>
      </c>
      <c r="C278" s="3">
        <v>44741</v>
      </c>
      <c r="D278" s="2" t="s">
        <v>2009</v>
      </c>
      <c r="E278" s="2" t="s">
        <v>2059</v>
      </c>
      <c r="F278" s="4">
        <v>2080.19</v>
      </c>
      <c r="G278" s="5">
        <v>611.33000000000004</v>
      </c>
      <c r="H278" s="6">
        <v>20</v>
      </c>
      <c r="I278" s="2" t="s">
        <v>2118</v>
      </c>
      <c r="J278" s="2" t="str">
        <v>Redefine Real-Time Convergence</v>
      </c>
      <c r="K278" s="2" t="str">
        <v>Electronics</v>
      </c>
      <c r="L278" s="2" t="str">
        <v>Hayes, Peters and Douglas</v>
      </c>
      <c r="M278" s="2">
        <v>78.260000000000005</v>
      </c>
      <c r="N278" s="16">
        <f t="shared" si="4"/>
        <v>0.29388180887322796</v>
      </c>
    </row>
    <row r="279" spans="2:14" ht="14.4" customHeight="1" x14ac:dyDescent="0.3">
      <c r="B279" s="2" t="s">
        <v>284</v>
      </c>
      <c r="C279" s="3">
        <v>45447</v>
      </c>
      <c r="D279" s="2" t="s">
        <v>2010</v>
      </c>
      <c r="E279" s="2" t="s">
        <v>2020</v>
      </c>
      <c r="F279" s="4">
        <v>1729.18</v>
      </c>
      <c r="G279" s="5">
        <v>848.36</v>
      </c>
      <c r="H279" s="6">
        <v>1</v>
      </c>
      <c r="I279" s="2" t="s">
        <v>2116</v>
      </c>
      <c r="J279" s="2" t="str">
        <v>Harness Revolutionary Interfaces</v>
      </c>
      <c r="K279" s="2" t="str">
        <v>Furniture</v>
      </c>
      <c r="L279" s="2" t="str">
        <v>Davis, Short and Nguyen</v>
      </c>
      <c r="M279" s="2">
        <v>26.49</v>
      </c>
      <c r="N279" s="16">
        <f t="shared" si="4"/>
        <v>0.49061404827721811</v>
      </c>
    </row>
    <row r="280" spans="2:14" ht="14.4" customHeight="1" x14ac:dyDescent="0.3">
      <c r="B280" s="2" t="s">
        <v>285</v>
      </c>
      <c r="C280" s="3">
        <v>45438</v>
      </c>
      <c r="D280" s="2" t="s">
        <v>2009</v>
      </c>
      <c r="E280" s="2" t="s">
        <v>2096</v>
      </c>
      <c r="F280" s="4">
        <v>1770.48</v>
      </c>
      <c r="G280" s="5">
        <v>348.13</v>
      </c>
      <c r="H280" s="6">
        <v>19</v>
      </c>
      <c r="I280" s="2" t="s">
        <v>2116</v>
      </c>
      <c r="J280" s="2" t="str">
        <v>Disintermediate Scalable Bandwidth</v>
      </c>
      <c r="K280" s="2" t="str">
        <v>Electronics</v>
      </c>
      <c r="L280" s="2" t="str">
        <v>Levy PLC</v>
      </c>
      <c r="M280" s="2">
        <v>19.86</v>
      </c>
      <c r="N280" s="16">
        <f t="shared" si="4"/>
        <v>0.19663029235009716</v>
      </c>
    </row>
    <row r="281" spans="2:14" ht="14.4" customHeight="1" x14ac:dyDescent="0.3">
      <c r="B281" s="2" t="s">
        <v>286</v>
      </c>
      <c r="C281" s="3">
        <v>44752</v>
      </c>
      <c r="D281" s="2" t="s">
        <v>2009</v>
      </c>
      <c r="E281" s="2" t="s">
        <v>2058</v>
      </c>
      <c r="F281" s="4">
        <v>959.66</v>
      </c>
      <c r="G281" s="5">
        <v>310.31</v>
      </c>
      <c r="H281" s="6">
        <v>11</v>
      </c>
      <c r="I281" s="2" t="s">
        <v>2116</v>
      </c>
      <c r="J281" s="2" t="str">
        <v>Envisioneer B2C Web-Readiness</v>
      </c>
      <c r="K281" s="2" t="str">
        <v>Electronics</v>
      </c>
      <c r="L281" s="2" t="str">
        <v>Kemp Group</v>
      </c>
      <c r="M281" s="2">
        <v>97.23</v>
      </c>
      <c r="N281" s="16">
        <f t="shared" si="4"/>
        <v>0.32335410457870495</v>
      </c>
    </row>
    <row r="282" spans="2:14" ht="14.4" customHeight="1" x14ac:dyDescent="0.3">
      <c r="B282" s="2" t="s">
        <v>287</v>
      </c>
      <c r="C282" s="3">
        <v>44632</v>
      </c>
      <c r="D282" s="2" t="s">
        <v>2010</v>
      </c>
      <c r="E282" s="2" t="s">
        <v>2076</v>
      </c>
      <c r="F282" s="4">
        <v>4244.46</v>
      </c>
      <c r="G282" s="5">
        <v>886.05</v>
      </c>
      <c r="H282" s="6">
        <v>16</v>
      </c>
      <c r="I282" s="2" t="s">
        <v>2116</v>
      </c>
      <c r="J282" s="2" t="str">
        <v>Deliver Extensible Partnerships</v>
      </c>
      <c r="K282" s="2" t="str">
        <v>Furniture</v>
      </c>
      <c r="L282" s="2" t="str">
        <v>Martin, Paul and Salazar</v>
      </c>
      <c r="M282" s="2">
        <v>43.76</v>
      </c>
      <c r="N282" s="16">
        <f t="shared" si="4"/>
        <v>0.20875447053335405</v>
      </c>
    </row>
    <row r="283" spans="2:14" ht="14.4" customHeight="1" x14ac:dyDescent="0.3">
      <c r="B283" s="2" t="s">
        <v>288</v>
      </c>
      <c r="C283" s="3">
        <v>44476</v>
      </c>
      <c r="D283" s="2" t="s">
        <v>2010</v>
      </c>
      <c r="E283" s="2" t="s">
        <v>2041</v>
      </c>
      <c r="F283" s="4">
        <v>1611.46</v>
      </c>
      <c r="G283" s="5">
        <v>647.09</v>
      </c>
      <c r="H283" s="6">
        <v>10</v>
      </c>
      <c r="I283" s="2" t="s">
        <v>2118</v>
      </c>
      <c r="J283" s="2" t="str">
        <v>Expedite Synergistic Web-Readiness</v>
      </c>
      <c r="K283" s="2" t="str">
        <v>Electronics</v>
      </c>
      <c r="L283" s="2" t="str">
        <v>Dunlap, Carpenter and Monroe</v>
      </c>
      <c r="M283" s="2">
        <v>289.66000000000003</v>
      </c>
      <c r="N283" s="16">
        <f t="shared" si="4"/>
        <v>0.40155511151378254</v>
      </c>
    </row>
    <row r="284" spans="2:14" ht="14.4" customHeight="1" x14ac:dyDescent="0.3">
      <c r="B284" s="2" t="s">
        <v>289</v>
      </c>
      <c r="C284" s="3">
        <v>43847</v>
      </c>
      <c r="D284" s="2" t="s">
        <v>2011</v>
      </c>
      <c r="E284" s="2" t="s">
        <v>2048</v>
      </c>
      <c r="F284" s="4">
        <v>2897.92</v>
      </c>
      <c r="G284" s="5">
        <v>759.52</v>
      </c>
      <c r="H284" s="6">
        <v>11</v>
      </c>
      <c r="I284" s="2" t="s">
        <v>2117</v>
      </c>
      <c r="J284" s="2" t="str">
        <v>Drive Compelling E-Services</v>
      </c>
      <c r="K284" s="2" t="str">
        <v>Office Supplies</v>
      </c>
      <c r="L284" s="2" t="str">
        <v>Morris-Villanueva</v>
      </c>
      <c r="M284" s="2">
        <v>27.22</v>
      </c>
      <c r="N284" s="16">
        <f t="shared" si="4"/>
        <v>0.26209143109540634</v>
      </c>
    </row>
    <row r="285" spans="2:14" ht="14.4" customHeight="1" x14ac:dyDescent="0.3">
      <c r="B285" s="2" t="s">
        <v>290</v>
      </c>
      <c r="C285" s="3">
        <v>44397</v>
      </c>
      <c r="D285" s="2" t="s">
        <v>2011</v>
      </c>
      <c r="E285" s="2" t="s">
        <v>2079</v>
      </c>
      <c r="F285" s="4">
        <v>3869.56</v>
      </c>
      <c r="G285" s="5">
        <v>590.41</v>
      </c>
      <c r="H285" s="6">
        <v>15</v>
      </c>
      <c r="I285" s="2" t="s">
        <v>2117</v>
      </c>
      <c r="J285" s="2" t="str">
        <v>Iterate Extensible Roi</v>
      </c>
      <c r="K285" s="2" t="str">
        <v>Office Supplies</v>
      </c>
      <c r="L285" s="2" t="str">
        <v>Hill-Kelly</v>
      </c>
      <c r="M285" s="2">
        <v>180</v>
      </c>
      <c r="N285" s="16">
        <f t="shared" si="4"/>
        <v>0.15257807089178096</v>
      </c>
    </row>
    <row r="286" spans="2:14" ht="14.4" customHeight="1" x14ac:dyDescent="0.3">
      <c r="B286" s="2" t="s">
        <v>291</v>
      </c>
      <c r="C286" s="3">
        <v>45599</v>
      </c>
      <c r="D286" s="2" t="s">
        <v>2010</v>
      </c>
      <c r="E286" s="2" t="s">
        <v>2103</v>
      </c>
      <c r="F286" s="4">
        <v>2597.4499999999998</v>
      </c>
      <c r="G286" s="5">
        <v>132.04</v>
      </c>
      <c r="H286" s="6">
        <v>6</v>
      </c>
      <c r="I286" s="2" t="s">
        <v>2118</v>
      </c>
      <c r="J286" s="2" t="str">
        <v>Benchmark Cross-Platform Markets</v>
      </c>
      <c r="K286" s="2" t="str">
        <v>Furniture</v>
      </c>
      <c r="L286" s="2" t="str">
        <v>Murphy, Mathews and Wilson</v>
      </c>
      <c r="M286" s="2">
        <v>78.88</v>
      </c>
      <c r="N286" s="16">
        <f t="shared" si="4"/>
        <v>5.0834472270881059E-2</v>
      </c>
    </row>
    <row r="287" spans="2:14" ht="14.4" customHeight="1" x14ac:dyDescent="0.3">
      <c r="B287" s="2" t="s">
        <v>292</v>
      </c>
      <c r="C287" s="3">
        <v>44506</v>
      </c>
      <c r="D287" s="2" t="s">
        <v>2010</v>
      </c>
      <c r="E287" s="2" t="s">
        <v>2032</v>
      </c>
      <c r="F287" s="4">
        <v>3104.07</v>
      </c>
      <c r="G287" s="5">
        <v>288.82</v>
      </c>
      <c r="H287" s="6">
        <v>19</v>
      </c>
      <c r="I287" s="2" t="s">
        <v>2117</v>
      </c>
      <c r="J287" s="2" t="str">
        <v>Reinvent Frictionless Roi</v>
      </c>
      <c r="K287" s="2" t="str">
        <v>Furniture</v>
      </c>
      <c r="L287" s="2" t="str">
        <v>Bridges, Castillo and Rodriguez</v>
      </c>
      <c r="M287" s="2">
        <v>253.89</v>
      </c>
      <c r="N287" s="16">
        <f t="shared" si="4"/>
        <v>9.3045582090610063E-2</v>
      </c>
    </row>
    <row r="288" spans="2:14" ht="14.4" customHeight="1" x14ac:dyDescent="0.3">
      <c r="B288" s="2" t="s">
        <v>293</v>
      </c>
      <c r="C288" s="3">
        <v>43926</v>
      </c>
      <c r="D288" s="2" t="s">
        <v>2012</v>
      </c>
      <c r="E288" s="2" t="s">
        <v>2035</v>
      </c>
      <c r="F288" s="4">
        <v>3568.66</v>
      </c>
      <c r="G288" s="5">
        <v>51.16</v>
      </c>
      <c r="H288" s="6">
        <v>20</v>
      </c>
      <c r="I288" s="2" t="s">
        <v>2117</v>
      </c>
      <c r="J288" s="2" t="str">
        <v>Optimize 24/365 E-Services</v>
      </c>
      <c r="K288" s="2" t="str">
        <v>Office Supplies</v>
      </c>
      <c r="L288" s="2" t="str">
        <v>Chase Ltd</v>
      </c>
      <c r="M288" s="2">
        <v>100.35</v>
      </c>
      <c r="N288" s="16">
        <f t="shared" si="4"/>
        <v>1.4335913199912571E-2</v>
      </c>
    </row>
    <row r="289" spans="2:14" ht="14.4" customHeight="1" x14ac:dyDescent="0.3">
      <c r="B289" s="2" t="s">
        <v>294</v>
      </c>
      <c r="C289" s="3">
        <v>44780</v>
      </c>
      <c r="D289" s="2" t="s">
        <v>2012</v>
      </c>
      <c r="E289" s="2" t="s">
        <v>2050</v>
      </c>
      <c r="F289" s="4">
        <v>3320.43</v>
      </c>
      <c r="G289" s="5">
        <v>501.14</v>
      </c>
      <c r="H289" s="6">
        <v>16</v>
      </c>
      <c r="I289" s="2" t="s">
        <v>2118</v>
      </c>
      <c r="J289" s="2" t="str">
        <v>Extend Bricks-And-Clicks Architectures</v>
      </c>
      <c r="K289" s="2" t="str">
        <v>Furniture</v>
      </c>
      <c r="L289" s="2" t="str">
        <v>Fuller PLC</v>
      </c>
      <c r="M289" s="2">
        <v>202.99</v>
      </c>
      <c r="N289" s="16">
        <f t="shared" si="4"/>
        <v>0.15092623545745582</v>
      </c>
    </row>
    <row r="290" spans="2:14" ht="14.4" customHeight="1" x14ac:dyDescent="0.3">
      <c r="B290" s="2" t="s">
        <v>295</v>
      </c>
      <c r="C290" s="3">
        <v>43902</v>
      </c>
      <c r="D290" s="2" t="s">
        <v>2009</v>
      </c>
      <c r="E290" s="2" t="s">
        <v>2032</v>
      </c>
      <c r="F290" s="4">
        <v>1507.41</v>
      </c>
      <c r="G290" s="5">
        <v>364.91</v>
      </c>
      <c r="H290" s="6">
        <v>2</v>
      </c>
      <c r="I290" s="2" t="s">
        <v>2118</v>
      </c>
      <c r="J290" s="2" t="str">
        <v>Reinvent Frictionless Roi</v>
      </c>
      <c r="K290" s="2" t="str">
        <v>Furniture</v>
      </c>
      <c r="L290" s="2" t="str">
        <v>Bridges, Castillo and Rodriguez</v>
      </c>
      <c r="M290" s="2">
        <v>253.89</v>
      </c>
      <c r="N290" s="16">
        <f t="shared" si="4"/>
        <v>0.24207747062842891</v>
      </c>
    </row>
    <row r="291" spans="2:14" ht="14.4" customHeight="1" x14ac:dyDescent="0.3">
      <c r="B291" s="2" t="s">
        <v>296</v>
      </c>
      <c r="C291" s="3">
        <v>44337</v>
      </c>
      <c r="D291" s="2" t="s">
        <v>2011</v>
      </c>
      <c r="E291" s="2" t="s">
        <v>2074</v>
      </c>
      <c r="F291" s="4">
        <v>2279.36</v>
      </c>
      <c r="G291" s="5">
        <v>988.67</v>
      </c>
      <c r="H291" s="6">
        <v>4</v>
      </c>
      <c r="I291" s="2" t="s">
        <v>2117</v>
      </c>
      <c r="J291" s="2" t="str">
        <v>Utilize Ubiquitous Synergies</v>
      </c>
      <c r="K291" s="2" t="str">
        <v>Electronics</v>
      </c>
      <c r="L291" s="2" t="str">
        <v>Kramer, Huang and Shaw</v>
      </c>
      <c r="M291" s="2">
        <v>295.89999999999998</v>
      </c>
      <c r="N291" s="16">
        <f t="shared" si="4"/>
        <v>0.43374894707286249</v>
      </c>
    </row>
    <row r="292" spans="2:14" ht="14.4" customHeight="1" x14ac:dyDescent="0.3">
      <c r="B292" s="2" t="s">
        <v>297</v>
      </c>
      <c r="C292" s="3">
        <v>44102</v>
      </c>
      <c r="D292" s="2" t="s">
        <v>2011</v>
      </c>
      <c r="E292" s="2" t="s">
        <v>2074</v>
      </c>
      <c r="F292" s="4">
        <v>3522.69</v>
      </c>
      <c r="G292" s="5">
        <v>849.8</v>
      </c>
      <c r="H292" s="6">
        <v>19</v>
      </c>
      <c r="I292" s="2" t="s">
        <v>2118</v>
      </c>
      <c r="J292" s="2" t="str">
        <v>Utilize Ubiquitous Synergies</v>
      </c>
      <c r="K292" s="2" t="str">
        <v>Electronics</v>
      </c>
      <c r="L292" s="2" t="str">
        <v>Kramer, Huang and Shaw</v>
      </c>
      <c r="M292" s="2">
        <v>295.89999999999998</v>
      </c>
      <c r="N292" s="16">
        <f t="shared" si="4"/>
        <v>0.24123610082067964</v>
      </c>
    </row>
    <row r="293" spans="2:14" ht="14.4" customHeight="1" x14ac:dyDescent="0.3">
      <c r="B293" s="2" t="s">
        <v>298</v>
      </c>
      <c r="C293" s="3">
        <v>44945</v>
      </c>
      <c r="D293" s="2" t="s">
        <v>2009</v>
      </c>
      <c r="E293" s="2" t="s">
        <v>2046</v>
      </c>
      <c r="F293" s="4">
        <v>1447.06</v>
      </c>
      <c r="G293" s="5">
        <v>44.63</v>
      </c>
      <c r="H293" s="6">
        <v>8</v>
      </c>
      <c r="I293" s="2" t="s">
        <v>2116</v>
      </c>
      <c r="J293" s="2" t="str">
        <v>Facilitate End-To-End Experiences</v>
      </c>
      <c r="K293" s="2" t="str">
        <v>Office Supplies</v>
      </c>
      <c r="L293" s="2" t="str">
        <v>Pierce-Goodwin</v>
      </c>
      <c r="M293" s="2">
        <v>260.52999999999997</v>
      </c>
      <c r="N293" s="16">
        <f t="shared" si="4"/>
        <v>3.0841844844028583E-2</v>
      </c>
    </row>
    <row r="294" spans="2:14" ht="14.4" customHeight="1" x14ac:dyDescent="0.3">
      <c r="B294" s="2" t="s">
        <v>299</v>
      </c>
      <c r="C294" s="3">
        <v>45483</v>
      </c>
      <c r="D294" s="2" t="s">
        <v>2011</v>
      </c>
      <c r="E294" s="2" t="s">
        <v>2047</v>
      </c>
      <c r="F294" s="4">
        <v>1151.1600000000001</v>
      </c>
      <c r="G294" s="5">
        <v>897.58</v>
      </c>
      <c r="H294" s="6">
        <v>1</v>
      </c>
      <c r="I294" s="2" t="s">
        <v>2118</v>
      </c>
      <c r="J294" s="2" t="str">
        <v>Transform Holistic Functionalities</v>
      </c>
      <c r="K294" s="2" t="str">
        <v>Office Supplies</v>
      </c>
      <c r="L294" s="2" t="str">
        <v>Ruiz Ltd</v>
      </c>
      <c r="M294" s="2">
        <v>179.27</v>
      </c>
      <c r="N294" s="16">
        <f t="shared" si="4"/>
        <v>0.77971784982105008</v>
      </c>
    </row>
    <row r="295" spans="2:14" ht="14.4" customHeight="1" x14ac:dyDescent="0.3">
      <c r="B295" s="2" t="s">
        <v>300</v>
      </c>
      <c r="C295" s="3">
        <v>44955</v>
      </c>
      <c r="D295" s="2" t="s">
        <v>2009</v>
      </c>
      <c r="E295" s="2" t="s">
        <v>2065</v>
      </c>
      <c r="F295" s="4">
        <v>1137.24</v>
      </c>
      <c r="G295" s="5">
        <v>539.82000000000005</v>
      </c>
      <c r="H295" s="6">
        <v>4</v>
      </c>
      <c r="I295" s="2" t="s">
        <v>2118</v>
      </c>
      <c r="J295" s="2" t="str">
        <v>Re-Contextualize Integrated Info-Mediaries</v>
      </c>
      <c r="K295" s="2" t="str">
        <v>Electronics</v>
      </c>
      <c r="L295" s="2" t="str">
        <v>Jones-Schroeder</v>
      </c>
      <c r="M295" s="2">
        <v>26.02</v>
      </c>
      <c r="N295" s="16">
        <f t="shared" si="4"/>
        <v>0.47467553023108583</v>
      </c>
    </row>
    <row r="296" spans="2:14" ht="14.4" customHeight="1" x14ac:dyDescent="0.3">
      <c r="B296" s="2" t="s">
        <v>301</v>
      </c>
      <c r="C296" s="3">
        <v>45465</v>
      </c>
      <c r="D296" s="2" t="s">
        <v>2010</v>
      </c>
      <c r="E296" s="2" t="s">
        <v>2110</v>
      </c>
      <c r="F296" s="4">
        <v>4915.12</v>
      </c>
      <c r="G296" s="5">
        <v>561.09</v>
      </c>
      <c r="H296" s="6">
        <v>3</v>
      </c>
      <c r="I296" s="2" t="s">
        <v>2117</v>
      </c>
      <c r="J296" s="2" t="str">
        <v>Repurpose End-To-End Networks</v>
      </c>
      <c r="K296" s="2" t="str">
        <v>Office Supplies</v>
      </c>
      <c r="L296" s="2" t="str">
        <v>Torres-Rush</v>
      </c>
      <c r="M296" s="2">
        <v>97.02</v>
      </c>
      <c r="N296" s="16">
        <f t="shared" si="4"/>
        <v>0.11415591074073472</v>
      </c>
    </row>
    <row r="297" spans="2:14" ht="14.4" customHeight="1" x14ac:dyDescent="0.3">
      <c r="B297" s="2" t="s">
        <v>302</v>
      </c>
      <c r="C297" s="3">
        <v>45594</v>
      </c>
      <c r="D297" s="2" t="s">
        <v>2012</v>
      </c>
      <c r="E297" s="2" t="s">
        <v>2029</v>
      </c>
      <c r="F297" s="4">
        <v>4443.51</v>
      </c>
      <c r="G297" s="5">
        <v>674.62</v>
      </c>
      <c r="H297" s="6">
        <v>6</v>
      </c>
      <c r="I297" s="2" t="s">
        <v>2116</v>
      </c>
      <c r="J297" s="2" t="str">
        <v>E-Enable Next-Generation Experiences</v>
      </c>
      <c r="K297" s="2" t="str">
        <v>Furniture</v>
      </c>
      <c r="L297" s="2" t="str">
        <v>Sanchez-Quinn</v>
      </c>
      <c r="M297" s="2">
        <v>266.93</v>
      </c>
      <c r="N297" s="16">
        <f t="shared" si="4"/>
        <v>0.15182142045365038</v>
      </c>
    </row>
    <row r="298" spans="2:14" ht="14.4" customHeight="1" x14ac:dyDescent="0.3">
      <c r="B298" s="2" t="s">
        <v>303</v>
      </c>
      <c r="C298" s="3">
        <v>44430</v>
      </c>
      <c r="D298" s="2" t="s">
        <v>2012</v>
      </c>
      <c r="E298" s="2" t="s">
        <v>2032</v>
      </c>
      <c r="F298" s="4">
        <v>4448.24</v>
      </c>
      <c r="G298" s="5">
        <v>153.33000000000001</v>
      </c>
      <c r="H298" s="6">
        <v>12</v>
      </c>
      <c r="I298" s="2" t="s">
        <v>2117</v>
      </c>
      <c r="J298" s="2" t="str">
        <v>Reinvent Frictionless Roi</v>
      </c>
      <c r="K298" s="2" t="str">
        <v>Furniture</v>
      </c>
      <c r="L298" s="2" t="str">
        <v>Bridges, Castillo and Rodriguez</v>
      </c>
      <c r="M298" s="2">
        <v>253.89</v>
      </c>
      <c r="N298" s="16">
        <f t="shared" si="4"/>
        <v>3.4469812779885985E-2</v>
      </c>
    </row>
    <row r="299" spans="2:14" ht="14.4" customHeight="1" x14ac:dyDescent="0.3">
      <c r="B299" s="2" t="s">
        <v>304</v>
      </c>
      <c r="C299" s="3">
        <v>43940</v>
      </c>
      <c r="D299" s="2" t="s">
        <v>2011</v>
      </c>
      <c r="E299" s="2" t="s">
        <v>2050</v>
      </c>
      <c r="F299" s="4">
        <v>3052.1</v>
      </c>
      <c r="G299" s="5">
        <v>484.7</v>
      </c>
      <c r="H299" s="6">
        <v>16</v>
      </c>
      <c r="I299" s="2" t="s">
        <v>2118</v>
      </c>
      <c r="J299" s="2" t="str">
        <v>Extend Bricks-And-Clicks Architectures</v>
      </c>
      <c r="K299" s="2" t="str">
        <v>Furniture</v>
      </c>
      <c r="L299" s="2" t="str">
        <v>Fuller PLC</v>
      </c>
      <c r="M299" s="2">
        <v>202.99</v>
      </c>
      <c r="N299" s="16">
        <f t="shared" si="4"/>
        <v>0.15880868909930868</v>
      </c>
    </row>
    <row r="300" spans="2:14" ht="14.4" customHeight="1" x14ac:dyDescent="0.3">
      <c r="B300" s="2" t="s">
        <v>305</v>
      </c>
      <c r="C300" s="3">
        <v>43989</v>
      </c>
      <c r="D300" s="2" t="s">
        <v>2012</v>
      </c>
      <c r="E300" s="2" t="s">
        <v>2091</v>
      </c>
      <c r="F300" s="4">
        <v>4335.13</v>
      </c>
      <c r="G300" s="5">
        <v>865.32</v>
      </c>
      <c r="H300" s="6">
        <v>20</v>
      </c>
      <c r="I300" s="2" t="s">
        <v>2117</v>
      </c>
      <c r="J300" s="2" t="str">
        <v>Synthesize Scalable Portals</v>
      </c>
      <c r="K300" s="2" t="str">
        <v>Furniture</v>
      </c>
      <c r="L300" s="2" t="str">
        <v>Singh, Villa and Flynn</v>
      </c>
      <c r="M300" s="2">
        <v>298.57</v>
      </c>
      <c r="N300" s="16">
        <f t="shared" si="4"/>
        <v>0.19960647085554528</v>
      </c>
    </row>
    <row r="301" spans="2:14" ht="14.4" customHeight="1" x14ac:dyDescent="0.3">
      <c r="B301" s="2" t="s">
        <v>306</v>
      </c>
      <c r="C301" s="3">
        <v>45520</v>
      </c>
      <c r="D301" s="2" t="s">
        <v>2011</v>
      </c>
      <c r="E301" s="2" t="s">
        <v>2033</v>
      </c>
      <c r="F301" s="4">
        <v>1206.3800000000001</v>
      </c>
      <c r="G301" s="5">
        <v>488.48</v>
      </c>
      <c r="H301" s="6">
        <v>1</v>
      </c>
      <c r="I301" s="2" t="s">
        <v>2116</v>
      </c>
      <c r="J301" s="2" t="str">
        <v>Leverage Rich Portals</v>
      </c>
      <c r="K301" s="2" t="str">
        <v>Office Supplies</v>
      </c>
      <c r="L301" s="2" t="str">
        <v>Wilson PLC</v>
      </c>
      <c r="M301" s="2">
        <v>46.35</v>
      </c>
      <c r="N301" s="16">
        <f t="shared" si="4"/>
        <v>0.40491387456688605</v>
      </c>
    </row>
    <row r="302" spans="2:14" ht="14.4" customHeight="1" x14ac:dyDescent="0.3">
      <c r="B302" s="2" t="s">
        <v>307</v>
      </c>
      <c r="C302" s="3">
        <v>44599</v>
      </c>
      <c r="D302" s="2" t="s">
        <v>2009</v>
      </c>
      <c r="E302" s="2" t="s">
        <v>2037</v>
      </c>
      <c r="F302" s="4">
        <v>1014.16</v>
      </c>
      <c r="G302" s="5">
        <v>911.24</v>
      </c>
      <c r="H302" s="6">
        <v>18</v>
      </c>
      <c r="I302" s="2" t="s">
        <v>2118</v>
      </c>
      <c r="J302" s="2" t="str">
        <v>Utilize Back-End Models</v>
      </c>
      <c r="K302" s="2" t="str">
        <v>Furniture</v>
      </c>
      <c r="L302" s="2" t="str">
        <v>Lewis-Holden</v>
      </c>
      <c r="M302" s="2">
        <v>241.53</v>
      </c>
      <c r="N302" s="16">
        <f t="shared" si="4"/>
        <v>0.89851699929005291</v>
      </c>
    </row>
    <row r="303" spans="2:14" ht="14.4" customHeight="1" x14ac:dyDescent="0.3">
      <c r="B303" s="2" t="s">
        <v>308</v>
      </c>
      <c r="C303" s="3">
        <v>44441</v>
      </c>
      <c r="D303" s="2" t="s">
        <v>2010</v>
      </c>
      <c r="E303" s="2" t="s">
        <v>2044</v>
      </c>
      <c r="F303" s="4">
        <v>1212.1099999999999</v>
      </c>
      <c r="G303" s="5">
        <v>107.62</v>
      </c>
      <c r="H303" s="6">
        <v>16</v>
      </c>
      <c r="I303" s="2" t="s">
        <v>2116</v>
      </c>
      <c r="J303" s="2" t="str">
        <v>Grow Back-End Supply-Chains</v>
      </c>
      <c r="K303" s="2" t="str">
        <v>Electronics</v>
      </c>
      <c r="L303" s="2" t="str">
        <v>Green LLC</v>
      </c>
      <c r="M303" s="2">
        <v>140.08000000000001</v>
      </c>
      <c r="N303" s="16">
        <f t="shared" si="4"/>
        <v>8.8787321282721876E-2</v>
      </c>
    </row>
    <row r="304" spans="2:14" ht="14.4" customHeight="1" x14ac:dyDescent="0.3">
      <c r="B304" s="2" t="s">
        <v>309</v>
      </c>
      <c r="C304" s="3">
        <v>44960</v>
      </c>
      <c r="D304" s="2" t="s">
        <v>2009</v>
      </c>
      <c r="E304" s="2" t="s">
        <v>2055</v>
      </c>
      <c r="F304" s="4">
        <v>4291.43</v>
      </c>
      <c r="G304" s="5">
        <v>921.26</v>
      </c>
      <c r="H304" s="6">
        <v>14</v>
      </c>
      <c r="I304" s="2" t="s">
        <v>2116</v>
      </c>
      <c r="J304" s="2" t="str">
        <v>Engineer Real-Time Architectures</v>
      </c>
      <c r="K304" s="2" t="str">
        <v>Furniture</v>
      </c>
      <c r="L304" s="2" t="str">
        <v>James and Sons</v>
      </c>
      <c r="M304" s="2">
        <v>127.23</v>
      </c>
      <c r="N304" s="16">
        <f t="shared" si="4"/>
        <v>0.21467436262504572</v>
      </c>
    </row>
    <row r="305" spans="2:14" ht="14.4" customHeight="1" x14ac:dyDescent="0.3">
      <c r="B305" s="2" t="s">
        <v>310</v>
      </c>
      <c r="C305" s="3">
        <v>44022</v>
      </c>
      <c r="D305" s="2" t="s">
        <v>2010</v>
      </c>
      <c r="E305" s="2" t="s">
        <v>2104</v>
      </c>
      <c r="F305" s="4">
        <v>3870.83</v>
      </c>
      <c r="G305" s="5">
        <v>632.41</v>
      </c>
      <c r="H305" s="6">
        <v>8</v>
      </c>
      <c r="I305" s="2" t="s">
        <v>2118</v>
      </c>
      <c r="J305" s="2" t="str">
        <v>Scale Cross-Platform Web Services</v>
      </c>
      <c r="K305" s="2" t="str">
        <v>Furniture</v>
      </c>
      <c r="L305" s="2" t="str">
        <v>Morrow, Brock and Lewis</v>
      </c>
      <c r="M305" s="2">
        <v>115.21</v>
      </c>
      <c r="N305" s="16">
        <f t="shared" si="4"/>
        <v>0.16337839688128902</v>
      </c>
    </row>
    <row r="306" spans="2:14" ht="14.4" customHeight="1" x14ac:dyDescent="0.3">
      <c r="B306" s="2" t="s">
        <v>311</v>
      </c>
      <c r="C306" s="3">
        <v>44346</v>
      </c>
      <c r="D306" s="2" t="s">
        <v>2009</v>
      </c>
      <c r="E306" s="2" t="s">
        <v>2085</v>
      </c>
      <c r="F306" s="4">
        <v>4744.76</v>
      </c>
      <c r="G306" s="5">
        <v>149.13999999999999</v>
      </c>
      <c r="H306" s="6">
        <v>15</v>
      </c>
      <c r="I306" s="2" t="s">
        <v>2117</v>
      </c>
      <c r="J306" s="2" t="str">
        <v>Incentivize User-Centric Mindshare</v>
      </c>
      <c r="K306" s="2" t="str">
        <v>Electronics</v>
      </c>
      <c r="L306" s="2" t="str">
        <v>Becker, Wright and Wong</v>
      </c>
      <c r="M306" s="2">
        <v>38.51</v>
      </c>
      <c r="N306" s="16">
        <f t="shared" si="4"/>
        <v>3.1432569824395754E-2</v>
      </c>
    </row>
    <row r="307" spans="2:14" ht="14.4" customHeight="1" x14ac:dyDescent="0.3">
      <c r="B307" s="2" t="s">
        <v>312</v>
      </c>
      <c r="C307" s="3">
        <v>44839</v>
      </c>
      <c r="D307" s="2" t="s">
        <v>2012</v>
      </c>
      <c r="E307" s="2" t="s">
        <v>2043</v>
      </c>
      <c r="F307" s="4">
        <v>3780.24</v>
      </c>
      <c r="G307" s="5">
        <v>942.18</v>
      </c>
      <c r="H307" s="6">
        <v>13</v>
      </c>
      <c r="I307" s="2" t="s">
        <v>2118</v>
      </c>
      <c r="J307" s="2" t="str">
        <v>Brand Distributed Info-Mediaries</v>
      </c>
      <c r="K307" s="2" t="str">
        <v>Furniture</v>
      </c>
      <c r="L307" s="2" t="str">
        <v>Garcia Ltd</v>
      </c>
      <c r="M307" s="2">
        <v>114.48</v>
      </c>
      <c r="N307" s="16">
        <f t="shared" si="4"/>
        <v>0.24923814360992952</v>
      </c>
    </row>
    <row r="308" spans="2:14" ht="14.4" customHeight="1" x14ac:dyDescent="0.3">
      <c r="B308" s="2" t="s">
        <v>313</v>
      </c>
      <c r="C308" s="3">
        <v>44595</v>
      </c>
      <c r="D308" s="2" t="s">
        <v>2010</v>
      </c>
      <c r="E308" s="2" t="s">
        <v>2016</v>
      </c>
      <c r="F308" s="4">
        <v>3927.77</v>
      </c>
      <c r="G308" s="5">
        <v>382.61</v>
      </c>
      <c r="H308" s="6">
        <v>1</v>
      </c>
      <c r="I308" s="2" t="s">
        <v>2117</v>
      </c>
      <c r="J308" s="2" t="str">
        <v>Revolutionize Efficient Niches</v>
      </c>
      <c r="K308" s="2" t="str">
        <v>Electronics</v>
      </c>
      <c r="L308" s="2" t="str">
        <v>Lopez-Torres</v>
      </c>
      <c r="M308" s="2">
        <v>23.02</v>
      </c>
      <c r="N308" s="16">
        <f t="shared" si="4"/>
        <v>9.7411508311331885E-2</v>
      </c>
    </row>
    <row r="309" spans="2:14" ht="14.4" customHeight="1" x14ac:dyDescent="0.3">
      <c r="B309" s="2" t="s">
        <v>314</v>
      </c>
      <c r="C309" s="3">
        <v>44880</v>
      </c>
      <c r="D309" s="2" t="s">
        <v>2011</v>
      </c>
      <c r="E309" s="2" t="s">
        <v>2091</v>
      </c>
      <c r="F309" s="4">
        <v>4454.7</v>
      </c>
      <c r="G309" s="5">
        <v>719.06</v>
      </c>
      <c r="H309" s="6">
        <v>4</v>
      </c>
      <c r="I309" s="2" t="s">
        <v>2118</v>
      </c>
      <c r="J309" s="2" t="str">
        <v>Synthesize Scalable Portals</v>
      </c>
      <c r="K309" s="2" t="str">
        <v>Furniture</v>
      </c>
      <c r="L309" s="2" t="str">
        <v>Singh, Villa and Flynn</v>
      </c>
      <c r="M309" s="2">
        <v>298.57</v>
      </c>
      <c r="N309" s="16">
        <f t="shared" si="4"/>
        <v>0.16141603250499473</v>
      </c>
    </row>
    <row r="310" spans="2:14" ht="14.4" customHeight="1" x14ac:dyDescent="0.3">
      <c r="B310" s="2" t="s">
        <v>315</v>
      </c>
      <c r="C310" s="3">
        <v>44754</v>
      </c>
      <c r="D310" s="2" t="s">
        <v>2009</v>
      </c>
      <c r="E310" s="2" t="s">
        <v>2041</v>
      </c>
      <c r="F310" s="4">
        <v>1731.35</v>
      </c>
      <c r="G310" s="5">
        <v>605.89</v>
      </c>
      <c r="H310" s="6">
        <v>6</v>
      </c>
      <c r="I310" s="2" t="s">
        <v>2117</v>
      </c>
      <c r="J310" s="2" t="str">
        <v>Expedite Synergistic Web-Readiness</v>
      </c>
      <c r="K310" s="2" t="str">
        <v>Electronics</v>
      </c>
      <c r="L310" s="2" t="str">
        <v>Dunlap, Carpenter and Monroe</v>
      </c>
      <c r="M310" s="2">
        <v>289.66000000000003</v>
      </c>
      <c r="N310" s="16">
        <f t="shared" si="4"/>
        <v>0.3499523493227828</v>
      </c>
    </row>
    <row r="311" spans="2:14" ht="14.4" customHeight="1" x14ac:dyDescent="0.3">
      <c r="B311" s="2" t="s">
        <v>316</v>
      </c>
      <c r="C311" s="3">
        <v>44234</v>
      </c>
      <c r="D311" s="2" t="s">
        <v>2010</v>
      </c>
      <c r="E311" s="2" t="s">
        <v>2072</v>
      </c>
      <c r="F311" s="4">
        <v>3680.89</v>
      </c>
      <c r="G311" s="5">
        <v>728.02</v>
      </c>
      <c r="H311" s="6">
        <v>5</v>
      </c>
      <c r="I311" s="2" t="s">
        <v>2118</v>
      </c>
      <c r="J311" s="2" t="str">
        <v>Evolve Innovative Web Services</v>
      </c>
      <c r="K311" s="2" t="str">
        <v>Furniture</v>
      </c>
      <c r="L311" s="2" t="str">
        <v>Bush Inc</v>
      </c>
      <c r="M311" s="2">
        <v>87.75</v>
      </c>
      <c r="N311" s="16">
        <f t="shared" si="4"/>
        <v>0.19778368818410766</v>
      </c>
    </row>
    <row r="312" spans="2:14" ht="14.4" customHeight="1" x14ac:dyDescent="0.3">
      <c r="B312" s="2" t="s">
        <v>317</v>
      </c>
      <c r="C312" s="3">
        <v>44139</v>
      </c>
      <c r="D312" s="2" t="s">
        <v>2009</v>
      </c>
      <c r="E312" s="2" t="s">
        <v>2063</v>
      </c>
      <c r="F312" s="4">
        <v>1266.23</v>
      </c>
      <c r="G312" s="5">
        <v>201.2</v>
      </c>
      <c r="H312" s="6">
        <v>6</v>
      </c>
      <c r="I312" s="2" t="s">
        <v>2118</v>
      </c>
      <c r="J312" s="2" t="str">
        <v>Unleash End-To-End Web Services</v>
      </c>
      <c r="K312" s="2" t="str">
        <v>Office Supplies</v>
      </c>
      <c r="L312" s="2" t="str">
        <v>Jones Ltd</v>
      </c>
      <c r="M312" s="2">
        <v>188.02</v>
      </c>
      <c r="N312" s="16">
        <f t="shared" si="4"/>
        <v>0.15889688287277981</v>
      </c>
    </row>
    <row r="313" spans="2:14" ht="14.4" customHeight="1" x14ac:dyDescent="0.3">
      <c r="B313" s="2" t="s">
        <v>318</v>
      </c>
      <c r="C313" s="3">
        <v>44038</v>
      </c>
      <c r="D313" s="2" t="s">
        <v>2009</v>
      </c>
      <c r="E313" s="2" t="s">
        <v>2077</v>
      </c>
      <c r="F313" s="4">
        <v>1031.3699999999999</v>
      </c>
      <c r="G313" s="5">
        <v>958.63</v>
      </c>
      <c r="H313" s="6">
        <v>9</v>
      </c>
      <c r="I313" s="2" t="s">
        <v>2118</v>
      </c>
      <c r="J313" s="2" t="str">
        <v>Synthesize Wireless Initiatives</v>
      </c>
      <c r="K313" s="2" t="str">
        <v>Electronics</v>
      </c>
      <c r="L313" s="2" t="str">
        <v>Mosley Ltd</v>
      </c>
      <c r="M313" s="2">
        <v>162.69999999999999</v>
      </c>
      <c r="N313" s="16">
        <f t="shared" si="4"/>
        <v>0.92947244926650974</v>
      </c>
    </row>
    <row r="314" spans="2:14" ht="14.4" customHeight="1" x14ac:dyDescent="0.3">
      <c r="B314" s="2" t="s">
        <v>319</v>
      </c>
      <c r="C314" s="3">
        <v>45463</v>
      </c>
      <c r="D314" s="2" t="s">
        <v>2012</v>
      </c>
      <c r="E314" s="2" t="s">
        <v>2038</v>
      </c>
      <c r="F314" s="4">
        <v>1351.78</v>
      </c>
      <c r="G314" s="5">
        <v>893.71</v>
      </c>
      <c r="H314" s="6">
        <v>8</v>
      </c>
      <c r="I314" s="2" t="s">
        <v>2116</v>
      </c>
      <c r="J314" s="2" t="str">
        <v>Reinvent Mission-Critical Markets</v>
      </c>
      <c r="K314" s="2" t="str">
        <v>Furniture</v>
      </c>
      <c r="L314" s="2" t="str">
        <v>Gilbert-Sanders</v>
      </c>
      <c r="M314" s="2">
        <v>154.21</v>
      </c>
      <c r="N314" s="16">
        <f t="shared" si="4"/>
        <v>0.66113568775984266</v>
      </c>
    </row>
    <row r="315" spans="2:14" ht="14.4" customHeight="1" x14ac:dyDescent="0.3">
      <c r="B315" s="2" t="s">
        <v>320</v>
      </c>
      <c r="C315" s="3">
        <v>44270</v>
      </c>
      <c r="D315" s="2" t="s">
        <v>2009</v>
      </c>
      <c r="E315" s="2" t="s">
        <v>2047</v>
      </c>
      <c r="F315" s="4">
        <v>2247.94</v>
      </c>
      <c r="G315" s="5">
        <v>32.93</v>
      </c>
      <c r="H315" s="6">
        <v>16</v>
      </c>
      <c r="I315" s="2" t="s">
        <v>2117</v>
      </c>
      <c r="J315" s="2" t="str">
        <v>Transform Holistic Functionalities</v>
      </c>
      <c r="K315" s="2" t="str">
        <v>Office Supplies</v>
      </c>
      <c r="L315" s="2" t="str">
        <v>Ruiz Ltd</v>
      </c>
      <c r="M315" s="2">
        <v>179.27</v>
      </c>
      <c r="N315" s="16">
        <f t="shared" si="4"/>
        <v>1.4648967499132538E-2</v>
      </c>
    </row>
    <row r="316" spans="2:14" ht="14.4" customHeight="1" x14ac:dyDescent="0.3">
      <c r="B316" s="2" t="s">
        <v>321</v>
      </c>
      <c r="C316" s="3">
        <v>44719</v>
      </c>
      <c r="D316" s="2" t="s">
        <v>2010</v>
      </c>
      <c r="E316" s="2" t="s">
        <v>2051</v>
      </c>
      <c r="F316" s="4">
        <v>4541.62</v>
      </c>
      <c r="G316" s="5">
        <v>296.86</v>
      </c>
      <c r="H316" s="6">
        <v>12</v>
      </c>
      <c r="I316" s="2" t="s">
        <v>2117</v>
      </c>
      <c r="J316" s="2" t="str">
        <v>Generate Front-End Functionalities</v>
      </c>
      <c r="K316" s="2" t="str">
        <v>Office Supplies</v>
      </c>
      <c r="L316" s="2" t="str">
        <v>Morales-Brown</v>
      </c>
      <c r="M316" s="2">
        <v>299.77</v>
      </c>
      <c r="N316" s="16">
        <f t="shared" si="4"/>
        <v>6.5364341358369923E-2</v>
      </c>
    </row>
    <row r="317" spans="2:14" ht="14.4" customHeight="1" x14ac:dyDescent="0.3">
      <c r="B317" s="2" t="s">
        <v>322</v>
      </c>
      <c r="C317" s="3">
        <v>45233</v>
      </c>
      <c r="D317" s="2" t="s">
        <v>2012</v>
      </c>
      <c r="E317" s="2" t="s">
        <v>2101</v>
      </c>
      <c r="F317" s="4">
        <v>1877.04</v>
      </c>
      <c r="G317" s="5">
        <v>870.81</v>
      </c>
      <c r="H317" s="6">
        <v>14</v>
      </c>
      <c r="I317" s="2" t="s">
        <v>2116</v>
      </c>
      <c r="J317" s="2" t="str">
        <v>Deploy Granular Channels</v>
      </c>
      <c r="K317" s="2" t="str">
        <v>Furniture</v>
      </c>
      <c r="L317" s="2" t="str">
        <v>Barnes Ltd</v>
      </c>
      <c r="M317" s="2">
        <v>288.99</v>
      </c>
      <c r="N317" s="16">
        <f t="shared" si="4"/>
        <v>0.46392724715509526</v>
      </c>
    </row>
    <row r="318" spans="2:14" ht="14.4" customHeight="1" x14ac:dyDescent="0.3">
      <c r="B318" s="2" t="s">
        <v>323</v>
      </c>
      <c r="C318" s="3">
        <v>44362</v>
      </c>
      <c r="D318" s="2" t="s">
        <v>2010</v>
      </c>
      <c r="E318" s="2" t="s">
        <v>2035</v>
      </c>
      <c r="F318" s="4">
        <v>1824.4</v>
      </c>
      <c r="G318" s="5">
        <v>444.52</v>
      </c>
      <c r="H318" s="6">
        <v>5</v>
      </c>
      <c r="I318" s="2" t="s">
        <v>2118</v>
      </c>
      <c r="J318" s="2" t="str">
        <v>Optimize 24/365 E-Services</v>
      </c>
      <c r="K318" s="2" t="str">
        <v>Office Supplies</v>
      </c>
      <c r="L318" s="2" t="str">
        <v>Chase Ltd</v>
      </c>
      <c r="M318" s="2">
        <v>100.35</v>
      </c>
      <c r="N318" s="16">
        <f t="shared" si="4"/>
        <v>0.24365270773953079</v>
      </c>
    </row>
    <row r="319" spans="2:14" ht="14.4" customHeight="1" x14ac:dyDescent="0.3">
      <c r="B319" s="2" t="s">
        <v>324</v>
      </c>
      <c r="C319" s="3">
        <v>45128</v>
      </c>
      <c r="D319" s="2" t="s">
        <v>2009</v>
      </c>
      <c r="E319" s="2" t="s">
        <v>2015</v>
      </c>
      <c r="F319" s="4">
        <v>4587.0200000000004</v>
      </c>
      <c r="G319" s="5">
        <v>552.70000000000005</v>
      </c>
      <c r="H319" s="6">
        <v>12</v>
      </c>
      <c r="I319" s="2" t="s">
        <v>2116</v>
      </c>
      <c r="J319" s="2" t="str">
        <v>Brand Web-Enabled Solutions</v>
      </c>
      <c r="K319" s="2" t="str">
        <v>Electronics</v>
      </c>
      <c r="L319" s="2" t="str">
        <v>Russell Group</v>
      </c>
      <c r="M319" s="2">
        <v>51.67</v>
      </c>
      <c r="N319" s="16">
        <f t="shared" si="4"/>
        <v>0.12049217138795994</v>
      </c>
    </row>
    <row r="320" spans="2:14" ht="14.4" customHeight="1" x14ac:dyDescent="0.3">
      <c r="B320" s="2" t="s">
        <v>325</v>
      </c>
      <c r="C320" s="3">
        <v>45306</v>
      </c>
      <c r="D320" s="2" t="s">
        <v>2010</v>
      </c>
      <c r="E320" s="2" t="s">
        <v>2074</v>
      </c>
      <c r="F320" s="4">
        <v>3932.15</v>
      </c>
      <c r="G320" s="5">
        <v>443.58</v>
      </c>
      <c r="H320" s="6">
        <v>18</v>
      </c>
      <c r="I320" s="2" t="s">
        <v>2117</v>
      </c>
      <c r="J320" s="2" t="str">
        <v>Utilize Ubiquitous Synergies</v>
      </c>
      <c r="K320" s="2" t="str">
        <v>Electronics</v>
      </c>
      <c r="L320" s="2" t="str">
        <v>Kramer, Huang and Shaw</v>
      </c>
      <c r="M320" s="2">
        <v>295.89999999999998</v>
      </c>
      <c r="N320" s="16">
        <f t="shared" si="4"/>
        <v>0.11280851442595018</v>
      </c>
    </row>
    <row r="321" spans="2:14" ht="14.4" customHeight="1" x14ac:dyDescent="0.3">
      <c r="B321" s="2" t="s">
        <v>326</v>
      </c>
      <c r="C321" s="3">
        <v>44883</v>
      </c>
      <c r="D321" s="2" t="s">
        <v>2010</v>
      </c>
      <c r="E321" s="2" t="s">
        <v>2091</v>
      </c>
      <c r="F321" s="4">
        <v>4720.57</v>
      </c>
      <c r="G321" s="5">
        <v>817.31</v>
      </c>
      <c r="H321" s="6">
        <v>15</v>
      </c>
      <c r="I321" s="2" t="s">
        <v>2116</v>
      </c>
      <c r="J321" s="2" t="str">
        <v>Synthesize Scalable Portals</v>
      </c>
      <c r="K321" s="2" t="str">
        <v>Furniture</v>
      </c>
      <c r="L321" s="2" t="str">
        <v>Singh, Villa and Flynn</v>
      </c>
      <c r="M321" s="2">
        <v>298.57</v>
      </c>
      <c r="N321" s="16">
        <f t="shared" si="4"/>
        <v>0.17313798969192279</v>
      </c>
    </row>
    <row r="322" spans="2:14" ht="14.4" customHeight="1" x14ac:dyDescent="0.3">
      <c r="B322" s="2" t="s">
        <v>327</v>
      </c>
      <c r="C322" s="3">
        <v>43892</v>
      </c>
      <c r="D322" s="2" t="s">
        <v>2009</v>
      </c>
      <c r="E322" s="2" t="s">
        <v>2049</v>
      </c>
      <c r="F322" s="4">
        <v>2678.08</v>
      </c>
      <c r="G322" s="5">
        <v>556.37</v>
      </c>
      <c r="H322" s="6">
        <v>5</v>
      </c>
      <c r="I322" s="2" t="s">
        <v>2116</v>
      </c>
      <c r="J322" s="2" t="str">
        <v>Scale 24/365 Networks</v>
      </c>
      <c r="K322" s="2" t="str">
        <v>Furniture</v>
      </c>
      <c r="L322" s="2" t="str">
        <v>Kim-Hamilton</v>
      </c>
      <c r="M322" s="2">
        <v>157.55000000000001</v>
      </c>
      <c r="N322" s="16">
        <f t="shared" si="4"/>
        <v>0.20774958178993908</v>
      </c>
    </row>
    <row r="323" spans="2:14" ht="14.4" customHeight="1" x14ac:dyDescent="0.3">
      <c r="B323" s="2" t="s">
        <v>328</v>
      </c>
      <c r="C323" s="3">
        <v>44225</v>
      </c>
      <c r="D323" s="2" t="s">
        <v>2010</v>
      </c>
      <c r="E323" s="2" t="s">
        <v>2071</v>
      </c>
      <c r="F323" s="4">
        <v>1245.0899999999999</v>
      </c>
      <c r="G323" s="5">
        <v>594.34</v>
      </c>
      <c r="H323" s="6">
        <v>15</v>
      </c>
      <c r="I323" s="2" t="s">
        <v>2118</v>
      </c>
      <c r="J323" s="2" t="str">
        <v>Incentivize Front-End Mindshare</v>
      </c>
      <c r="K323" s="2" t="str">
        <v>Electronics</v>
      </c>
      <c r="L323" s="2" t="str">
        <v>Phillips-Tran</v>
      </c>
      <c r="M323" s="2">
        <v>196.86</v>
      </c>
      <c r="N323" s="16">
        <f t="shared" si="4"/>
        <v>0.47734701909098948</v>
      </c>
    </row>
    <row r="324" spans="2:14" ht="14.4" customHeight="1" x14ac:dyDescent="0.3">
      <c r="B324" s="2" t="s">
        <v>329</v>
      </c>
      <c r="C324" s="3">
        <v>44408</v>
      </c>
      <c r="D324" s="2" t="s">
        <v>2010</v>
      </c>
      <c r="E324" s="2" t="s">
        <v>2044</v>
      </c>
      <c r="F324" s="4">
        <v>4433.8</v>
      </c>
      <c r="G324" s="5">
        <v>387.48</v>
      </c>
      <c r="H324" s="6">
        <v>13</v>
      </c>
      <c r="I324" s="2" t="s">
        <v>2116</v>
      </c>
      <c r="J324" s="2" t="str">
        <v>Grow Back-End Supply-Chains</v>
      </c>
      <c r="K324" s="2" t="str">
        <v>Electronics</v>
      </c>
      <c r="L324" s="2" t="str">
        <v>Green LLC</v>
      </c>
      <c r="M324" s="2">
        <v>140.08000000000001</v>
      </c>
      <c r="N324" s="16">
        <f t="shared" si="4"/>
        <v>8.7392304569443816E-2</v>
      </c>
    </row>
    <row r="325" spans="2:14" ht="14.4" customHeight="1" x14ac:dyDescent="0.3">
      <c r="B325" s="2" t="s">
        <v>330</v>
      </c>
      <c r="C325" s="3">
        <v>44532</v>
      </c>
      <c r="D325" s="2" t="s">
        <v>2011</v>
      </c>
      <c r="E325" s="2" t="s">
        <v>2036</v>
      </c>
      <c r="F325" s="4">
        <v>4752.07</v>
      </c>
      <c r="G325" s="5">
        <v>487.42</v>
      </c>
      <c r="H325" s="6">
        <v>16</v>
      </c>
      <c r="I325" s="2" t="s">
        <v>2116</v>
      </c>
      <c r="J325" s="2" t="str">
        <v>Innovate Strategic Systems</v>
      </c>
      <c r="K325" s="2" t="str">
        <v>Office Supplies</v>
      </c>
      <c r="L325" s="2" t="str">
        <v>Mcfarland, Parker and Armstrong</v>
      </c>
      <c r="M325" s="2">
        <v>70.239999999999995</v>
      </c>
      <c r="N325" s="16">
        <f t="shared" ref="N325:N388" si="5">(G325/F325)</f>
        <v>0.10257003789927338</v>
      </c>
    </row>
    <row r="326" spans="2:14" ht="14.4" customHeight="1" x14ac:dyDescent="0.3">
      <c r="B326" s="2" t="s">
        <v>331</v>
      </c>
      <c r="C326" s="3">
        <v>44889</v>
      </c>
      <c r="D326" s="2" t="s">
        <v>2010</v>
      </c>
      <c r="E326" s="2" t="s">
        <v>2096</v>
      </c>
      <c r="F326" s="4">
        <v>4901.09</v>
      </c>
      <c r="G326" s="5">
        <v>574.79999999999995</v>
      </c>
      <c r="H326" s="6">
        <v>8</v>
      </c>
      <c r="I326" s="2" t="s">
        <v>2116</v>
      </c>
      <c r="J326" s="2" t="str">
        <v>Disintermediate Scalable Bandwidth</v>
      </c>
      <c r="K326" s="2" t="str">
        <v>Electronics</v>
      </c>
      <c r="L326" s="2" t="str">
        <v>Levy PLC</v>
      </c>
      <c r="M326" s="2">
        <v>19.86</v>
      </c>
      <c r="N326" s="16">
        <f t="shared" si="5"/>
        <v>0.11728003362517317</v>
      </c>
    </row>
    <row r="327" spans="2:14" ht="14.4" customHeight="1" x14ac:dyDescent="0.3">
      <c r="B327" s="2" t="s">
        <v>332</v>
      </c>
      <c r="C327" s="3">
        <v>43855</v>
      </c>
      <c r="D327" s="2" t="s">
        <v>2010</v>
      </c>
      <c r="E327" s="2" t="s">
        <v>2103</v>
      </c>
      <c r="F327" s="4">
        <v>3312.37</v>
      </c>
      <c r="G327" s="5">
        <v>329.36</v>
      </c>
      <c r="H327" s="6">
        <v>18</v>
      </c>
      <c r="I327" s="2" t="s">
        <v>2116</v>
      </c>
      <c r="J327" s="2" t="str">
        <v>Benchmark Cross-Platform Markets</v>
      </c>
      <c r="K327" s="2" t="str">
        <v>Furniture</v>
      </c>
      <c r="L327" s="2" t="str">
        <v>Murphy, Mathews and Wilson</v>
      </c>
      <c r="M327" s="2">
        <v>78.88</v>
      </c>
      <c r="N327" s="16">
        <f t="shared" si="5"/>
        <v>9.9433336251686863E-2</v>
      </c>
    </row>
    <row r="328" spans="2:14" ht="14.4" customHeight="1" x14ac:dyDescent="0.3">
      <c r="B328" s="2" t="s">
        <v>333</v>
      </c>
      <c r="C328" s="3">
        <v>44867</v>
      </c>
      <c r="D328" s="2" t="s">
        <v>2011</v>
      </c>
      <c r="E328" s="2" t="s">
        <v>2039</v>
      </c>
      <c r="F328" s="4">
        <v>3781.22</v>
      </c>
      <c r="G328" s="5">
        <v>16.78</v>
      </c>
      <c r="H328" s="6">
        <v>14</v>
      </c>
      <c r="I328" s="2" t="s">
        <v>2116</v>
      </c>
      <c r="J328" s="2" t="str">
        <v>Empower Dot-Com Deliverables</v>
      </c>
      <c r="K328" s="2" t="str">
        <v>Electronics</v>
      </c>
      <c r="L328" s="2" t="str">
        <v>Davis LLC</v>
      </c>
      <c r="M328" s="2">
        <v>250.66</v>
      </c>
      <c r="N328" s="16">
        <f t="shared" si="5"/>
        <v>4.4377211587794422E-3</v>
      </c>
    </row>
    <row r="329" spans="2:14" ht="14.4" customHeight="1" x14ac:dyDescent="0.3">
      <c r="B329" s="2" t="s">
        <v>334</v>
      </c>
      <c r="C329" s="3">
        <v>44395</v>
      </c>
      <c r="D329" s="2" t="s">
        <v>2009</v>
      </c>
      <c r="E329" s="2" t="s">
        <v>2092</v>
      </c>
      <c r="F329" s="4">
        <v>1133.1099999999999</v>
      </c>
      <c r="G329" s="5">
        <v>294.41000000000003</v>
      </c>
      <c r="H329" s="6">
        <v>17</v>
      </c>
      <c r="I329" s="2" t="s">
        <v>2116</v>
      </c>
      <c r="J329" s="2" t="str">
        <v>Seize Clicks-And-Mortar Platforms</v>
      </c>
      <c r="K329" s="2" t="str">
        <v>Office Supplies</v>
      </c>
      <c r="L329" s="2" t="str">
        <v>Owens, Campos and Wood</v>
      </c>
      <c r="M329" s="2">
        <v>271.16000000000003</v>
      </c>
      <c r="N329" s="16">
        <f t="shared" si="5"/>
        <v>0.25982473016741536</v>
      </c>
    </row>
    <row r="330" spans="2:14" ht="14.4" customHeight="1" x14ac:dyDescent="0.3">
      <c r="B330" s="2" t="s">
        <v>335</v>
      </c>
      <c r="C330" s="3">
        <v>45414</v>
      </c>
      <c r="D330" s="2" t="s">
        <v>2009</v>
      </c>
      <c r="E330" s="2" t="s">
        <v>2045</v>
      </c>
      <c r="F330" s="4">
        <v>3078.43</v>
      </c>
      <c r="G330" s="5">
        <v>705.05</v>
      </c>
      <c r="H330" s="6">
        <v>13</v>
      </c>
      <c r="I330" s="2" t="s">
        <v>2116</v>
      </c>
      <c r="J330" s="2" t="str">
        <v>Leverage Scalable Interfaces</v>
      </c>
      <c r="K330" s="2" t="str">
        <v>Office Supplies</v>
      </c>
      <c r="L330" s="2" t="str">
        <v>Kaufman-Jones</v>
      </c>
      <c r="M330" s="2">
        <v>73.33</v>
      </c>
      <c r="N330" s="16">
        <f t="shared" si="5"/>
        <v>0.22902908300659752</v>
      </c>
    </row>
    <row r="331" spans="2:14" ht="14.4" customHeight="1" x14ac:dyDescent="0.3">
      <c r="B331" s="2" t="s">
        <v>336</v>
      </c>
      <c r="C331" s="3">
        <v>45515</v>
      </c>
      <c r="D331" s="2" t="s">
        <v>2009</v>
      </c>
      <c r="E331" s="2" t="s">
        <v>2092</v>
      </c>
      <c r="F331" s="4">
        <v>543.64</v>
      </c>
      <c r="G331" s="5">
        <v>680.84</v>
      </c>
      <c r="H331" s="6">
        <v>3</v>
      </c>
      <c r="I331" s="2" t="s">
        <v>2118</v>
      </c>
      <c r="J331" s="2" t="str">
        <v>Seize Clicks-And-Mortar Platforms</v>
      </c>
      <c r="K331" s="2" t="str">
        <v>Office Supplies</v>
      </c>
      <c r="L331" s="2" t="str">
        <v>Owens, Campos and Wood</v>
      </c>
      <c r="M331" s="2">
        <v>271.16000000000003</v>
      </c>
      <c r="N331" s="16">
        <f t="shared" si="5"/>
        <v>1.2523728938267973</v>
      </c>
    </row>
    <row r="332" spans="2:14" ht="14.4" customHeight="1" x14ac:dyDescent="0.3">
      <c r="B332" s="2" t="s">
        <v>337</v>
      </c>
      <c r="C332" s="3">
        <v>44741</v>
      </c>
      <c r="D332" s="2" t="s">
        <v>2009</v>
      </c>
      <c r="E332" s="2" t="s">
        <v>2102</v>
      </c>
      <c r="F332" s="4">
        <v>1672.43</v>
      </c>
      <c r="G332" s="5">
        <v>538.29999999999995</v>
      </c>
      <c r="H332" s="6">
        <v>9</v>
      </c>
      <c r="I332" s="2" t="s">
        <v>2117</v>
      </c>
      <c r="J332" s="2" t="str">
        <v>Re-Contextualize Viral Mindshare</v>
      </c>
      <c r="K332" s="2" t="str">
        <v>Electronics</v>
      </c>
      <c r="L332" s="2" t="str">
        <v>Carter-Lane</v>
      </c>
      <c r="M332" s="2">
        <v>142.25</v>
      </c>
      <c r="N332" s="16">
        <f t="shared" si="5"/>
        <v>0.32186698396943364</v>
      </c>
    </row>
    <row r="333" spans="2:14" ht="14.4" customHeight="1" x14ac:dyDescent="0.3">
      <c r="B333" s="2" t="s">
        <v>338</v>
      </c>
      <c r="C333" s="3">
        <v>44510</v>
      </c>
      <c r="D333" s="2" t="s">
        <v>2010</v>
      </c>
      <c r="E333" s="2" t="s">
        <v>2031</v>
      </c>
      <c r="F333" s="4">
        <v>2116.66</v>
      </c>
      <c r="G333" s="5">
        <v>56.45</v>
      </c>
      <c r="H333" s="6">
        <v>10</v>
      </c>
      <c r="I333" s="2" t="s">
        <v>2116</v>
      </c>
      <c r="J333" s="2" t="str">
        <v>Embrace 24/365 Functionalities</v>
      </c>
      <c r="K333" s="2" t="str">
        <v>Office Supplies</v>
      </c>
      <c r="L333" s="2" t="str">
        <v>Smith LLC</v>
      </c>
      <c r="M333" s="2">
        <v>204.04</v>
      </c>
      <c r="N333" s="16">
        <f t="shared" si="5"/>
        <v>2.6669375336615238E-2</v>
      </c>
    </row>
    <row r="334" spans="2:14" ht="14.4" customHeight="1" x14ac:dyDescent="0.3">
      <c r="B334" s="2" t="s">
        <v>339</v>
      </c>
      <c r="C334" s="3">
        <v>44531</v>
      </c>
      <c r="D334" s="2" t="s">
        <v>2010</v>
      </c>
      <c r="E334" s="2" t="s">
        <v>2013</v>
      </c>
      <c r="F334" s="4">
        <v>858.11</v>
      </c>
      <c r="G334" s="5">
        <v>439.01</v>
      </c>
      <c r="H334" s="6">
        <v>17</v>
      </c>
      <c r="I334" s="2" t="s">
        <v>2117</v>
      </c>
      <c r="J334" s="2" t="str">
        <v>Re-Intermediate Seamless Applications</v>
      </c>
      <c r="K334" s="2" t="str">
        <v>Office Supplies</v>
      </c>
      <c r="L334" s="2" t="str">
        <v>Welch-Reed</v>
      </c>
      <c r="M334" s="2">
        <v>45.82</v>
      </c>
      <c r="N334" s="16">
        <f t="shared" si="5"/>
        <v>0.51160107678502753</v>
      </c>
    </row>
    <row r="335" spans="2:14" ht="14.4" customHeight="1" x14ac:dyDescent="0.3">
      <c r="B335" s="2" t="s">
        <v>340</v>
      </c>
      <c r="C335" s="3">
        <v>44744</v>
      </c>
      <c r="D335" s="2" t="s">
        <v>2012</v>
      </c>
      <c r="E335" s="2" t="s">
        <v>2016</v>
      </c>
      <c r="F335" s="4">
        <v>872.21</v>
      </c>
      <c r="G335" s="5">
        <v>904.5</v>
      </c>
      <c r="H335" s="6">
        <v>20</v>
      </c>
      <c r="I335" s="2" t="s">
        <v>2116</v>
      </c>
      <c r="J335" s="2" t="str">
        <v>Revolutionize Efficient Niches</v>
      </c>
      <c r="K335" s="2" t="str">
        <v>Electronics</v>
      </c>
      <c r="L335" s="2" t="str">
        <v>Lopez-Torres</v>
      </c>
      <c r="M335" s="2">
        <v>23.02</v>
      </c>
      <c r="N335" s="16">
        <f t="shared" si="5"/>
        <v>1.0370209009298219</v>
      </c>
    </row>
    <row r="336" spans="2:14" ht="14.4" customHeight="1" x14ac:dyDescent="0.3">
      <c r="B336" s="2" t="s">
        <v>341</v>
      </c>
      <c r="C336" s="3">
        <v>44611</v>
      </c>
      <c r="D336" s="2" t="s">
        <v>2011</v>
      </c>
      <c r="E336" s="2" t="s">
        <v>2091</v>
      </c>
      <c r="F336" s="4">
        <v>2480.83</v>
      </c>
      <c r="G336" s="5">
        <v>60.12</v>
      </c>
      <c r="H336" s="6">
        <v>1</v>
      </c>
      <c r="I336" s="2" t="s">
        <v>2117</v>
      </c>
      <c r="J336" s="2" t="str">
        <v>Synthesize Scalable Portals</v>
      </c>
      <c r="K336" s="2" t="str">
        <v>Furniture</v>
      </c>
      <c r="L336" s="2" t="str">
        <v>Singh, Villa and Flynn</v>
      </c>
      <c r="M336" s="2">
        <v>298.57</v>
      </c>
      <c r="N336" s="16">
        <f t="shared" si="5"/>
        <v>2.4233824969868954E-2</v>
      </c>
    </row>
    <row r="337" spans="2:14" ht="14.4" customHeight="1" x14ac:dyDescent="0.3">
      <c r="B337" s="2" t="s">
        <v>342</v>
      </c>
      <c r="C337" s="3">
        <v>44282</v>
      </c>
      <c r="D337" s="2" t="s">
        <v>2010</v>
      </c>
      <c r="E337" s="2" t="s">
        <v>2083</v>
      </c>
      <c r="F337" s="4">
        <v>2438.58</v>
      </c>
      <c r="G337" s="5">
        <v>513.13</v>
      </c>
      <c r="H337" s="6">
        <v>5</v>
      </c>
      <c r="I337" s="2" t="s">
        <v>2118</v>
      </c>
      <c r="J337" s="2" t="str">
        <v>Whiteboard Sticky Content</v>
      </c>
      <c r="K337" s="2" t="str">
        <v>Furniture</v>
      </c>
      <c r="L337" s="2" t="str">
        <v>Wolfe Group</v>
      </c>
      <c r="M337" s="2">
        <v>82.16</v>
      </c>
      <c r="N337" s="16">
        <f t="shared" si="5"/>
        <v>0.21042163882259349</v>
      </c>
    </row>
    <row r="338" spans="2:14" ht="14.4" customHeight="1" x14ac:dyDescent="0.3">
      <c r="B338" s="2" t="s">
        <v>343</v>
      </c>
      <c r="C338" s="3">
        <v>44532</v>
      </c>
      <c r="D338" s="2" t="s">
        <v>2009</v>
      </c>
      <c r="E338" s="2" t="s">
        <v>2109</v>
      </c>
      <c r="F338" s="4">
        <v>1928.31</v>
      </c>
      <c r="G338" s="5">
        <v>382.69</v>
      </c>
      <c r="H338" s="6">
        <v>1</v>
      </c>
      <c r="I338" s="2" t="s">
        <v>2117</v>
      </c>
      <c r="J338" s="2" t="str">
        <v>Deliver Viral Eyeballs</v>
      </c>
      <c r="K338" s="2" t="str">
        <v>Office Supplies</v>
      </c>
      <c r="L338" s="2" t="str">
        <v>Estes, Chan and Thomas</v>
      </c>
      <c r="M338" s="2">
        <v>16.89</v>
      </c>
      <c r="N338" s="16">
        <f t="shared" si="5"/>
        <v>0.1984587540385104</v>
      </c>
    </row>
    <row r="339" spans="2:14" ht="14.4" customHeight="1" x14ac:dyDescent="0.3">
      <c r="B339" s="2" t="s">
        <v>344</v>
      </c>
      <c r="C339" s="3">
        <v>44659</v>
      </c>
      <c r="D339" s="2" t="s">
        <v>2012</v>
      </c>
      <c r="E339" s="2" t="s">
        <v>2044</v>
      </c>
      <c r="F339" s="4">
        <v>2092.0100000000002</v>
      </c>
      <c r="G339" s="5">
        <v>439.41</v>
      </c>
      <c r="H339" s="6">
        <v>4</v>
      </c>
      <c r="I339" s="2" t="s">
        <v>2116</v>
      </c>
      <c r="J339" s="2" t="str">
        <v>Grow Back-End Supply-Chains</v>
      </c>
      <c r="K339" s="2" t="str">
        <v>Electronics</v>
      </c>
      <c r="L339" s="2" t="str">
        <v>Green LLC</v>
      </c>
      <c r="M339" s="2">
        <v>140.08000000000001</v>
      </c>
      <c r="N339" s="16">
        <f t="shared" si="5"/>
        <v>0.21004201700756689</v>
      </c>
    </row>
    <row r="340" spans="2:14" ht="14.4" customHeight="1" x14ac:dyDescent="0.3">
      <c r="B340" s="2" t="s">
        <v>345</v>
      </c>
      <c r="C340" s="3">
        <v>43945</v>
      </c>
      <c r="D340" s="2" t="s">
        <v>2012</v>
      </c>
      <c r="E340" s="2" t="s">
        <v>2059</v>
      </c>
      <c r="F340" s="4">
        <v>3420.84</v>
      </c>
      <c r="G340" s="5">
        <v>268.14</v>
      </c>
      <c r="H340" s="6">
        <v>15</v>
      </c>
      <c r="I340" s="2" t="s">
        <v>2116</v>
      </c>
      <c r="J340" s="2" t="str">
        <v>Redefine Real-Time Convergence</v>
      </c>
      <c r="K340" s="2" t="str">
        <v>Electronics</v>
      </c>
      <c r="L340" s="2" t="str">
        <v>Hayes, Peters and Douglas</v>
      </c>
      <c r="M340" s="2">
        <v>78.260000000000005</v>
      </c>
      <c r="N340" s="16">
        <f t="shared" si="5"/>
        <v>7.8384256498403887E-2</v>
      </c>
    </row>
    <row r="341" spans="2:14" ht="14.4" customHeight="1" x14ac:dyDescent="0.3">
      <c r="B341" s="2" t="s">
        <v>346</v>
      </c>
      <c r="C341" s="3">
        <v>44346</v>
      </c>
      <c r="D341" s="2" t="s">
        <v>2012</v>
      </c>
      <c r="E341" s="2" t="s">
        <v>2110</v>
      </c>
      <c r="F341" s="4">
        <v>1091.56</v>
      </c>
      <c r="G341" s="5">
        <v>642.91</v>
      </c>
      <c r="H341" s="6">
        <v>9</v>
      </c>
      <c r="I341" s="2" t="s">
        <v>2117</v>
      </c>
      <c r="J341" s="2" t="str">
        <v>Repurpose End-To-End Networks</v>
      </c>
      <c r="K341" s="2" t="str">
        <v>Office Supplies</v>
      </c>
      <c r="L341" s="2" t="str">
        <v>Torres-Rush</v>
      </c>
      <c r="M341" s="2">
        <v>97.02</v>
      </c>
      <c r="N341" s="16">
        <f t="shared" si="5"/>
        <v>0.58898274029828868</v>
      </c>
    </row>
    <row r="342" spans="2:14" ht="14.4" customHeight="1" x14ac:dyDescent="0.3">
      <c r="B342" s="2" t="s">
        <v>347</v>
      </c>
      <c r="C342" s="3">
        <v>44768</v>
      </c>
      <c r="D342" s="2" t="s">
        <v>2009</v>
      </c>
      <c r="E342" s="2" t="s">
        <v>2086</v>
      </c>
      <c r="F342" s="4">
        <v>161.86000000000001</v>
      </c>
      <c r="G342" s="5">
        <v>824.99</v>
      </c>
      <c r="H342" s="6">
        <v>1</v>
      </c>
      <c r="I342" s="2" t="s">
        <v>2117</v>
      </c>
      <c r="J342" s="2" t="str">
        <v>Harness Proactive Eyeballs</v>
      </c>
      <c r="K342" s="2" t="str">
        <v>Electronics</v>
      </c>
      <c r="L342" s="2" t="str">
        <v>Moran and Sons</v>
      </c>
      <c r="M342" s="2">
        <v>58.01</v>
      </c>
      <c r="N342" s="16">
        <f t="shared" si="5"/>
        <v>5.0969356233782275</v>
      </c>
    </row>
    <row r="343" spans="2:14" ht="14.4" customHeight="1" x14ac:dyDescent="0.3">
      <c r="B343" s="2" t="s">
        <v>348</v>
      </c>
      <c r="C343" s="3">
        <v>44813</v>
      </c>
      <c r="D343" s="2" t="s">
        <v>2011</v>
      </c>
      <c r="E343" s="2" t="s">
        <v>2086</v>
      </c>
      <c r="F343" s="4">
        <v>2018.34</v>
      </c>
      <c r="G343" s="5">
        <v>697.79</v>
      </c>
      <c r="H343" s="6">
        <v>18</v>
      </c>
      <c r="I343" s="2" t="s">
        <v>2116</v>
      </c>
      <c r="J343" s="2" t="str">
        <v>Harness Proactive Eyeballs</v>
      </c>
      <c r="K343" s="2" t="str">
        <v>Electronics</v>
      </c>
      <c r="L343" s="2" t="str">
        <v>Moran and Sons</v>
      </c>
      <c r="M343" s="2">
        <v>58.01</v>
      </c>
      <c r="N343" s="16">
        <f t="shared" si="5"/>
        <v>0.3457247044601009</v>
      </c>
    </row>
    <row r="344" spans="2:14" ht="14.4" customHeight="1" x14ac:dyDescent="0.3">
      <c r="B344" s="2" t="s">
        <v>349</v>
      </c>
      <c r="C344" s="3">
        <v>44566</v>
      </c>
      <c r="D344" s="2" t="s">
        <v>2009</v>
      </c>
      <c r="E344" s="2" t="s">
        <v>2090</v>
      </c>
      <c r="F344" s="4">
        <v>4065.86</v>
      </c>
      <c r="G344" s="5">
        <v>882.47</v>
      </c>
      <c r="H344" s="6">
        <v>12</v>
      </c>
      <c r="I344" s="2" t="s">
        <v>2118</v>
      </c>
      <c r="J344" s="2" t="str">
        <v>Empower Bleeding-Edge Action-Items</v>
      </c>
      <c r="K344" s="2" t="str">
        <v>Furniture</v>
      </c>
      <c r="L344" s="2" t="str">
        <v>Gray, Hayes and Banks</v>
      </c>
      <c r="M344" s="2">
        <v>204.26</v>
      </c>
      <c r="N344" s="16">
        <f t="shared" si="5"/>
        <v>0.21704387263703129</v>
      </c>
    </row>
    <row r="345" spans="2:14" ht="14.4" customHeight="1" x14ac:dyDescent="0.3">
      <c r="B345" s="2" t="s">
        <v>350</v>
      </c>
      <c r="C345" s="3">
        <v>43880</v>
      </c>
      <c r="D345" s="2" t="s">
        <v>2010</v>
      </c>
      <c r="E345" s="2" t="s">
        <v>2078</v>
      </c>
      <c r="F345" s="4">
        <v>4309.0200000000004</v>
      </c>
      <c r="G345" s="5">
        <v>917.17</v>
      </c>
      <c r="H345" s="6">
        <v>11</v>
      </c>
      <c r="I345" s="2" t="s">
        <v>2117</v>
      </c>
      <c r="J345" s="2" t="str">
        <v>Strategize E-Business Content</v>
      </c>
      <c r="K345" s="2" t="str">
        <v>Electronics</v>
      </c>
      <c r="L345" s="2" t="str">
        <v>Patterson LLC</v>
      </c>
      <c r="M345" s="2">
        <v>294.02</v>
      </c>
      <c r="N345" s="16">
        <f t="shared" si="5"/>
        <v>0.2128488612259864</v>
      </c>
    </row>
    <row r="346" spans="2:14" ht="14.4" customHeight="1" x14ac:dyDescent="0.3">
      <c r="B346" s="2" t="s">
        <v>351</v>
      </c>
      <c r="C346" s="3">
        <v>44285</v>
      </c>
      <c r="D346" s="2" t="s">
        <v>2009</v>
      </c>
      <c r="E346" s="2" t="s">
        <v>2033</v>
      </c>
      <c r="F346" s="4">
        <v>4976.78</v>
      </c>
      <c r="G346" s="5">
        <v>238.24</v>
      </c>
      <c r="H346" s="6">
        <v>16</v>
      </c>
      <c r="I346" s="2" t="s">
        <v>2118</v>
      </c>
      <c r="J346" s="2" t="str">
        <v>Leverage Rich Portals</v>
      </c>
      <c r="K346" s="2" t="str">
        <v>Office Supplies</v>
      </c>
      <c r="L346" s="2" t="str">
        <v>Wilson PLC</v>
      </c>
      <c r="M346" s="2">
        <v>46.35</v>
      </c>
      <c r="N346" s="16">
        <f t="shared" si="5"/>
        <v>4.7870309718331935E-2</v>
      </c>
    </row>
    <row r="347" spans="2:14" ht="14.4" customHeight="1" x14ac:dyDescent="0.3">
      <c r="B347" s="2" t="s">
        <v>352</v>
      </c>
      <c r="C347" s="3">
        <v>44336</v>
      </c>
      <c r="D347" s="2" t="s">
        <v>2011</v>
      </c>
      <c r="E347" s="2" t="s">
        <v>2024</v>
      </c>
      <c r="F347" s="4">
        <v>3355.52</v>
      </c>
      <c r="G347" s="5">
        <v>983.29</v>
      </c>
      <c r="H347" s="6">
        <v>6</v>
      </c>
      <c r="I347" s="2" t="s">
        <v>2118</v>
      </c>
      <c r="J347" s="2" t="str">
        <v>Target Viral Methodologies</v>
      </c>
      <c r="K347" s="2" t="str">
        <v>Electronics</v>
      </c>
      <c r="L347" s="2" t="str">
        <v>Alvarez, Myers and Walter</v>
      </c>
      <c r="M347" s="2">
        <v>149.26</v>
      </c>
      <c r="N347" s="16">
        <f t="shared" si="5"/>
        <v>0.2930365487316422</v>
      </c>
    </row>
    <row r="348" spans="2:14" ht="14.4" customHeight="1" x14ac:dyDescent="0.3">
      <c r="B348" s="2" t="s">
        <v>353</v>
      </c>
      <c r="C348" s="3">
        <v>44136</v>
      </c>
      <c r="D348" s="2" t="s">
        <v>2012</v>
      </c>
      <c r="E348" s="2" t="s">
        <v>2060</v>
      </c>
      <c r="F348" s="4">
        <v>1399.77</v>
      </c>
      <c r="G348" s="5">
        <v>986.58</v>
      </c>
      <c r="H348" s="6">
        <v>14</v>
      </c>
      <c r="I348" s="2" t="s">
        <v>2117</v>
      </c>
      <c r="J348" s="2" t="str">
        <v>Synergize End-To-End Roi</v>
      </c>
      <c r="K348" s="2" t="str">
        <v>Electronics</v>
      </c>
      <c r="L348" s="2" t="str">
        <v>Evans-Smith</v>
      </c>
      <c r="M348" s="2">
        <v>159.85</v>
      </c>
      <c r="N348" s="16">
        <f t="shared" si="5"/>
        <v>0.7048157911656916</v>
      </c>
    </row>
    <row r="349" spans="2:14" ht="14.4" customHeight="1" x14ac:dyDescent="0.3">
      <c r="B349" s="2" t="s">
        <v>354</v>
      </c>
      <c r="C349" s="3">
        <v>45566</v>
      </c>
      <c r="D349" s="2" t="s">
        <v>2012</v>
      </c>
      <c r="E349" s="2" t="s">
        <v>2106</v>
      </c>
      <c r="F349" s="4">
        <v>1894.45</v>
      </c>
      <c r="G349" s="5">
        <v>614.02</v>
      </c>
      <c r="H349" s="6">
        <v>10</v>
      </c>
      <c r="I349" s="2" t="s">
        <v>2116</v>
      </c>
      <c r="J349" s="2" t="str">
        <v>Scale Bleeding-Edge Schemas</v>
      </c>
      <c r="K349" s="2" t="str">
        <v>Electronics</v>
      </c>
      <c r="L349" s="2" t="str">
        <v>Frazier-Schneider</v>
      </c>
      <c r="M349" s="2">
        <v>54.8</v>
      </c>
      <c r="N349" s="16">
        <f t="shared" si="5"/>
        <v>0.32411517854786348</v>
      </c>
    </row>
    <row r="350" spans="2:14" ht="14.4" customHeight="1" x14ac:dyDescent="0.3">
      <c r="B350" s="2" t="s">
        <v>355</v>
      </c>
      <c r="C350" s="3">
        <v>44367</v>
      </c>
      <c r="D350" s="2" t="s">
        <v>2009</v>
      </c>
      <c r="E350" s="2" t="s">
        <v>2039</v>
      </c>
      <c r="F350" s="4">
        <v>4992.66</v>
      </c>
      <c r="G350" s="5">
        <v>432.95</v>
      </c>
      <c r="H350" s="6">
        <v>20</v>
      </c>
      <c r="I350" s="2" t="s">
        <v>2118</v>
      </c>
      <c r="J350" s="2" t="str">
        <v>Empower Dot-Com Deliverables</v>
      </c>
      <c r="K350" s="2" t="str">
        <v>Electronics</v>
      </c>
      <c r="L350" s="2" t="str">
        <v>Davis LLC</v>
      </c>
      <c r="M350" s="2">
        <v>250.66</v>
      </c>
      <c r="N350" s="16">
        <f t="shared" si="5"/>
        <v>8.6717300997864871E-2</v>
      </c>
    </row>
    <row r="351" spans="2:14" ht="14.4" customHeight="1" x14ac:dyDescent="0.3">
      <c r="B351" s="2" t="s">
        <v>356</v>
      </c>
      <c r="C351" s="3">
        <v>45222</v>
      </c>
      <c r="D351" s="2" t="s">
        <v>2009</v>
      </c>
      <c r="E351" s="2" t="s">
        <v>2087</v>
      </c>
      <c r="F351" s="4">
        <v>1873.71</v>
      </c>
      <c r="G351" s="5">
        <v>230.33</v>
      </c>
      <c r="H351" s="6">
        <v>10</v>
      </c>
      <c r="I351" s="2" t="s">
        <v>2118</v>
      </c>
      <c r="J351" s="2" t="str">
        <v>Empower Seamless Roi</v>
      </c>
      <c r="K351" s="2" t="str">
        <v>Office Supplies</v>
      </c>
      <c r="L351" s="2" t="str">
        <v>Proctor Group</v>
      </c>
      <c r="M351" s="2">
        <v>266.64999999999998</v>
      </c>
      <c r="N351" s="16">
        <f t="shared" si="5"/>
        <v>0.12292724060820512</v>
      </c>
    </row>
    <row r="352" spans="2:14" ht="14.4" customHeight="1" x14ac:dyDescent="0.3">
      <c r="B352" s="2" t="s">
        <v>357</v>
      </c>
      <c r="C352" s="3">
        <v>43883</v>
      </c>
      <c r="D352" s="2" t="s">
        <v>2010</v>
      </c>
      <c r="E352" s="2" t="s">
        <v>2019</v>
      </c>
      <c r="F352" s="4">
        <v>2962.59</v>
      </c>
      <c r="G352" s="5">
        <v>656.87</v>
      </c>
      <c r="H352" s="6">
        <v>14</v>
      </c>
      <c r="I352" s="2" t="s">
        <v>2116</v>
      </c>
      <c r="J352" s="2" t="str">
        <v>Implement Clicks-And-Mortar Partnerships</v>
      </c>
      <c r="K352" s="2" t="str">
        <v>Electronics</v>
      </c>
      <c r="L352" s="2" t="str">
        <v>Smith Inc</v>
      </c>
      <c r="M352" s="2">
        <v>195.53</v>
      </c>
      <c r="N352" s="16">
        <f t="shared" si="5"/>
        <v>0.22172153419811719</v>
      </c>
    </row>
    <row r="353" spans="2:14" ht="14.4" customHeight="1" x14ac:dyDescent="0.3">
      <c r="B353" s="2" t="s">
        <v>358</v>
      </c>
      <c r="C353" s="3">
        <v>45286</v>
      </c>
      <c r="D353" s="2" t="s">
        <v>2010</v>
      </c>
      <c r="E353" s="2" t="s">
        <v>2051</v>
      </c>
      <c r="F353" s="4">
        <v>191.89</v>
      </c>
      <c r="G353" s="5">
        <v>665.15</v>
      </c>
      <c r="H353" s="6">
        <v>10</v>
      </c>
      <c r="I353" s="2" t="s">
        <v>2116</v>
      </c>
      <c r="J353" s="2" t="str">
        <v>Generate Front-End Functionalities</v>
      </c>
      <c r="K353" s="2" t="str">
        <v>Office Supplies</v>
      </c>
      <c r="L353" s="2" t="str">
        <v>Morales-Brown</v>
      </c>
      <c r="M353" s="2">
        <v>299.77</v>
      </c>
      <c r="N353" s="16">
        <f t="shared" si="5"/>
        <v>3.4663088227630414</v>
      </c>
    </row>
    <row r="354" spans="2:14" ht="14.4" customHeight="1" x14ac:dyDescent="0.3">
      <c r="B354" s="2" t="s">
        <v>359</v>
      </c>
      <c r="C354" s="3">
        <v>43919</v>
      </c>
      <c r="D354" s="2" t="s">
        <v>2012</v>
      </c>
      <c r="E354" s="2" t="s">
        <v>2071</v>
      </c>
      <c r="F354" s="4">
        <v>2487.59</v>
      </c>
      <c r="G354" s="5">
        <v>261.68</v>
      </c>
      <c r="H354" s="6">
        <v>17</v>
      </c>
      <c r="I354" s="2" t="s">
        <v>2116</v>
      </c>
      <c r="J354" s="2" t="str">
        <v>Incentivize Front-End Mindshare</v>
      </c>
      <c r="K354" s="2" t="str">
        <v>Electronics</v>
      </c>
      <c r="L354" s="2" t="str">
        <v>Phillips-Tran</v>
      </c>
      <c r="M354" s="2">
        <v>196.86</v>
      </c>
      <c r="N354" s="16">
        <f t="shared" si="5"/>
        <v>0.10519418392902367</v>
      </c>
    </row>
    <row r="355" spans="2:14" ht="14.4" customHeight="1" x14ac:dyDescent="0.3">
      <c r="B355" s="2" t="s">
        <v>360</v>
      </c>
      <c r="C355" s="3">
        <v>45001</v>
      </c>
      <c r="D355" s="2" t="s">
        <v>2012</v>
      </c>
      <c r="E355" s="2" t="s">
        <v>2073</v>
      </c>
      <c r="F355" s="4">
        <v>4188.17</v>
      </c>
      <c r="G355" s="5">
        <v>408.24</v>
      </c>
      <c r="H355" s="6">
        <v>5</v>
      </c>
      <c r="I355" s="2" t="s">
        <v>2116</v>
      </c>
      <c r="J355" s="2" t="str">
        <v>Visualize Dynamic E-Commerce</v>
      </c>
      <c r="K355" s="2" t="str">
        <v>Furniture</v>
      </c>
      <c r="L355" s="2" t="str">
        <v>Jones LLC</v>
      </c>
      <c r="M355" s="2">
        <v>92.61</v>
      </c>
      <c r="N355" s="16">
        <f t="shared" si="5"/>
        <v>9.7474553325199317E-2</v>
      </c>
    </row>
    <row r="356" spans="2:14" ht="14.4" customHeight="1" x14ac:dyDescent="0.3">
      <c r="B356" s="2" t="s">
        <v>361</v>
      </c>
      <c r="C356" s="3">
        <v>45041</v>
      </c>
      <c r="D356" s="2" t="s">
        <v>2010</v>
      </c>
      <c r="E356" s="2" t="s">
        <v>2046</v>
      </c>
      <c r="F356" s="4">
        <v>304.51</v>
      </c>
      <c r="G356" s="5">
        <v>819.63</v>
      </c>
      <c r="H356" s="6">
        <v>4</v>
      </c>
      <c r="I356" s="2" t="s">
        <v>2117</v>
      </c>
      <c r="J356" s="2" t="str">
        <v>Facilitate End-To-End Experiences</v>
      </c>
      <c r="K356" s="2" t="str">
        <v>Office Supplies</v>
      </c>
      <c r="L356" s="2" t="str">
        <v>Pierce-Goodwin</v>
      </c>
      <c r="M356" s="2">
        <v>260.52999999999997</v>
      </c>
      <c r="N356" s="16">
        <f t="shared" si="5"/>
        <v>2.6916357426685495</v>
      </c>
    </row>
    <row r="357" spans="2:14" ht="14.4" customHeight="1" x14ac:dyDescent="0.3">
      <c r="B357" s="2" t="s">
        <v>362</v>
      </c>
      <c r="C357" s="3">
        <v>45285</v>
      </c>
      <c r="D357" s="2" t="s">
        <v>2010</v>
      </c>
      <c r="E357" s="2" t="s">
        <v>2066</v>
      </c>
      <c r="F357" s="4">
        <v>1925.14</v>
      </c>
      <c r="G357" s="5">
        <v>829.93</v>
      </c>
      <c r="H357" s="6">
        <v>13</v>
      </c>
      <c r="I357" s="2" t="s">
        <v>2117</v>
      </c>
      <c r="J357" s="2" t="str">
        <v>Facilitate Integrated E-Business</v>
      </c>
      <c r="K357" s="2" t="str">
        <v>Office Supplies</v>
      </c>
      <c r="L357" s="2" t="str">
        <v>Chang-Vargas</v>
      </c>
      <c r="M357" s="2">
        <v>130.33000000000001</v>
      </c>
      <c r="N357" s="16">
        <f t="shared" si="5"/>
        <v>0.43110111472412393</v>
      </c>
    </row>
    <row r="358" spans="2:14" ht="14.4" customHeight="1" x14ac:dyDescent="0.3">
      <c r="B358" s="2" t="s">
        <v>363</v>
      </c>
      <c r="C358" s="3">
        <v>43968</v>
      </c>
      <c r="D358" s="2" t="s">
        <v>2010</v>
      </c>
      <c r="E358" s="2" t="s">
        <v>2065</v>
      </c>
      <c r="F358" s="4">
        <v>566.66999999999996</v>
      </c>
      <c r="G358" s="5">
        <v>411.81</v>
      </c>
      <c r="H358" s="6">
        <v>13</v>
      </c>
      <c r="I358" s="2" t="s">
        <v>2117</v>
      </c>
      <c r="J358" s="2" t="str">
        <v>Re-Contextualize Integrated Info-Mediaries</v>
      </c>
      <c r="K358" s="2" t="str">
        <v>Electronics</v>
      </c>
      <c r="L358" s="2" t="str">
        <v>Jones-Schroeder</v>
      </c>
      <c r="M358" s="2">
        <v>26.02</v>
      </c>
      <c r="N358" s="16">
        <f t="shared" si="5"/>
        <v>0.7267192545926201</v>
      </c>
    </row>
    <row r="359" spans="2:14" ht="14.4" customHeight="1" x14ac:dyDescent="0.3">
      <c r="B359" s="2" t="s">
        <v>364</v>
      </c>
      <c r="C359" s="3">
        <v>45413</v>
      </c>
      <c r="D359" s="2" t="s">
        <v>2010</v>
      </c>
      <c r="E359" s="2" t="s">
        <v>2021</v>
      </c>
      <c r="F359" s="4">
        <v>4813.4399999999996</v>
      </c>
      <c r="G359" s="5">
        <v>118.37</v>
      </c>
      <c r="H359" s="6">
        <v>3</v>
      </c>
      <c r="I359" s="2" t="s">
        <v>2118</v>
      </c>
      <c r="J359" s="2" t="str">
        <v>Whiteboard Compelling Experiences</v>
      </c>
      <c r="K359" s="2" t="str">
        <v>Furniture</v>
      </c>
      <c r="L359" s="2" t="str">
        <v>Carrillo, Carr and Ball</v>
      </c>
      <c r="M359" s="2">
        <v>206.54</v>
      </c>
      <c r="N359" s="16">
        <f t="shared" si="5"/>
        <v>2.459156029783274E-2</v>
      </c>
    </row>
    <row r="360" spans="2:14" ht="14.4" customHeight="1" x14ac:dyDescent="0.3">
      <c r="B360" s="2" t="s">
        <v>365</v>
      </c>
      <c r="C360" s="3">
        <v>44799</v>
      </c>
      <c r="D360" s="2" t="s">
        <v>2009</v>
      </c>
      <c r="E360" s="2" t="s">
        <v>2021</v>
      </c>
      <c r="F360" s="4">
        <v>3685.33</v>
      </c>
      <c r="G360" s="5">
        <v>149.24</v>
      </c>
      <c r="H360" s="6">
        <v>4</v>
      </c>
      <c r="I360" s="2" t="s">
        <v>2117</v>
      </c>
      <c r="J360" s="2" t="str">
        <v>Whiteboard Compelling Experiences</v>
      </c>
      <c r="K360" s="2" t="str">
        <v>Furniture</v>
      </c>
      <c r="L360" s="2" t="str">
        <v>Carrillo, Carr and Ball</v>
      </c>
      <c r="M360" s="2">
        <v>206.54</v>
      </c>
      <c r="N360" s="16">
        <f t="shared" si="5"/>
        <v>4.0495695093790793E-2</v>
      </c>
    </row>
    <row r="361" spans="2:14" ht="14.4" customHeight="1" x14ac:dyDescent="0.3">
      <c r="B361" s="2" t="s">
        <v>366</v>
      </c>
      <c r="C361" s="3">
        <v>43931</v>
      </c>
      <c r="D361" s="2" t="s">
        <v>2010</v>
      </c>
      <c r="E361" s="2" t="s">
        <v>2071</v>
      </c>
      <c r="F361" s="4">
        <v>3512.18</v>
      </c>
      <c r="G361" s="5">
        <v>989.65</v>
      </c>
      <c r="H361" s="6">
        <v>16</v>
      </c>
      <c r="I361" s="2" t="s">
        <v>2118</v>
      </c>
      <c r="J361" s="2" t="str">
        <v>Incentivize Front-End Mindshare</v>
      </c>
      <c r="K361" s="2" t="str">
        <v>Electronics</v>
      </c>
      <c r="L361" s="2" t="str">
        <v>Phillips-Tran</v>
      </c>
      <c r="M361" s="2">
        <v>196.86</v>
      </c>
      <c r="N361" s="16">
        <f t="shared" si="5"/>
        <v>0.28177656042685739</v>
      </c>
    </row>
    <row r="362" spans="2:14" ht="14.4" customHeight="1" x14ac:dyDescent="0.3">
      <c r="B362" s="2" t="s">
        <v>367</v>
      </c>
      <c r="C362" s="3">
        <v>44566</v>
      </c>
      <c r="D362" s="2" t="s">
        <v>2012</v>
      </c>
      <c r="E362" s="2" t="s">
        <v>2057</v>
      </c>
      <c r="F362" s="4">
        <v>3391.54</v>
      </c>
      <c r="G362" s="5">
        <v>548.99</v>
      </c>
      <c r="H362" s="6">
        <v>19</v>
      </c>
      <c r="I362" s="2" t="s">
        <v>2117</v>
      </c>
      <c r="J362" s="2" t="str">
        <v>Reinvent Out-Of-The-Box Models</v>
      </c>
      <c r="K362" s="2" t="str">
        <v>Office Supplies</v>
      </c>
      <c r="L362" s="2" t="str">
        <v>Wagner-Curtis</v>
      </c>
      <c r="M362" s="2">
        <v>172.34</v>
      </c>
      <c r="N362" s="16">
        <f t="shared" si="5"/>
        <v>0.16187041874782548</v>
      </c>
    </row>
    <row r="363" spans="2:14" ht="14.4" customHeight="1" x14ac:dyDescent="0.3">
      <c r="B363" s="2" t="s">
        <v>368</v>
      </c>
      <c r="C363" s="3">
        <v>45357</v>
      </c>
      <c r="D363" s="2" t="s">
        <v>2010</v>
      </c>
      <c r="E363" s="2" t="s">
        <v>2072</v>
      </c>
      <c r="F363" s="4">
        <v>699.35</v>
      </c>
      <c r="G363" s="5">
        <v>589.04</v>
      </c>
      <c r="H363" s="6">
        <v>14</v>
      </c>
      <c r="I363" s="2" t="s">
        <v>2116</v>
      </c>
      <c r="J363" s="2" t="str">
        <v>Evolve Innovative Web Services</v>
      </c>
      <c r="K363" s="2" t="str">
        <v>Furniture</v>
      </c>
      <c r="L363" s="2" t="str">
        <v>Bush Inc</v>
      </c>
      <c r="M363" s="2">
        <v>87.75</v>
      </c>
      <c r="N363" s="16">
        <f t="shared" si="5"/>
        <v>0.84226782011868151</v>
      </c>
    </row>
    <row r="364" spans="2:14" ht="14.4" customHeight="1" x14ac:dyDescent="0.3">
      <c r="B364" s="2" t="s">
        <v>369</v>
      </c>
      <c r="C364" s="3">
        <v>44598</v>
      </c>
      <c r="D364" s="2" t="s">
        <v>2011</v>
      </c>
      <c r="E364" s="2" t="s">
        <v>2016</v>
      </c>
      <c r="F364" s="4">
        <v>2565.9699999999998</v>
      </c>
      <c r="G364" s="5">
        <v>452.65</v>
      </c>
      <c r="H364" s="6">
        <v>10</v>
      </c>
      <c r="I364" s="2" t="s">
        <v>2116</v>
      </c>
      <c r="J364" s="2" t="str">
        <v>Revolutionize Efficient Niches</v>
      </c>
      <c r="K364" s="2" t="str">
        <v>Electronics</v>
      </c>
      <c r="L364" s="2" t="str">
        <v>Lopez-Torres</v>
      </c>
      <c r="M364" s="2">
        <v>23.02</v>
      </c>
      <c r="N364" s="16">
        <f t="shared" si="5"/>
        <v>0.17640502422085996</v>
      </c>
    </row>
    <row r="365" spans="2:14" ht="14.4" customHeight="1" x14ac:dyDescent="0.3">
      <c r="B365" s="2" t="s">
        <v>370</v>
      </c>
      <c r="C365" s="3">
        <v>43912</v>
      </c>
      <c r="D365" s="2" t="s">
        <v>2010</v>
      </c>
      <c r="E365" s="2" t="s">
        <v>2040</v>
      </c>
      <c r="F365" s="4">
        <v>4213.5</v>
      </c>
      <c r="G365" s="5">
        <v>294.95999999999998</v>
      </c>
      <c r="H365" s="6">
        <v>9</v>
      </c>
      <c r="I365" s="2" t="s">
        <v>2116</v>
      </c>
      <c r="J365" s="2" t="str">
        <v>Synergize End-To-End Supply-Chains</v>
      </c>
      <c r="K365" s="2" t="str">
        <v>Office Supplies</v>
      </c>
      <c r="L365" s="2" t="str">
        <v>Higgins-Espinoza</v>
      </c>
      <c r="M365" s="2">
        <v>279.8</v>
      </c>
      <c r="N365" s="16">
        <f t="shared" si="5"/>
        <v>7.000355998576005E-2</v>
      </c>
    </row>
    <row r="366" spans="2:14" ht="14.4" customHeight="1" x14ac:dyDescent="0.3">
      <c r="B366" s="2" t="s">
        <v>371</v>
      </c>
      <c r="C366" s="3">
        <v>45531</v>
      </c>
      <c r="D366" s="2" t="s">
        <v>2011</v>
      </c>
      <c r="E366" s="2" t="s">
        <v>2077</v>
      </c>
      <c r="F366" s="4">
        <v>4489.47</v>
      </c>
      <c r="G366" s="5">
        <v>401.19</v>
      </c>
      <c r="H366" s="6">
        <v>2</v>
      </c>
      <c r="I366" s="2" t="s">
        <v>2117</v>
      </c>
      <c r="J366" s="2" t="str">
        <v>Synthesize Wireless Initiatives</v>
      </c>
      <c r="K366" s="2" t="str">
        <v>Electronics</v>
      </c>
      <c r="L366" s="2" t="str">
        <v>Mosley Ltd</v>
      </c>
      <c r="M366" s="2">
        <v>162.69999999999999</v>
      </c>
      <c r="N366" s="16">
        <f t="shared" si="5"/>
        <v>8.9362441446317706E-2</v>
      </c>
    </row>
    <row r="367" spans="2:14" ht="14.4" customHeight="1" x14ac:dyDescent="0.3">
      <c r="B367" s="2" t="s">
        <v>372</v>
      </c>
      <c r="C367" s="3">
        <v>44155</v>
      </c>
      <c r="D367" s="2" t="s">
        <v>2009</v>
      </c>
      <c r="E367" s="2" t="s">
        <v>2017</v>
      </c>
      <c r="F367" s="4">
        <v>4657.3100000000004</v>
      </c>
      <c r="G367" s="5">
        <v>390.11</v>
      </c>
      <c r="H367" s="6">
        <v>8</v>
      </c>
      <c r="I367" s="2" t="s">
        <v>2118</v>
      </c>
      <c r="J367" s="2" t="str">
        <v>Target Bricks-And-Clicks Channels</v>
      </c>
      <c r="K367" s="2" t="str">
        <v>Electronics</v>
      </c>
      <c r="L367" s="2" t="str">
        <v>Dunn, Christensen and Meyer</v>
      </c>
      <c r="M367" s="2">
        <v>126.86</v>
      </c>
      <c r="N367" s="16">
        <f t="shared" si="5"/>
        <v>8.3762944704131786E-2</v>
      </c>
    </row>
    <row r="368" spans="2:14" ht="14.4" customHeight="1" x14ac:dyDescent="0.3">
      <c r="B368" s="2" t="s">
        <v>373</v>
      </c>
      <c r="C368" s="3">
        <v>44288</v>
      </c>
      <c r="D368" s="2" t="s">
        <v>2012</v>
      </c>
      <c r="E368" s="2" t="s">
        <v>2018</v>
      </c>
      <c r="F368" s="4">
        <v>4204.54</v>
      </c>
      <c r="G368" s="5">
        <v>751.93</v>
      </c>
      <c r="H368" s="6">
        <v>16</v>
      </c>
      <c r="I368" s="2" t="s">
        <v>2118</v>
      </c>
      <c r="J368" s="2" t="str">
        <v>Deliver Sticky Networks</v>
      </c>
      <c r="K368" s="2" t="str">
        <v>Furniture</v>
      </c>
      <c r="L368" s="2" t="str">
        <v>Massey LLC</v>
      </c>
      <c r="M368" s="2">
        <v>272.33</v>
      </c>
      <c r="N368" s="16">
        <f t="shared" si="5"/>
        <v>0.17883763741098907</v>
      </c>
    </row>
    <row r="369" spans="2:14" ht="14.4" customHeight="1" x14ac:dyDescent="0.3">
      <c r="B369" s="2" t="s">
        <v>374</v>
      </c>
      <c r="C369" s="3">
        <v>44218</v>
      </c>
      <c r="D369" s="2" t="s">
        <v>2012</v>
      </c>
      <c r="E369" s="2" t="s">
        <v>2040</v>
      </c>
      <c r="F369" s="4">
        <v>4835.0600000000004</v>
      </c>
      <c r="G369" s="5">
        <v>712.04</v>
      </c>
      <c r="H369" s="6">
        <v>19</v>
      </c>
      <c r="I369" s="2" t="s">
        <v>2118</v>
      </c>
      <c r="J369" s="2" t="str">
        <v>Synergize End-To-End Supply-Chains</v>
      </c>
      <c r="K369" s="2" t="str">
        <v>Office Supplies</v>
      </c>
      <c r="L369" s="2" t="str">
        <v>Higgins-Espinoza</v>
      </c>
      <c r="M369" s="2">
        <v>279.8</v>
      </c>
      <c r="N369" s="16">
        <f t="shared" si="5"/>
        <v>0.14726601117669685</v>
      </c>
    </row>
    <row r="370" spans="2:14" ht="14.4" customHeight="1" x14ac:dyDescent="0.3">
      <c r="B370" s="2" t="s">
        <v>375</v>
      </c>
      <c r="C370" s="3">
        <v>44646</v>
      </c>
      <c r="D370" s="2" t="s">
        <v>2009</v>
      </c>
      <c r="E370" s="2" t="s">
        <v>2100</v>
      </c>
      <c r="F370" s="4">
        <v>2153.09</v>
      </c>
      <c r="G370" s="5">
        <v>432.11</v>
      </c>
      <c r="H370" s="6">
        <v>14</v>
      </c>
      <c r="I370" s="2" t="s">
        <v>2118</v>
      </c>
      <c r="J370" s="2" t="str">
        <v>Strategize Best-Of-Breed Web-Readiness</v>
      </c>
      <c r="K370" s="2" t="str">
        <v>Office Supplies</v>
      </c>
      <c r="L370" s="2" t="str">
        <v>Morris, King and Ayers</v>
      </c>
      <c r="M370" s="2">
        <v>220.16</v>
      </c>
      <c r="N370" s="16">
        <f t="shared" si="5"/>
        <v>0.20069295756331598</v>
      </c>
    </row>
    <row r="371" spans="2:14" ht="14.4" customHeight="1" x14ac:dyDescent="0.3">
      <c r="B371" s="2" t="s">
        <v>376</v>
      </c>
      <c r="C371" s="3">
        <v>44777</v>
      </c>
      <c r="D371" s="2" t="s">
        <v>2010</v>
      </c>
      <c r="E371" s="2" t="s">
        <v>2053</v>
      </c>
      <c r="F371" s="4">
        <v>1994.14</v>
      </c>
      <c r="G371" s="5">
        <v>898.35</v>
      </c>
      <c r="H371" s="6">
        <v>6</v>
      </c>
      <c r="I371" s="2" t="s">
        <v>2116</v>
      </c>
      <c r="J371" s="2" t="str">
        <v>Transition Mission-Critical Interfaces</v>
      </c>
      <c r="K371" s="2" t="str">
        <v>Office Supplies</v>
      </c>
      <c r="L371" s="2" t="str">
        <v>Weaver Ltd</v>
      </c>
      <c r="M371" s="2">
        <v>34.64</v>
      </c>
      <c r="N371" s="16">
        <f t="shared" si="5"/>
        <v>0.45049495020409802</v>
      </c>
    </row>
    <row r="372" spans="2:14" ht="14.4" customHeight="1" x14ac:dyDescent="0.3">
      <c r="B372" s="2" t="s">
        <v>377</v>
      </c>
      <c r="C372" s="3">
        <v>44877</v>
      </c>
      <c r="D372" s="2" t="s">
        <v>2011</v>
      </c>
      <c r="E372" s="2" t="s">
        <v>2099</v>
      </c>
      <c r="F372" s="4">
        <v>4896.53</v>
      </c>
      <c r="G372" s="5">
        <v>17.420000000000002</v>
      </c>
      <c r="H372" s="6">
        <v>7</v>
      </c>
      <c r="I372" s="2" t="s">
        <v>2116</v>
      </c>
      <c r="J372" s="2" t="str">
        <v>Synergize Cross-Platform Vortals</v>
      </c>
      <c r="K372" s="2" t="str">
        <v>Furniture</v>
      </c>
      <c r="L372" s="2" t="str">
        <v>Edwards Group</v>
      </c>
      <c r="M372" s="2">
        <v>87.18</v>
      </c>
      <c r="N372" s="16">
        <f t="shared" si="5"/>
        <v>3.5576214176161491E-3</v>
      </c>
    </row>
    <row r="373" spans="2:14" ht="14.4" customHeight="1" x14ac:dyDescent="0.3">
      <c r="B373" s="2" t="s">
        <v>378</v>
      </c>
      <c r="C373" s="3">
        <v>45127</v>
      </c>
      <c r="D373" s="2" t="s">
        <v>2009</v>
      </c>
      <c r="E373" s="2" t="s">
        <v>2025</v>
      </c>
      <c r="F373" s="4">
        <v>340.88</v>
      </c>
      <c r="G373" s="5">
        <v>712.02</v>
      </c>
      <c r="H373" s="6">
        <v>11</v>
      </c>
      <c r="I373" s="2" t="s">
        <v>2118</v>
      </c>
      <c r="J373" s="2" t="str">
        <v>Streamline Innovative Architectures</v>
      </c>
      <c r="K373" s="2" t="str">
        <v>Furniture</v>
      </c>
      <c r="L373" s="2" t="str">
        <v>Price, Valentine and Lutz</v>
      </c>
      <c r="M373" s="2">
        <v>291.14999999999998</v>
      </c>
      <c r="N373" s="16">
        <f t="shared" si="5"/>
        <v>2.088770241727294</v>
      </c>
    </row>
    <row r="374" spans="2:14" ht="14.4" customHeight="1" x14ac:dyDescent="0.3">
      <c r="B374" s="2" t="s">
        <v>379</v>
      </c>
      <c r="C374" s="3">
        <v>44536</v>
      </c>
      <c r="D374" s="2" t="s">
        <v>2011</v>
      </c>
      <c r="E374" s="2" t="s">
        <v>2058</v>
      </c>
      <c r="F374" s="4">
        <v>1955.86</v>
      </c>
      <c r="G374" s="5">
        <v>28.26</v>
      </c>
      <c r="H374" s="6">
        <v>18</v>
      </c>
      <c r="I374" s="2" t="s">
        <v>2116</v>
      </c>
      <c r="J374" s="2" t="str">
        <v>Envisioneer B2C Web-Readiness</v>
      </c>
      <c r="K374" s="2" t="str">
        <v>Electronics</v>
      </c>
      <c r="L374" s="2" t="str">
        <v>Kemp Group</v>
      </c>
      <c r="M374" s="2">
        <v>97.23</v>
      </c>
      <c r="N374" s="16">
        <f t="shared" si="5"/>
        <v>1.4448886934647676E-2</v>
      </c>
    </row>
    <row r="375" spans="2:14" ht="14.4" customHeight="1" x14ac:dyDescent="0.3">
      <c r="B375" s="2" t="s">
        <v>380</v>
      </c>
      <c r="C375" s="3">
        <v>45095</v>
      </c>
      <c r="D375" s="2" t="s">
        <v>2010</v>
      </c>
      <c r="E375" s="2" t="s">
        <v>2029</v>
      </c>
      <c r="F375" s="4">
        <v>1497.19</v>
      </c>
      <c r="G375" s="5">
        <v>801.13</v>
      </c>
      <c r="H375" s="6">
        <v>15</v>
      </c>
      <c r="I375" s="2" t="s">
        <v>2118</v>
      </c>
      <c r="J375" s="2" t="str">
        <v>E-Enable Next-Generation Experiences</v>
      </c>
      <c r="K375" s="2" t="str">
        <v>Furniture</v>
      </c>
      <c r="L375" s="2" t="str">
        <v>Sanchez-Quinn</v>
      </c>
      <c r="M375" s="2">
        <v>266.93</v>
      </c>
      <c r="N375" s="16">
        <f t="shared" si="5"/>
        <v>0.5350890668519025</v>
      </c>
    </row>
    <row r="376" spans="2:14" ht="14.4" customHeight="1" x14ac:dyDescent="0.3">
      <c r="B376" s="2" t="s">
        <v>381</v>
      </c>
      <c r="C376" s="3">
        <v>45189</v>
      </c>
      <c r="D376" s="2" t="s">
        <v>2009</v>
      </c>
      <c r="E376" s="2" t="s">
        <v>2092</v>
      </c>
      <c r="F376" s="4">
        <v>4719.9399999999996</v>
      </c>
      <c r="G376" s="5">
        <v>966</v>
      </c>
      <c r="H376" s="6">
        <v>8</v>
      </c>
      <c r="I376" s="2" t="s">
        <v>2116</v>
      </c>
      <c r="J376" s="2" t="str">
        <v>Seize Clicks-And-Mortar Platforms</v>
      </c>
      <c r="K376" s="2" t="str">
        <v>Office Supplies</v>
      </c>
      <c r="L376" s="2" t="str">
        <v>Owens, Campos and Wood</v>
      </c>
      <c r="M376" s="2">
        <v>271.16000000000003</v>
      </c>
      <c r="N376" s="16">
        <f t="shared" si="5"/>
        <v>0.20466361860532128</v>
      </c>
    </row>
    <row r="377" spans="2:14" ht="14.4" customHeight="1" x14ac:dyDescent="0.3">
      <c r="B377" s="2" t="s">
        <v>382</v>
      </c>
      <c r="C377" s="3">
        <v>45565</v>
      </c>
      <c r="D377" s="2" t="s">
        <v>2010</v>
      </c>
      <c r="E377" s="2" t="s">
        <v>2074</v>
      </c>
      <c r="F377" s="4">
        <v>1298.81</v>
      </c>
      <c r="G377" s="5">
        <v>142.07</v>
      </c>
      <c r="H377" s="6">
        <v>18</v>
      </c>
      <c r="I377" s="2" t="s">
        <v>2117</v>
      </c>
      <c r="J377" s="2" t="str">
        <v>Utilize Ubiquitous Synergies</v>
      </c>
      <c r="K377" s="2" t="str">
        <v>Electronics</v>
      </c>
      <c r="L377" s="2" t="str">
        <v>Kramer, Huang and Shaw</v>
      </c>
      <c r="M377" s="2">
        <v>295.89999999999998</v>
      </c>
      <c r="N377" s="16">
        <f t="shared" si="5"/>
        <v>0.10938474449688561</v>
      </c>
    </row>
    <row r="378" spans="2:14" ht="14.4" customHeight="1" x14ac:dyDescent="0.3">
      <c r="B378" s="2" t="s">
        <v>383</v>
      </c>
      <c r="C378" s="3">
        <v>44128</v>
      </c>
      <c r="D378" s="2" t="s">
        <v>2010</v>
      </c>
      <c r="E378" s="2" t="s">
        <v>2072</v>
      </c>
      <c r="F378" s="4">
        <v>2231.62</v>
      </c>
      <c r="G378" s="5">
        <v>763.97</v>
      </c>
      <c r="H378" s="6">
        <v>9</v>
      </c>
      <c r="I378" s="2" t="s">
        <v>2117</v>
      </c>
      <c r="J378" s="2" t="str">
        <v>Evolve Innovative Web Services</v>
      </c>
      <c r="K378" s="2" t="str">
        <v>Furniture</v>
      </c>
      <c r="L378" s="2" t="str">
        <v>Bush Inc</v>
      </c>
      <c r="M378" s="2">
        <v>87.75</v>
      </c>
      <c r="N378" s="16">
        <f t="shared" si="5"/>
        <v>0.34233874942866621</v>
      </c>
    </row>
    <row r="379" spans="2:14" ht="14.4" customHeight="1" x14ac:dyDescent="0.3">
      <c r="B379" s="2" t="s">
        <v>384</v>
      </c>
      <c r="C379" s="3">
        <v>45530</v>
      </c>
      <c r="D379" s="2" t="s">
        <v>2010</v>
      </c>
      <c r="E379" s="2" t="s">
        <v>2069</v>
      </c>
      <c r="F379" s="4">
        <v>4181.1000000000004</v>
      </c>
      <c r="G379" s="5">
        <v>914.29</v>
      </c>
      <c r="H379" s="6">
        <v>9</v>
      </c>
      <c r="I379" s="2" t="s">
        <v>2117</v>
      </c>
      <c r="J379" s="2" t="str">
        <v>Optimize Transparent E-Markets</v>
      </c>
      <c r="K379" s="2" t="str">
        <v>Office Supplies</v>
      </c>
      <c r="L379" s="2" t="str">
        <v>Lee, Tyler and Blevins</v>
      </c>
      <c r="M379" s="2">
        <v>111.22</v>
      </c>
      <c r="N379" s="16">
        <f t="shared" si="5"/>
        <v>0.21867211977709214</v>
      </c>
    </row>
    <row r="380" spans="2:14" ht="14.4" customHeight="1" x14ac:dyDescent="0.3">
      <c r="B380" s="2" t="s">
        <v>385</v>
      </c>
      <c r="C380" s="3">
        <v>44913</v>
      </c>
      <c r="D380" s="2" t="s">
        <v>2010</v>
      </c>
      <c r="E380" s="2" t="s">
        <v>2080</v>
      </c>
      <c r="F380" s="4">
        <v>3899.3</v>
      </c>
      <c r="G380" s="5">
        <v>980.97</v>
      </c>
      <c r="H380" s="6">
        <v>19</v>
      </c>
      <c r="I380" s="2" t="s">
        <v>2117</v>
      </c>
      <c r="J380" s="2" t="str">
        <v>Scale Vertical Networks</v>
      </c>
      <c r="K380" s="2" t="str">
        <v>Furniture</v>
      </c>
      <c r="L380" s="2" t="str">
        <v>Lam, Wood and Jacobs</v>
      </c>
      <c r="M380" s="2">
        <v>133.24</v>
      </c>
      <c r="N380" s="16">
        <f t="shared" si="5"/>
        <v>0.25157592388377403</v>
      </c>
    </row>
    <row r="381" spans="2:14" ht="14.4" customHeight="1" x14ac:dyDescent="0.3">
      <c r="B381" s="2" t="s">
        <v>386</v>
      </c>
      <c r="C381" s="3">
        <v>44868</v>
      </c>
      <c r="D381" s="2" t="s">
        <v>2011</v>
      </c>
      <c r="E381" s="2" t="s">
        <v>2014</v>
      </c>
      <c r="F381" s="4">
        <v>3994.03</v>
      </c>
      <c r="G381" s="5">
        <v>641.14</v>
      </c>
      <c r="H381" s="6">
        <v>17</v>
      </c>
      <c r="I381" s="2" t="s">
        <v>2117</v>
      </c>
      <c r="J381" s="2" t="str">
        <v>E-Enable Synergistic Vortals</v>
      </c>
      <c r="K381" s="2" t="str">
        <v>Electronics</v>
      </c>
      <c r="L381" s="2" t="str">
        <v>Guzman Group</v>
      </c>
      <c r="M381" s="2">
        <v>278.43</v>
      </c>
      <c r="N381" s="16">
        <f t="shared" si="5"/>
        <v>0.16052458294003799</v>
      </c>
    </row>
    <row r="382" spans="2:14" ht="14.4" customHeight="1" x14ac:dyDescent="0.3">
      <c r="B382" s="2" t="s">
        <v>387</v>
      </c>
      <c r="C382" s="3">
        <v>44477</v>
      </c>
      <c r="D382" s="2" t="s">
        <v>2009</v>
      </c>
      <c r="E382" s="2" t="s">
        <v>2080</v>
      </c>
      <c r="F382" s="4">
        <v>3673.03</v>
      </c>
      <c r="G382" s="5">
        <v>73.650000000000006</v>
      </c>
      <c r="H382" s="6">
        <v>3</v>
      </c>
      <c r="I382" s="2" t="s">
        <v>2116</v>
      </c>
      <c r="J382" s="2" t="str">
        <v>Scale Vertical Networks</v>
      </c>
      <c r="K382" s="2" t="str">
        <v>Furniture</v>
      </c>
      <c r="L382" s="2" t="str">
        <v>Lam, Wood and Jacobs</v>
      </c>
      <c r="M382" s="2">
        <v>133.24</v>
      </c>
      <c r="N382" s="16">
        <f t="shared" si="5"/>
        <v>2.0051565056642608E-2</v>
      </c>
    </row>
    <row r="383" spans="2:14" ht="14.4" customHeight="1" x14ac:dyDescent="0.3">
      <c r="B383" s="2" t="s">
        <v>388</v>
      </c>
      <c r="C383" s="3">
        <v>44941</v>
      </c>
      <c r="D383" s="2" t="s">
        <v>2010</v>
      </c>
      <c r="E383" s="2" t="s">
        <v>2095</v>
      </c>
      <c r="F383" s="4">
        <v>2709.1</v>
      </c>
      <c r="G383" s="5">
        <v>101.25</v>
      </c>
      <c r="H383" s="6">
        <v>17</v>
      </c>
      <c r="I383" s="2" t="s">
        <v>2118</v>
      </c>
      <c r="J383" s="2" t="str">
        <v>Envisioneer B2B Users</v>
      </c>
      <c r="K383" s="2" t="str">
        <v>Office Supplies</v>
      </c>
      <c r="L383" s="2" t="str">
        <v>Rogers Group</v>
      </c>
      <c r="M383" s="2">
        <v>239.16</v>
      </c>
      <c r="N383" s="16">
        <f t="shared" si="5"/>
        <v>3.7374035657598469E-2</v>
      </c>
    </row>
    <row r="384" spans="2:14" ht="14.4" customHeight="1" x14ac:dyDescent="0.3">
      <c r="B384" s="2" t="s">
        <v>389</v>
      </c>
      <c r="C384" s="3">
        <v>44999</v>
      </c>
      <c r="D384" s="2" t="s">
        <v>2011</v>
      </c>
      <c r="E384" s="2" t="s">
        <v>2071</v>
      </c>
      <c r="F384" s="4">
        <v>1659.6</v>
      </c>
      <c r="G384" s="5">
        <v>843.98</v>
      </c>
      <c r="H384" s="6">
        <v>11</v>
      </c>
      <c r="I384" s="2" t="s">
        <v>2118</v>
      </c>
      <c r="J384" s="2" t="str">
        <v>Incentivize Front-End Mindshare</v>
      </c>
      <c r="K384" s="2" t="str">
        <v>Electronics</v>
      </c>
      <c r="L384" s="2" t="str">
        <v>Phillips-Tran</v>
      </c>
      <c r="M384" s="2">
        <v>196.86</v>
      </c>
      <c r="N384" s="16">
        <f t="shared" si="5"/>
        <v>0.50854422752470474</v>
      </c>
    </row>
    <row r="385" spans="2:14" ht="14.4" customHeight="1" x14ac:dyDescent="0.3">
      <c r="B385" s="2" t="s">
        <v>390</v>
      </c>
      <c r="C385" s="3">
        <v>44934</v>
      </c>
      <c r="D385" s="2" t="s">
        <v>2012</v>
      </c>
      <c r="E385" s="2" t="s">
        <v>2044</v>
      </c>
      <c r="F385" s="4">
        <v>3546.11</v>
      </c>
      <c r="G385" s="5">
        <v>923.9</v>
      </c>
      <c r="H385" s="6">
        <v>10</v>
      </c>
      <c r="I385" s="2" t="s">
        <v>2116</v>
      </c>
      <c r="J385" s="2" t="str">
        <v>Grow Back-End Supply-Chains</v>
      </c>
      <c r="K385" s="2" t="str">
        <v>Electronics</v>
      </c>
      <c r="L385" s="2" t="str">
        <v>Green LLC</v>
      </c>
      <c r="M385" s="2">
        <v>140.08000000000001</v>
      </c>
      <c r="N385" s="16">
        <f t="shared" si="5"/>
        <v>0.2605390131721802</v>
      </c>
    </row>
    <row r="386" spans="2:14" ht="14.4" customHeight="1" x14ac:dyDescent="0.3">
      <c r="B386" s="2" t="s">
        <v>391</v>
      </c>
      <c r="C386" s="3">
        <v>44916</v>
      </c>
      <c r="D386" s="2" t="s">
        <v>2011</v>
      </c>
      <c r="E386" s="2" t="s">
        <v>2078</v>
      </c>
      <c r="F386" s="4">
        <v>4403.49</v>
      </c>
      <c r="G386" s="5">
        <v>257.07</v>
      </c>
      <c r="H386" s="6">
        <v>18</v>
      </c>
      <c r="I386" s="2" t="s">
        <v>2117</v>
      </c>
      <c r="J386" s="2" t="str">
        <v>Strategize E-Business Content</v>
      </c>
      <c r="K386" s="2" t="str">
        <v>Electronics</v>
      </c>
      <c r="L386" s="2" t="str">
        <v>Patterson LLC</v>
      </c>
      <c r="M386" s="2">
        <v>294.02</v>
      </c>
      <c r="N386" s="16">
        <f t="shared" si="5"/>
        <v>5.8378695080492975E-2</v>
      </c>
    </row>
    <row r="387" spans="2:14" ht="14.4" customHeight="1" x14ac:dyDescent="0.3">
      <c r="B387" s="2" t="s">
        <v>392</v>
      </c>
      <c r="C387" s="3">
        <v>44371</v>
      </c>
      <c r="D387" s="2" t="s">
        <v>2009</v>
      </c>
      <c r="E387" s="2" t="s">
        <v>2085</v>
      </c>
      <c r="F387" s="4">
        <v>1920.47</v>
      </c>
      <c r="G387" s="5">
        <v>589.87</v>
      </c>
      <c r="H387" s="6">
        <v>10</v>
      </c>
      <c r="I387" s="2" t="s">
        <v>2117</v>
      </c>
      <c r="J387" s="2" t="str">
        <v>Incentivize User-Centric Mindshare</v>
      </c>
      <c r="K387" s="2" t="str">
        <v>Electronics</v>
      </c>
      <c r="L387" s="2" t="str">
        <v>Becker, Wright and Wong</v>
      </c>
      <c r="M387" s="2">
        <v>38.51</v>
      </c>
      <c r="N387" s="16">
        <f t="shared" si="5"/>
        <v>0.3071487708737965</v>
      </c>
    </row>
    <row r="388" spans="2:14" ht="14.4" customHeight="1" x14ac:dyDescent="0.3">
      <c r="B388" s="2" t="s">
        <v>393</v>
      </c>
      <c r="C388" s="3">
        <v>45181</v>
      </c>
      <c r="D388" s="2" t="s">
        <v>2012</v>
      </c>
      <c r="E388" s="2" t="s">
        <v>2060</v>
      </c>
      <c r="F388" s="4">
        <v>4360.4799999999996</v>
      </c>
      <c r="G388" s="5">
        <v>72.7</v>
      </c>
      <c r="H388" s="6">
        <v>6</v>
      </c>
      <c r="I388" s="2" t="s">
        <v>2118</v>
      </c>
      <c r="J388" s="2" t="str">
        <v>Synergize End-To-End Roi</v>
      </c>
      <c r="K388" s="2" t="str">
        <v>Electronics</v>
      </c>
      <c r="L388" s="2" t="str">
        <v>Evans-Smith</v>
      </c>
      <c r="M388" s="2">
        <v>159.85</v>
      </c>
      <c r="N388" s="16">
        <f t="shared" si="5"/>
        <v>1.6672476424613808E-2</v>
      </c>
    </row>
    <row r="389" spans="2:14" ht="14.4" customHeight="1" x14ac:dyDescent="0.3">
      <c r="B389" s="2" t="s">
        <v>394</v>
      </c>
      <c r="C389" s="3">
        <v>44510</v>
      </c>
      <c r="D389" s="2" t="s">
        <v>2009</v>
      </c>
      <c r="E389" s="2" t="s">
        <v>2037</v>
      </c>
      <c r="F389" s="4">
        <v>3790.54</v>
      </c>
      <c r="G389" s="5">
        <v>928.07</v>
      </c>
      <c r="H389" s="6">
        <v>17</v>
      </c>
      <c r="I389" s="2" t="s">
        <v>2118</v>
      </c>
      <c r="J389" s="2" t="str">
        <v>Utilize Back-End Models</v>
      </c>
      <c r="K389" s="2" t="str">
        <v>Furniture</v>
      </c>
      <c r="L389" s="2" t="str">
        <v>Lewis-Holden</v>
      </c>
      <c r="M389" s="2">
        <v>241.53</v>
      </c>
      <c r="N389" s="16">
        <f t="shared" ref="N389:N452" si="6">(G389/F389)</f>
        <v>0.24483846628712533</v>
      </c>
    </row>
    <row r="390" spans="2:14" ht="14.4" customHeight="1" x14ac:dyDescent="0.3">
      <c r="B390" s="2" t="s">
        <v>395</v>
      </c>
      <c r="C390" s="3">
        <v>44230</v>
      </c>
      <c r="D390" s="2" t="s">
        <v>2010</v>
      </c>
      <c r="E390" s="2" t="s">
        <v>2044</v>
      </c>
      <c r="F390" s="4">
        <v>2143.89</v>
      </c>
      <c r="G390" s="5">
        <v>296.77999999999997</v>
      </c>
      <c r="H390" s="6">
        <v>2</v>
      </c>
      <c r="I390" s="2" t="s">
        <v>2117</v>
      </c>
      <c r="J390" s="2" t="str">
        <v>Grow Back-End Supply-Chains</v>
      </c>
      <c r="K390" s="2" t="str">
        <v>Electronics</v>
      </c>
      <c r="L390" s="2" t="str">
        <v>Green LLC</v>
      </c>
      <c r="M390" s="2">
        <v>140.08000000000001</v>
      </c>
      <c r="N390" s="16">
        <f t="shared" si="6"/>
        <v>0.13843060977941965</v>
      </c>
    </row>
    <row r="391" spans="2:14" ht="14.4" customHeight="1" x14ac:dyDescent="0.3">
      <c r="B391" s="2" t="s">
        <v>396</v>
      </c>
      <c r="C391" s="3">
        <v>45472</v>
      </c>
      <c r="D391" s="2" t="s">
        <v>2009</v>
      </c>
      <c r="E391" s="2" t="s">
        <v>2037</v>
      </c>
      <c r="F391" s="4">
        <v>1555.81</v>
      </c>
      <c r="G391" s="5">
        <v>898.16</v>
      </c>
      <c r="H391" s="6">
        <v>9</v>
      </c>
      <c r="I391" s="2" t="s">
        <v>2117</v>
      </c>
      <c r="J391" s="2" t="str">
        <v>Utilize Back-End Models</v>
      </c>
      <c r="K391" s="2" t="str">
        <v>Furniture</v>
      </c>
      <c r="L391" s="2" t="str">
        <v>Lewis-Holden</v>
      </c>
      <c r="M391" s="2">
        <v>241.53</v>
      </c>
      <c r="N391" s="16">
        <f t="shared" si="6"/>
        <v>0.57729414260096024</v>
      </c>
    </row>
    <row r="392" spans="2:14" ht="14.4" customHeight="1" x14ac:dyDescent="0.3">
      <c r="B392" s="2" t="s">
        <v>397</v>
      </c>
      <c r="C392" s="3">
        <v>43888</v>
      </c>
      <c r="D392" s="2" t="s">
        <v>2012</v>
      </c>
      <c r="E392" s="2" t="s">
        <v>2036</v>
      </c>
      <c r="F392" s="4">
        <v>3933.32</v>
      </c>
      <c r="G392" s="5">
        <v>824.55</v>
      </c>
      <c r="H392" s="6">
        <v>7</v>
      </c>
      <c r="I392" s="2" t="s">
        <v>2117</v>
      </c>
      <c r="J392" s="2" t="str">
        <v>Innovate Strategic Systems</v>
      </c>
      <c r="K392" s="2" t="str">
        <v>Office Supplies</v>
      </c>
      <c r="L392" s="2" t="str">
        <v>Mcfarland, Parker and Armstrong</v>
      </c>
      <c r="M392" s="2">
        <v>70.239999999999995</v>
      </c>
      <c r="N392" s="16">
        <f t="shared" si="6"/>
        <v>0.2096320665493781</v>
      </c>
    </row>
    <row r="393" spans="2:14" ht="14.4" customHeight="1" x14ac:dyDescent="0.3">
      <c r="B393" s="2" t="s">
        <v>398</v>
      </c>
      <c r="C393" s="3">
        <v>44574</v>
      </c>
      <c r="D393" s="2" t="s">
        <v>2009</v>
      </c>
      <c r="E393" s="2" t="s">
        <v>2067</v>
      </c>
      <c r="F393" s="4">
        <v>4020.18</v>
      </c>
      <c r="G393" s="5">
        <v>502.51</v>
      </c>
      <c r="H393" s="6">
        <v>13</v>
      </c>
      <c r="I393" s="2" t="s">
        <v>2116</v>
      </c>
      <c r="J393" s="2" t="str">
        <v>Transition Compelling Web-Readiness</v>
      </c>
      <c r="K393" s="2" t="str">
        <v>Furniture</v>
      </c>
      <c r="L393" s="2" t="str">
        <v>Wood-Beck</v>
      </c>
      <c r="M393" s="2">
        <v>88.34</v>
      </c>
      <c r="N393" s="16">
        <f t="shared" si="6"/>
        <v>0.12499689068648667</v>
      </c>
    </row>
    <row r="394" spans="2:14" ht="14.4" customHeight="1" x14ac:dyDescent="0.3">
      <c r="B394" s="2" t="s">
        <v>399</v>
      </c>
      <c r="C394" s="3">
        <v>44455</v>
      </c>
      <c r="D394" s="2" t="s">
        <v>2010</v>
      </c>
      <c r="E394" s="2" t="s">
        <v>2073</v>
      </c>
      <c r="F394" s="4">
        <v>1078.9100000000001</v>
      </c>
      <c r="G394" s="5">
        <v>59.07</v>
      </c>
      <c r="H394" s="6">
        <v>14</v>
      </c>
      <c r="I394" s="2" t="s">
        <v>2116</v>
      </c>
      <c r="J394" s="2" t="str">
        <v>Visualize Dynamic E-Commerce</v>
      </c>
      <c r="K394" s="2" t="str">
        <v>Furniture</v>
      </c>
      <c r="L394" s="2" t="str">
        <v>Jones LLC</v>
      </c>
      <c r="M394" s="2">
        <v>92.61</v>
      </c>
      <c r="N394" s="16">
        <f t="shared" si="6"/>
        <v>5.4749701087208384E-2</v>
      </c>
    </row>
    <row r="395" spans="2:14" ht="14.4" customHeight="1" x14ac:dyDescent="0.3">
      <c r="B395" s="2" t="s">
        <v>400</v>
      </c>
      <c r="C395" s="3">
        <v>45033</v>
      </c>
      <c r="D395" s="2" t="s">
        <v>2011</v>
      </c>
      <c r="E395" s="2" t="s">
        <v>2058</v>
      </c>
      <c r="F395" s="4">
        <v>4031.51</v>
      </c>
      <c r="G395" s="5">
        <v>18.34</v>
      </c>
      <c r="H395" s="6">
        <v>2</v>
      </c>
      <c r="I395" s="2" t="s">
        <v>2116</v>
      </c>
      <c r="J395" s="2" t="str">
        <v>Envisioneer B2C Web-Readiness</v>
      </c>
      <c r="K395" s="2" t="str">
        <v>Electronics</v>
      </c>
      <c r="L395" s="2" t="str">
        <v>Kemp Group</v>
      </c>
      <c r="M395" s="2">
        <v>97.23</v>
      </c>
      <c r="N395" s="16">
        <f t="shared" si="6"/>
        <v>4.5491639608980254E-3</v>
      </c>
    </row>
    <row r="396" spans="2:14" ht="14.4" customHeight="1" x14ac:dyDescent="0.3">
      <c r="B396" s="2" t="s">
        <v>401</v>
      </c>
      <c r="C396" s="3">
        <v>45032</v>
      </c>
      <c r="D396" s="2" t="s">
        <v>2011</v>
      </c>
      <c r="E396" s="2" t="s">
        <v>2082</v>
      </c>
      <c r="F396" s="4">
        <v>1219.55</v>
      </c>
      <c r="G396" s="5">
        <v>819.67</v>
      </c>
      <c r="H396" s="6">
        <v>8</v>
      </c>
      <c r="I396" s="2" t="s">
        <v>2118</v>
      </c>
      <c r="J396" s="2" t="str">
        <v>Re-Contextualize Viral Markets</v>
      </c>
      <c r="K396" s="2" t="str">
        <v>Electronics</v>
      </c>
      <c r="L396" s="2" t="str">
        <v>Meadows-Barber</v>
      </c>
      <c r="M396" s="2">
        <v>177.52</v>
      </c>
      <c r="N396" s="16">
        <f t="shared" si="6"/>
        <v>0.67210856463449631</v>
      </c>
    </row>
    <row r="397" spans="2:14" ht="14.4" customHeight="1" x14ac:dyDescent="0.3">
      <c r="B397" s="2" t="s">
        <v>402</v>
      </c>
      <c r="C397" s="3">
        <v>45212</v>
      </c>
      <c r="D397" s="2" t="s">
        <v>2009</v>
      </c>
      <c r="E397" s="2" t="s">
        <v>2064</v>
      </c>
      <c r="F397" s="4">
        <v>2657.65</v>
      </c>
      <c r="G397" s="5">
        <v>326.56</v>
      </c>
      <c r="H397" s="6">
        <v>20</v>
      </c>
      <c r="I397" s="2" t="s">
        <v>2118</v>
      </c>
      <c r="J397" s="2" t="str">
        <v>Synergize E-Business Deliverables</v>
      </c>
      <c r="K397" s="2" t="str">
        <v>Electronics</v>
      </c>
      <c r="L397" s="2" t="str">
        <v>Crawford, Warren and Williams</v>
      </c>
      <c r="M397" s="2">
        <v>125.93</v>
      </c>
      <c r="N397" s="16">
        <f t="shared" si="6"/>
        <v>0.12287547269203995</v>
      </c>
    </row>
    <row r="398" spans="2:14" ht="14.4" customHeight="1" x14ac:dyDescent="0.3">
      <c r="B398" s="2" t="s">
        <v>403</v>
      </c>
      <c r="C398" s="3">
        <v>44785</v>
      </c>
      <c r="D398" s="2" t="s">
        <v>2011</v>
      </c>
      <c r="E398" s="2" t="s">
        <v>2015</v>
      </c>
      <c r="F398" s="4">
        <v>527.46</v>
      </c>
      <c r="G398" s="5">
        <v>150.46</v>
      </c>
      <c r="H398" s="6">
        <v>9</v>
      </c>
      <c r="I398" s="2" t="s">
        <v>2117</v>
      </c>
      <c r="J398" s="2" t="str">
        <v>Brand Web-Enabled Solutions</v>
      </c>
      <c r="K398" s="2" t="str">
        <v>Electronics</v>
      </c>
      <c r="L398" s="2" t="str">
        <v>Russell Group</v>
      </c>
      <c r="M398" s="2">
        <v>51.67</v>
      </c>
      <c r="N398" s="16">
        <f t="shared" si="6"/>
        <v>0.28525385811246351</v>
      </c>
    </row>
    <row r="399" spans="2:14" ht="14.4" customHeight="1" x14ac:dyDescent="0.3">
      <c r="B399" s="2" t="s">
        <v>404</v>
      </c>
      <c r="C399" s="3">
        <v>44262</v>
      </c>
      <c r="D399" s="2" t="s">
        <v>2009</v>
      </c>
      <c r="E399" s="2" t="s">
        <v>2105</v>
      </c>
      <c r="F399" s="4">
        <v>2599.62</v>
      </c>
      <c r="G399" s="5">
        <v>342.69</v>
      </c>
      <c r="H399" s="6">
        <v>7</v>
      </c>
      <c r="I399" s="2" t="s">
        <v>2118</v>
      </c>
      <c r="J399" s="2" t="str">
        <v>Brand B2C Info-Mediaries</v>
      </c>
      <c r="K399" s="2" t="str">
        <v>Office Supplies</v>
      </c>
      <c r="L399" s="2" t="str">
        <v>Preston Ltd</v>
      </c>
      <c r="M399" s="2">
        <v>13.46</v>
      </c>
      <c r="N399" s="16">
        <f t="shared" si="6"/>
        <v>0.13182311260876589</v>
      </c>
    </row>
    <row r="400" spans="2:14" ht="14.4" customHeight="1" x14ac:dyDescent="0.3">
      <c r="B400" s="2" t="s">
        <v>405</v>
      </c>
      <c r="C400" s="3">
        <v>45199</v>
      </c>
      <c r="D400" s="2" t="s">
        <v>2011</v>
      </c>
      <c r="E400" s="2" t="s">
        <v>2043</v>
      </c>
      <c r="F400" s="4">
        <v>1916.38</v>
      </c>
      <c r="G400" s="5">
        <v>120.27</v>
      </c>
      <c r="H400" s="6">
        <v>13</v>
      </c>
      <c r="I400" s="2" t="s">
        <v>2116</v>
      </c>
      <c r="J400" s="2" t="str">
        <v>Brand Distributed Info-Mediaries</v>
      </c>
      <c r="K400" s="2" t="str">
        <v>Furniture</v>
      </c>
      <c r="L400" s="2" t="str">
        <v>Garcia Ltd</v>
      </c>
      <c r="M400" s="2">
        <v>114.48</v>
      </c>
      <c r="N400" s="16">
        <f t="shared" si="6"/>
        <v>6.2758951773656577E-2</v>
      </c>
    </row>
    <row r="401" spans="2:14" ht="14.4" customHeight="1" x14ac:dyDescent="0.3">
      <c r="B401" s="2" t="s">
        <v>406</v>
      </c>
      <c r="C401" s="3">
        <v>44247</v>
      </c>
      <c r="D401" s="2" t="s">
        <v>2010</v>
      </c>
      <c r="E401" s="2" t="s">
        <v>2040</v>
      </c>
      <c r="F401" s="4">
        <v>411.99</v>
      </c>
      <c r="G401" s="5">
        <v>39.07</v>
      </c>
      <c r="H401" s="6">
        <v>20</v>
      </c>
      <c r="I401" s="2" t="s">
        <v>2118</v>
      </c>
      <c r="J401" s="2" t="str">
        <v>Synergize End-To-End Supply-Chains</v>
      </c>
      <c r="K401" s="2" t="str">
        <v>Office Supplies</v>
      </c>
      <c r="L401" s="2" t="str">
        <v>Higgins-Espinoza</v>
      </c>
      <c r="M401" s="2">
        <v>279.8</v>
      </c>
      <c r="N401" s="16">
        <f t="shared" si="6"/>
        <v>9.4832398844632154E-2</v>
      </c>
    </row>
    <row r="402" spans="2:14" ht="14.4" customHeight="1" x14ac:dyDescent="0.3">
      <c r="B402" s="2" t="s">
        <v>407</v>
      </c>
      <c r="C402" s="3">
        <v>45222</v>
      </c>
      <c r="D402" s="2" t="s">
        <v>2009</v>
      </c>
      <c r="E402" s="2" t="s">
        <v>2065</v>
      </c>
      <c r="F402" s="4">
        <v>4779.7700000000004</v>
      </c>
      <c r="G402" s="5">
        <v>695.82</v>
      </c>
      <c r="H402" s="6">
        <v>2</v>
      </c>
      <c r="I402" s="2" t="s">
        <v>2116</v>
      </c>
      <c r="J402" s="2" t="str">
        <v>Re-Contextualize Integrated Info-Mediaries</v>
      </c>
      <c r="K402" s="2" t="str">
        <v>Electronics</v>
      </c>
      <c r="L402" s="2" t="str">
        <v>Jones-Schroeder</v>
      </c>
      <c r="M402" s="2">
        <v>26.02</v>
      </c>
      <c r="N402" s="16">
        <f t="shared" si="6"/>
        <v>0.14557604236187097</v>
      </c>
    </row>
    <row r="403" spans="2:14" ht="14.4" customHeight="1" x14ac:dyDescent="0.3">
      <c r="B403" s="2" t="s">
        <v>408</v>
      </c>
      <c r="C403" s="3">
        <v>44802</v>
      </c>
      <c r="D403" s="2" t="s">
        <v>2011</v>
      </c>
      <c r="E403" s="2" t="s">
        <v>2069</v>
      </c>
      <c r="F403" s="4">
        <v>3462.48</v>
      </c>
      <c r="G403" s="5">
        <v>861.17</v>
      </c>
      <c r="H403" s="6">
        <v>20</v>
      </c>
      <c r="I403" s="2" t="s">
        <v>2117</v>
      </c>
      <c r="J403" s="2" t="str">
        <v>Optimize Transparent E-Markets</v>
      </c>
      <c r="K403" s="2" t="str">
        <v>Office Supplies</v>
      </c>
      <c r="L403" s="2" t="str">
        <v>Lee, Tyler and Blevins</v>
      </c>
      <c r="M403" s="2">
        <v>111.22</v>
      </c>
      <c r="N403" s="16">
        <f t="shared" si="6"/>
        <v>0.24871479402047086</v>
      </c>
    </row>
    <row r="404" spans="2:14" ht="14.4" customHeight="1" x14ac:dyDescent="0.3">
      <c r="B404" s="2" t="s">
        <v>409</v>
      </c>
      <c r="C404" s="3">
        <v>44431</v>
      </c>
      <c r="D404" s="2" t="s">
        <v>2010</v>
      </c>
      <c r="E404" s="2" t="s">
        <v>2064</v>
      </c>
      <c r="F404" s="4">
        <v>4473.25</v>
      </c>
      <c r="G404" s="5">
        <v>983.68</v>
      </c>
      <c r="H404" s="6">
        <v>9</v>
      </c>
      <c r="I404" s="2" t="s">
        <v>2117</v>
      </c>
      <c r="J404" s="2" t="str">
        <v>Synergize E-Business Deliverables</v>
      </c>
      <c r="K404" s="2" t="str">
        <v>Electronics</v>
      </c>
      <c r="L404" s="2" t="str">
        <v>Crawford, Warren and Williams</v>
      </c>
      <c r="M404" s="2">
        <v>125.93</v>
      </c>
      <c r="N404" s="16">
        <f t="shared" si="6"/>
        <v>0.21990275526742301</v>
      </c>
    </row>
    <row r="405" spans="2:14" ht="14.4" customHeight="1" x14ac:dyDescent="0.3">
      <c r="B405" s="2" t="s">
        <v>410</v>
      </c>
      <c r="C405" s="3">
        <v>44831</v>
      </c>
      <c r="D405" s="2" t="s">
        <v>2012</v>
      </c>
      <c r="E405" s="2" t="s">
        <v>2067</v>
      </c>
      <c r="F405" s="4">
        <v>821.69</v>
      </c>
      <c r="G405" s="5">
        <v>994.37</v>
      </c>
      <c r="H405" s="6">
        <v>5</v>
      </c>
      <c r="I405" s="2" t="s">
        <v>2117</v>
      </c>
      <c r="J405" s="2" t="str">
        <v>Transition Compelling Web-Readiness</v>
      </c>
      <c r="K405" s="2" t="str">
        <v>Furniture</v>
      </c>
      <c r="L405" s="2" t="str">
        <v>Wood-Beck</v>
      </c>
      <c r="M405" s="2">
        <v>88.34</v>
      </c>
      <c r="N405" s="16">
        <f t="shared" si="6"/>
        <v>1.2101522471978483</v>
      </c>
    </row>
    <row r="406" spans="2:14" ht="14.4" customHeight="1" x14ac:dyDescent="0.3">
      <c r="B406" s="2" t="s">
        <v>411</v>
      </c>
      <c r="C406" s="3">
        <v>43845</v>
      </c>
      <c r="D406" s="2" t="s">
        <v>2012</v>
      </c>
      <c r="E406" s="2" t="s">
        <v>2087</v>
      </c>
      <c r="F406" s="4">
        <v>3362.75</v>
      </c>
      <c r="G406" s="5">
        <v>893.23</v>
      </c>
      <c r="H406" s="6">
        <v>17</v>
      </c>
      <c r="I406" s="2" t="s">
        <v>2118</v>
      </c>
      <c r="J406" s="2" t="str">
        <v>Empower Seamless Roi</v>
      </c>
      <c r="K406" s="2" t="str">
        <v>Office Supplies</v>
      </c>
      <c r="L406" s="2" t="str">
        <v>Proctor Group</v>
      </c>
      <c r="M406" s="2">
        <v>266.64999999999998</v>
      </c>
      <c r="N406" s="16">
        <f t="shared" si="6"/>
        <v>0.2656248606051595</v>
      </c>
    </row>
    <row r="407" spans="2:14" ht="14.4" customHeight="1" x14ac:dyDescent="0.3">
      <c r="B407" s="2" t="s">
        <v>412</v>
      </c>
      <c r="C407" s="3">
        <v>44525</v>
      </c>
      <c r="D407" s="2" t="s">
        <v>2010</v>
      </c>
      <c r="E407" s="2" t="s">
        <v>2094</v>
      </c>
      <c r="F407" s="4">
        <v>361.84</v>
      </c>
      <c r="G407" s="5">
        <v>462.02</v>
      </c>
      <c r="H407" s="6">
        <v>3</v>
      </c>
      <c r="I407" s="2" t="s">
        <v>2116</v>
      </c>
      <c r="J407" s="2" t="str">
        <v>Implement Rich Platforms</v>
      </c>
      <c r="K407" s="2" t="str">
        <v>Electronics</v>
      </c>
      <c r="L407" s="2" t="str">
        <v>Parker, Anderson and Salazar</v>
      </c>
      <c r="M407" s="2">
        <v>53.59</v>
      </c>
      <c r="N407" s="16">
        <f t="shared" si="6"/>
        <v>1.2768627017466283</v>
      </c>
    </row>
    <row r="408" spans="2:14" ht="14.4" customHeight="1" x14ac:dyDescent="0.3">
      <c r="B408" s="2" t="s">
        <v>413</v>
      </c>
      <c r="C408" s="3">
        <v>44802</v>
      </c>
      <c r="D408" s="2" t="s">
        <v>2009</v>
      </c>
      <c r="E408" s="2" t="s">
        <v>2103</v>
      </c>
      <c r="F408" s="4">
        <v>4125.25</v>
      </c>
      <c r="G408" s="5">
        <v>592.55999999999995</v>
      </c>
      <c r="H408" s="6">
        <v>14</v>
      </c>
      <c r="I408" s="2" t="s">
        <v>2117</v>
      </c>
      <c r="J408" s="2" t="str">
        <v>Benchmark Cross-Platform Markets</v>
      </c>
      <c r="K408" s="2" t="str">
        <v>Furniture</v>
      </c>
      <c r="L408" s="2" t="str">
        <v>Murphy, Mathews and Wilson</v>
      </c>
      <c r="M408" s="2">
        <v>78.88</v>
      </c>
      <c r="N408" s="16">
        <f t="shared" si="6"/>
        <v>0.14364220350281801</v>
      </c>
    </row>
    <row r="409" spans="2:14" ht="14.4" customHeight="1" x14ac:dyDescent="0.3">
      <c r="B409" s="2" t="s">
        <v>414</v>
      </c>
      <c r="C409" s="3">
        <v>43863</v>
      </c>
      <c r="D409" s="2" t="s">
        <v>2010</v>
      </c>
      <c r="E409" s="2" t="s">
        <v>2106</v>
      </c>
      <c r="F409" s="4">
        <v>558.03</v>
      </c>
      <c r="G409" s="5">
        <v>215.13</v>
      </c>
      <c r="H409" s="6">
        <v>14</v>
      </c>
      <c r="I409" s="2" t="s">
        <v>2117</v>
      </c>
      <c r="J409" s="2" t="str">
        <v>Scale Bleeding-Edge Schemas</v>
      </c>
      <c r="K409" s="2" t="str">
        <v>Electronics</v>
      </c>
      <c r="L409" s="2" t="str">
        <v>Frazier-Schneider</v>
      </c>
      <c r="M409" s="2">
        <v>54.8</v>
      </c>
      <c r="N409" s="16">
        <f t="shared" si="6"/>
        <v>0.38551690769313479</v>
      </c>
    </row>
    <row r="410" spans="2:14" ht="14.4" customHeight="1" x14ac:dyDescent="0.3">
      <c r="B410" s="2" t="s">
        <v>415</v>
      </c>
      <c r="C410" s="3">
        <v>44697</v>
      </c>
      <c r="D410" s="2" t="s">
        <v>2010</v>
      </c>
      <c r="E410" s="2" t="s">
        <v>2057</v>
      </c>
      <c r="F410" s="4">
        <v>762.39</v>
      </c>
      <c r="G410" s="5">
        <v>396.87</v>
      </c>
      <c r="H410" s="6">
        <v>20</v>
      </c>
      <c r="I410" s="2" t="s">
        <v>2117</v>
      </c>
      <c r="J410" s="2" t="str">
        <v>Reinvent Out-Of-The-Box Models</v>
      </c>
      <c r="K410" s="2" t="str">
        <v>Office Supplies</v>
      </c>
      <c r="L410" s="2" t="str">
        <v>Wagner-Curtis</v>
      </c>
      <c r="M410" s="2">
        <v>172.34</v>
      </c>
      <c r="N410" s="16">
        <f t="shared" si="6"/>
        <v>0.52056034313146815</v>
      </c>
    </row>
    <row r="411" spans="2:14" ht="14.4" customHeight="1" x14ac:dyDescent="0.3">
      <c r="B411" s="2" t="s">
        <v>416</v>
      </c>
      <c r="C411" s="3">
        <v>44148</v>
      </c>
      <c r="D411" s="2" t="s">
        <v>2011</v>
      </c>
      <c r="E411" s="2" t="s">
        <v>2070</v>
      </c>
      <c r="F411" s="4">
        <v>3232.91</v>
      </c>
      <c r="G411" s="5">
        <v>364.28</v>
      </c>
      <c r="H411" s="6">
        <v>1</v>
      </c>
      <c r="I411" s="2" t="s">
        <v>2116</v>
      </c>
      <c r="J411" s="2" t="str">
        <v>Seize Plug-And-Play Web-Readiness</v>
      </c>
      <c r="K411" s="2" t="str">
        <v>Electronics</v>
      </c>
      <c r="L411" s="2" t="str">
        <v>Joseph, Mayer and Carr</v>
      </c>
      <c r="M411" s="2">
        <v>102.73</v>
      </c>
      <c r="N411" s="16">
        <f t="shared" si="6"/>
        <v>0.11267867030013208</v>
      </c>
    </row>
    <row r="412" spans="2:14" ht="14.4" customHeight="1" x14ac:dyDescent="0.3">
      <c r="B412" s="2" t="s">
        <v>417</v>
      </c>
      <c r="C412" s="3">
        <v>44289</v>
      </c>
      <c r="D412" s="2" t="s">
        <v>2010</v>
      </c>
      <c r="E412" s="2" t="s">
        <v>2072</v>
      </c>
      <c r="F412" s="4">
        <v>2581.89</v>
      </c>
      <c r="G412" s="5">
        <v>521.19000000000005</v>
      </c>
      <c r="H412" s="6">
        <v>14</v>
      </c>
      <c r="I412" s="2" t="s">
        <v>2116</v>
      </c>
      <c r="J412" s="2" t="str">
        <v>Evolve Innovative Web Services</v>
      </c>
      <c r="K412" s="2" t="str">
        <v>Furniture</v>
      </c>
      <c r="L412" s="2" t="str">
        <v>Bush Inc</v>
      </c>
      <c r="M412" s="2">
        <v>87.75</v>
      </c>
      <c r="N412" s="16">
        <f t="shared" si="6"/>
        <v>0.20186375097312437</v>
      </c>
    </row>
    <row r="413" spans="2:14" ht="14.4" customHeight="1" x14ac:dyDescent="0.3">
      <c r="B413" s="2" t="s">
        <v>418</v>
      </c>
      <c r="C413" s="3">
        <v>44950</v>
      </c>
      <c r="D413" s="2" t="s">
        <v>2009</v>
      </c>
      <c r="E413" s="2" t="s">
        <v>2050</v>
      </c>
      <c r="F413" s="4">
        <v>1663.07</v>
      </c>
      <c r="G413" s="5">
        <v>207.78</v>
      </c>
      <c r="H413" s="6">
        <v>19</v>
      </c>
      <c r="I413" s="2" t="s">
        <v>2117</v>
      </c>
      <c r="J413" s="2" t="str">
        <v>Extend Bricks-And-Clicks Architectures</v>
      </c>
      <c r="K413" s="2" t="str">
        <v>Furniture</v>
      </c>
      <c r="L413" s="2" t="str">
        <v>Fuller PLC</v>
      </c>
      <c r="M413" s="2">
        <v>202.99</v>
      </c>
      <c r="N413" s="16">
        <f t="shared" si="6"/>
        <v>0.12493761537397705</v>
      </c>
    </row>
    <row r="414" spans="2:14" ht="14.4" customHeight="1" x14ac:dyDescent="0.3">
      <c r="B414" s="2" t="s">
        <v>419</v>
      </c>
      <c r="C414" s="3">
        <v>45501</v>
      </c>
      <c r="D414" s="2" t="s">
        <v>2011</v>
      </c>
      <c r="E414" s="2" t="s">
        <v>2067</v>
      </c>
      <c r="F414" s="4">
        <v>2062.08</v>
      </c>
      <c r="G414" s="5">
        <v>769.52</v>
      </c>
      <c r="H414" s="6">
        <v>16</v>
      </c>
      <c r="I414" s="2" t="s">
        <v>2118</v>
      </c>
      <c r="J414" s="2" t="str">
        <v>Transition Compelling Web-Readiness</v>
      </c>
      <c r="K414" s="2" t="str">
        <v>Furniture</v>
      </c>
      <c r="L414" s="2" t="str">
        <v>Wood-Beck</v>
      </c>
      <c r="M414" s="2">
        <v>88.34</v>
      </c>
      <c r="N414" s="16">
        <f t="shared" si="6"/>
        <v>0.37317659838609557</v>
      </c>
    </row>
    <row r="415" spans="2:14" ht="14.4" customHeight="1" x14ac:dyDescent="0.3">
      <c r="B415" s="2" t="s">
        <v>420</v>
      </c>
      <c r="C415" s="3">
        <v>44335</v>
      </c>
      <c r="D415" s="2" t="s">
        <v>2012</v>
      </c>
      <c r="E415" s="2" t="s">
        <v>2085</v>
      </c>
      <c r="F415" s="4">
        <v>2310.41</v>
      </c>
      <c r="G415" s="5">
        <v>911.48</v>
      </c>
      <c r="H415" s="6">
        <v>12</v>
      </c>
      <c r="I415" s="2" t="s">
        <v>2118</v>
      </c>
      <c r="J415" s="2" t="str">
        <v>Incentivize User-Centric Mindshare</v>
      </c>
      <c r="K415" s="2" t="str">
        <v>Electronics</v>
      </c>
      <c r="L415" s="2" t="str">
        <v>Becker, Wright and Wong</v>
      </c>
      <c r="M415" s="2">
        <v>38.51</v>
      </c>
      <c r="N415" s="16">
        <f t="shared" si="6"/>
        <v>0.39451006531308297</v>
      </c>
    </row>
    <row r="416" spans="2:14" ht="14.4" customHeight="1" x14ac:dyDescent="0.3">
      <c r="B416" s="2" t="s">
        <v>421</v>
      </c>
      <c r="C416" s="3">
        <v>44555</v>
      </c>
      <c r="D416" s="2" t="s">
        <v>2011</v>
      </c>
      <c r="E416" s="2" t="s">
        <v>2047</v>
      </c>
      <c r="F416" s="4">
        <v>2467.84</v>
      </c>
      <c r="G416" s="5">
        <v>208.08</v>
      </c>
      <c r="H416" s="6">
        <v>13</v>
      </c>
      <c r="I416" s="2" t="s">
        <v>2117</v>
      </c>
      <c r="J416" s="2" t="str">
        <v>Transform Holistic Functionalities</v>
      </c>
      <c r="K416" s="2" t="str">
        <v>Office Supplies</v>
      </c>
      <c r="L416" s="2" t="str">
        <v>Ruiz Ltd</v>
      </c>
      <c r="M416" s="2">
        <v>179.27</v>
      </c>
      <c r="N416" s="16">
        <f t="shared" si="6"/>
        <v>8.4316649377593367E-2</v>
      </c>
    </row>
    <row r="417" spans="2:14" ht="14.4" customHeight="1" x14ac:dyDescent="0.3">
      <c r="B417" s="2" t="s">
        <v>422</v>
      </c>
      <c r="C417" s="3">
        <v>43959</v>
      </c>
      <c r="D417" s="2" t="s">
        <v>2009</v>
      </c>
      <c r="E417" s="2" t="s">
        <v>2016</v>
      </c>
      <c r="F417" s="4">
        <v>4284.66</v>
      </c>
      <c r="G417" s="5">
        <v>492.9</v>
      </c>
      <c r="H417" s="6">
        <v>11</v>
      </c>
      <c r="I417" s="2" t="s">
        <v>2118</v>
      </c>
      <c r="J417" s="2" t="str">
        <v>Revolutionize Efficient Niches</v>
      </c>
      <c r="K417" s="2" t="str">
        <v>Electronics</v>
      </c>
      <c r="L417" s="2" t="str">
        <v>Lopez-Torres</v>
      </c>
      <c r="M417" s="2">
        <v>23.02</v>
      </c>
      <c r="N417" s="16">
        <f t="shared" si="6"/>
        <v>0.11503829942165773</v>
      </c>
    </row>
    <row r="418" spans="2:14" ht="14.4" customHeight="1" x14ac:dyDescent="0.3">
      <c r="B418" s="2" t="s">
        <v>423</v>
      </c>
      <c r="C418" s="3">
        <v>45594</v>
      </c>
      <c r="D418" s="2" t="s">
        <v>2012</v>
      </c>
      <c r="E418" s="2" t="s">
        <v>2066</v>
      </c>
      <c r="F418" s="4">
        <v>53.95</v>
      </c>
      <c r="G418" s="5">
        <v>597</v>
      </c>
      <c r="H418" s="6">
        <v>8</v>
      </c>
      <c r="I418" s="2" t="s">
        <v>2116</v>
      </c>
      <c r="J418" s="2" t="str">
        <v>Facilitate Integrated E-Business</v>
      </c>
      <c r="K418" s="2" t="str">
        <v>Office Supplies</v>
      </c>
      <c r="L418" s="2" t="str">
        <v>Chang-Vargas</v>
      </c>
      <c r="M418" s="2">
        <v>130.33000000000001</v>
      </c>
      <c r="N418" s="16">
        <f t="shared" si="6"/>
        <v>11.065801668211305</v>
      </c>
    </row>
    <row r="419" spans="2:14" ht="14.4" customHeight="1" x14ac:dyDescent="0.3">
      <c r="B419" s="2" t="s">
        <v>424</v>
      </c>
      <c r="C419" s="3">
        <v>44145</v>
      </c>
      <c r="D419" s="2" t="s">
        <v>2012</v>
      </c>
      <c r="E419" s="2" t="s">
        <v>2033</v>
      </c>
      <c r="F419" s="4">
        <v>292.31</v>
      </c>
      <c r="G419" s="5">
        <v>720.54</v>
      </c>
      <c r="H419" s="6">
        <v>16</v>
      </c>
      <c r="I419" s="2" t="s">
        <v>2118</v>
      </c>
      <c r="J419" s="2" t="str">
        <v>Leverage Rich Portals</v>
      </c>
      <c r="K419" s="2" t="str">
        <v>Office Supplies</v>
      </c>
      <c r="L419" s="2" t="str">
        <v>Wilson PLC</v>
      </c>
      <c r="M419" s="2">
        <v>46.35</v>
      </c>
      <c r="N419" s="16">
        <f t="shared" si="6"/>
        <v>2.4649858027436622</v>
      </c>
    </row>
    <row r="420" spans="2:14" ht="14.4" customHeight="1" x14ac:dyDescent="0.3">
      <c r="B420" s="2" t="s">
        <v>425</v>
      </c>
      <c r="C420" s="3">
        <v>43947</v>
      </c>
      <c r="D420" s="2" t="s">
        <v>2011</v>
      </c>
      <c r="E420" s="2" t="s">
        <v>2068</v>
      </c>
      <c r="F420" s="4">
        <v>2154.9899999999998</v>
      </c>
      <c r="G420" s="5">
        <v>938.7</v>
      </c>
      <c r="H420" s="6">
        <v>5</v>
      </c>
      <c r="I420" s="2" t="s">
        <v>2117</v>
      </c>
      <c r="J420" s="2" t="str">
        <v>E-Enable Virtual Methodologies</v>
      </c>
      <c r="K420" s="2" t="str">
        <v>Office Supplies</v>
      </c>
      <c r="L420" s="2" t="str">
        <v>Floyd-Love</v>
      </c>
      <c r="M420" s="2">
        <v>283.64999999999998</v>
      </c>
      <c r="N420" s="16">
        <f t="shared" si="6"/>
        <v>0.43559366864811444</v>
      </c>
    </row>
    <row r="421" spans="2:14" ht="14.4" customHeight="1" x14ac:dyDescent="0.3">
      <c r="B421" s="2" t="s">
        <v>426</v>
      </c>
      <c r="C421" s="3">
        <v>45079</v>
      </c>
      <c r="D421" s="2" t="s">
        <v>2012</v>
      </c>
      <c r="E421" s="2" t="s">
        <v>2032</v>
      </c>
      <c r="F421" s="4">
        <v>3395.75</v>
      </c>
      <c r="G421" s="5">
        <v>210.46</v>
      </c>
      <c r="H421" s="6">
        <v>2</v>
      </c>
      <c r="I421" s="2" t="s">
        <v>2118</v>
      </c>
      <c r="J421" s="2" t="str">
        <v>Reinvent Frictionless Roi</v>
      </c>
      <c r="K421" s="2" t="str">
        <v>Furniture</v>
      </c>
      <c r="L421" s="2" t="str">
        <v>Bridges, Castillo and Rodriguez</v>
      </c>
      <c r="M421" s="2">
        <v>253.89</v>
      </c>
      <c r="N421" s="16">
        <f t="shared" si="6"/>
        <v>6.197747183979975E-2</v>
      </c>
    </row>
    <row r="422" spans="2:14" ht="14.4" customHeight="1" x14ac:dyDescent="0.3">
      <c r="B422" s="2" t="s">
        <v>427</v>
      </c>
      <c r="C422" s="3">
        <v>44004</v>
      </c>
      <c r="D422" s="2" t="s">
        <v>2012</v>
      </c>
      <c r="E422" s="2" t="s">
        <v>2092</v>
      </c>
      <c r="F422" s="4">
        <v>4666.78</v>
      </c>
      <c r="G422" s="5">
        <v>935.66</v>
      </c>
      <c r="H422" s="6">
        <v>16</v>
      </c>
      <c r="I422" s="2" t="s">
        <v>2116</v>
      </c>
      <c r="J422" s="2" t="str">
        <v>Seize Clicks-And-Mortar Platforms</v>
      </c>
      <c r="K422" s="2" t="str">
        <v>Office Supplies</v>
      </c>
      <c r="L422" s="2" t="str">
        <v>Owens, Campos and Wood</v>
      </c>
      <c r="M422" s="2">
        <v>271.16000000000003</v>
      </c>
      <c r="N422" s="16">
        <f t="shared" si="6"/>
        <v>0.20049370229580138</v>
      </c>
    </row>
    <row r="423" spans="2:14" ht="14.4" customHeight="1" x14ac:dyDescent="0.3">
      <c r="B423" s="2" t="s">
        <v>428</v>
      </c>
      <c r="C423" s="3">
        <v>44450</v>
      </c>
      <c r="D423" s="2" t="s">
        <v>2012</v>
      </c>
      <c r="E423" s="2" t="s">
        <v>2056</v>
      </c>
      <c r="F423" s="4">
        <v>737.76</v>
      </c>
      <c r="G423" s="5">
        <v>749.95</v>
      </c>
      <c r="H423" s="6">
        <v>12</v>
      </c>
      <c r="I423" s="2" t="s">
        <v>2118</v>
      </c>
      <c r="J423" s="2" t="str">
        <v>Mesh Intuitive Supply-Chains</v>
      </c>
      <c r="K423" s="2" t="str">
        <v>Electronics</v>
      </c>
      <c r="L423" s="2" t="str">
        <v>Soto, Barnett and Heath</v>
      </c>
      <c r="M423" s="2">
        <v>281</v>
      </c>
      <c r="N423" s="16">
        <f t="shared" si="6"/>
        <v>1.0165229885057472</v>
      </c>
    </row>
    <row r="424" spans="2:14" ht="14.4" customHeight="1" x14ac:dyDescent="0.3">
      <c r="B424" s="2" t="s">
        <v>429</v>
      </c>
      <c r="C424" s="3">
        <v>45476</v>
      </c>
      <c r="D424" s="2" t="s">
        <v>2011</v>
      </c>
      <c r="E424" s="2" t="s">
        <v>2080</v>
      </c>
      <c r="F424" s="4">
        <v>514.54</v>
      </c>
      <c r="G424" s="5">
        <v>770.52</v>
      </c>
      <c r="H424" s="6">
        <v>17</v>
      </c>
      <c r="I424" s="2" t="s">
        <v>2117</v>
      </c>
      <c r="J424" s="2" t="str">
        <v>Scale Vertical Networks</v>
      </c>
      <c r="K424" s="2" t="str">
        <v>Furniture</v>
      </c>
      <c r="L424" s="2" t="str">
        <v>Lam, Wood and Jacobs</v>
      </c>
      <c r="M424" s="2">
        <v>133.24</v>
      </c>
      <c r="N424" s="16">
        <f t="shared" si="6"/>
        <v>1.4974929062852258</v>
      </c>
    </row>
    <row r="425" spans="2:14" ht="14.4" customHeight="1" x14ac:dyDescent="0.3">
      <c r="B425" s="2" t="s">
        <v>430</v>
      </c>
      <c r="C425" s="3">
        <v>44032</v>
      </c>
      <c r="D425" s="2" t="s">
        <v>2009</v>
      </c>
      <c r="E425" s="2" t="s">
        <v>2066</v>
      </c>
      <c r="F425" s="4">
        <v>1329.04</v>
      </c>
      <c r="G425" s="5">
        <v>153.52000000000001</v>
      </c>
      <c r="H425" s="6">
        <v>15</v>
      </c>
      <c r="I425" s="2" t="s">
        <v>2118</v>
      </c>
      <c r="J425" s="2" t="str">
        <v>Facilitate Integrated E-Business</v>
      </c>
      <c r="K425" s="2" t="str">
        <v>Office Supplies</v>
      </c>
      <c r="L425" s="2" t="str">
        <v>Chang-Vargas</v>
      </c>
      <c r="M425" s="2">
        <v>130.33000000000001</v>
      </c>
      <c r="N425" s="16">
        <f t="shared" si="6"/>
        <v>0.11551194847408656</v>
      </c>
    </row>
    <row r="426" spans="2:14" ht="14.4" customHeight="1" x14ac:dyDescent="0.3">
      <c r="B426" s="2" t="s">
        <v>431</v>
      </c>
      <c r="C426" s="3">
        <v>44073</v>
      </c>
      <c r="D426" s="2" t="s">
        <v>2009</v>
      </c>
      <c r="E426" s="2" t="s">
        <v>2108</v>
      </c>
      <c r="F426" s="4">
        <v>2836.21</v>
      </c>
      <c r="G426" s="5">
        <v>283.31</v>
      </c>
      <c r="H426" s="6">
        <v>17</v>
      </c>
      <c r="I426" s="2" t="s">
        <v>2117</v>
      </c>
      <c r="J426" s="2" t="str">
        <v>Whiteboard B2B Content</v>
      </c>
      <c r="K426" s="2" t="str">
        <v>Office Supplies</v>
      </c>
      <c r="L426" s="2" t="str">
        <v>Romero PLC</v>
      </c>
      <c r="M426" s="2">
        <v>93.81</v>
      </c>
      <c r="N426" s="16">
        <f t="shared" si="6"/>
        <v>9.9890346624544726E-2</v>
      </c>
    </row>
    <row r="427" spans="2:14" ht="14.4" customHeight="1" x14ac:dyDescent="0.3">
      <c r="B427" s="2" t="s">
        <v>432</v>
      </c>
      <c r="C427" s="3">
        <v>45073</v>
      </c>
      <c r="D427" s="2" t="s">
        <v>2010</v>
      </c>
      <c r="E427" s="2" t="s">
        <v>2077</v>
      </c>
      <c r="F427" s="4">
        <v>2973.71</v>
      </c>
      <c r="G427" s="5">
        <v>721.17</v>
      </c>
      <c r="H427" s="6">
        <v>8</v>
      </c>
      <c r="I427" s="2" t="s">
        <v>2117</v>
      </c>
      <c r="J427" s="2" t="str">
        <v>Synthesize Wireless Initiatives</v>
      </c>
      <c r="K427" s="2" t="str">
        <v>Electronics</v>
      </c>
      <c r="L427" s="2" t="str">
        <v>Mosley Ltd</v>
      </c>
      <c r="M427" s="2">
        <v>162.69999999999999</v>
      </c>
      <c r="N427" s="16">
        <f t="shared" si="6"/>
        <v>0.2425152419032118</v>
      </c>
    </row>
    <row r="428" spans="2:14" ht="14.4" customHeight="1" x14ac:dyDescent="0.3">
      <c r="B428" s="2" t="s">
        <v>433</v>
      </c>
      <c r="C428" s="3">
        <v>44506</v>
      </c>
      <c r="D428" s="2" t="s">
        <v>2012</v>
      </c>
      <c r="E428" s="2" t="s">
        <v>2057</v>
      </c>
      <c r="F428" s="4">
        <v>805.17</v>
      </c>
      <c r="G428" s="5">
        <v>166.13</v>
      </c>
      <c r="H428" s="6">
        <v>5</v>
      </c>
      <c r="I428" s="2" t="s">
        <v>2117</v>
      </c>
      <c r="J428" s="2" t="str">
        <v>Reinvent Out-Of-The-Box Models</v>
      </c>
      <c r="K428" s="2" t="str">
        <v>Office Supplies</v>
      </c>
      <c r="L428" s="2" t="str">
        <v>Wagner-Curtis</v>
      </c>
      <c r="M428" s="2">
        <v>172.34</v>
      </c>
      <c r="N428" s="16">
        <f t="shared" si="6"/>
        <v>0.20632909820286399</v>
      </c>
    </row>
    <row r="429" spans="2:14" ht="14.4" customHeight="1" x14ac:dyDescent="0.3">
      <c r="B429" s="2" t="s">
        <v>434</v>
      </c>
      <c r="C429" s="3">
        <v>44727</v>
      </c>
      <c r="D429" s="2" t="s">
        <v>2009</v>
      </c>
      <c r="E429" s="2" t="s">
        <v>2052</v>
      </c>
      <c r="F429" s="4">
        <v>3137.47</v>
      </c>
      <c r="G429" s="5">
        <v>676.34</v>
      </c>
      <c r="H429" s="6">
        <v>19</v>
      </c>
      <c r="I429" s="2" t="s">
        <v>2117</v>
      </c>
      <c r="J429" s="2" t="str">
        <v>Innovate Sticky Web Services</v>
      </c>
      <c r="K429" s="2" t="str">
        <v>Electronics</v>
      </c>
      <c r="L429" s="2" t="str">
        <v>Friedman, Sanders and Adams</v>
      </c>
      <c r="M429" s="2">
        <v>125.85</v>
      </c>
      <c r="N429" s="16">
        <f t="shared" si="6"/>
        <v>0.21556859507819998</v>
      </c>
    </row>
    <row r="430" spans="2:14" ht="14.4" customHeight="1" x14ac:dyDescent="0.3">
      <c r="B430" s="2" t="s">
        <v>435</v>
      </c>
      <c r="C430" s="3">
        <v>44379</v>
      </c>
      <c r="D430" s="2" t="s">
        <v>2012</v>
      </c>
      <c r="E430" s="2" t="s">
        <v>2031</v>
      </c>
      <c r="F430" s="4">
        <v>462.02</v>
      </c>
      <c r="G430" s="5">
        <v>859.87</v>
      </c>
      <c r="H430" s="6">
        <v>19</v>
      </c>
      <c r="I430" s="2" t="s">
        <v>2117</v>
      </c>
      <c r="J430" s="2" t="str">
        <v>Embrace 24/365 Functionalities</v>
      </c>
      <c r="K430" s="2" t="str">
        <v>Office Supplies</v>
      </c>
      <c r="L430" s="2" t="str">
        <v>Smith LLC</v>
      </c>
      <c r="M430" s="2">
        <v>204.04</v>
      </c>
      <c r="N430" s="16">
        <f t="shared" si="6"/>
        <v>1.8611099086619627</v>
      </c>
    </row>
    <row r="431" spans="2:14" ht="14.4" customHeight="1" x14ac:dyDescent="0.3">
      <c r="B431" s="2" t="s">
        <v>436</v>
      </c>
      <c r="C431" s="3">
        <v>43992</v>
      </c>
      <c r="D431" s="2" t="s">
        <v>2011</v>
      </c>
      <c r="E431" s="2" t="s">
        <v>2052</v>
      </c>
      <c r="F431" s="4">
        <v>701.07</v>
      </c>
      <c r="G431" s="5">
        <v>50.86</v>
      </c>
      <c r="H431" s="6">
        <v>4</v>
      </c>
      <c r="I431" s="2" t="s">
        <v>2117</v>
      </c>
      <c r="J431" s="2" t="str">
        <v>Innovate Sticky Web Services</v>
      </c>
      <c r="K431" s="2" t="str">
        <v>Electronics</v>
      </c>
      <c r="L431" s="2" t="str">
        <v>Friedman, Sanders and Adams</v>
      </c>
      <c r="M431" s="2">
        <v>125.85</v>
      </c>
      <c r="N431" s="16">
        <f t="shared" si="6"/>
        <v>7.2546250731025427E-2</v>
      </c>
    </row>
    <row r="432" spans="2:14" ht="14.4" customHeight="1" x14ac:dyDescent="0.3">
      <c r="B432" s="2" t="s">
        <v>437</v>
      </c>
      <c r="C432" s="3">
        <v>44618</v>
      </c>
      <c r="D432" s="2" t="s">
        <v>2011</v>
      </c>
      <c r="E432" s="2" t="s">
        <v>2044</v>
      </c>
      <c r="F432" s="4">
        <v>3613.08</v>
      </c>
      <c r="G432" s="5">
        <v>994.38</v>
      </c>
      <c r="H432" s="6">
        <v>19</v>
      </c>
      <c r="I432" s="2" t="s">
        <v>2116</v>
      </c>
      <c r="J432" s="2" t="str">
        <v>Grow Back-End Supply-Chains</v>
      </c>
      <c r="K432" s="2" t="str">
        <v>Electronics</v>
      </c>
      <c r="L432" s="2" t="str">
        <v>Green LLC</v>
      </c>
      <c r="M432" s="2">
        <v>140.08000000000001</v>
      </c>
      <c r="N432" s="16">
        <f t="shared" si="6"/>
        <v>0.27521671261084724</v>
      </c>
    </row>
    <row r="433" spans="2:14" ht="14.4" customHeight="1" x14ac:dyDescent="0.3">
      <c r="B433" s="2" t="s">
        <v>438</v>
      </c>
      <c r="C433" s="3">
        <v>45470</v>
      </c>
      <c r="D433" s="2" t="s">
        <v>2011</v>
      </c>
      <c r="E433" s="2" t="s">
        <v>2034</v>
      </c>
      <c r="F433" s="4">
        <v>1025.29</v>
      </c>
      <c r="G433" s="5">
        <v>676.99</v>
      </c>
      <c r="H433" s="6">
        <v>5</v>
      </c>
      <c r="I433" s="2" t="s">
        <v>2116</v>
      </c>
      <c r="J433" s="2" t="str">
        <v>Utilize Virtual Partnerships</v>
      </c>
      <c r="K433" s="2" t="str">
        <v>Furniture</v>
      </c>
      <c r="L433" s="2" t="str">
        <v>Smith, Diaz and Heath</v>
      </c>
      <c r="M433" s="2">
        <v>193.02</v>
      </c>
      <c r="N433" s="16">
        <f t="shared" si="6"/>
        <v>0.66029123467506756</v>
      </c>
    </row>
    <row r="434" spans="2:14" ht="14.4" customHeight="1" x14ac:dyDescent="0.3">
      <c r="B434" s="2" t="s">
        <v>439</v>
      </c>
      <c r="C434" s="3">
        <v>45573</v>
      </c>
      <c r="D434" s="2" t="s">
        <v>2012</v>
      </c>
      <c r="E434" s="2" t="s">
        <v>2065</v>
      </c>
      <c r="F434" s="4">
        <v>1631.34</v>
      </c>
      <c r="G434" s="5">
        <v>676.88</v>
      </c>
      <c r="H434" s="6">
        <v>6</v>
      </c>
      <c r="I434" s="2" t="s">
        <v>2118</v>
      </c>
      <c r="J434" s="2" t="str">
        <v>Re-Contextualize Integrated Info-Mediaries</v>
      </c>
      <c r="K434" s="2" t="str">
        <v>Electronics</v>
      </c>
      <c r="L434" s="2" t="str">
        <v>Jones-Schroeder</v>
      </c>
      <c r="M434" s="2">
        <v>26.02</v>
      </c>
      <c r="N434" s="16">
        <f t="shared" si="6"/>
        <v>0.41492270158274797</v>
      </c>
    </row>
    <row r="435" spans="2:14" ht="14.4" customHeight="1" x14ac:dyDescent="0.3">
      <c r="B435" s="2" t="s">
        <v>440</v>
      </c>
      <c r="C435" s="3">
        <v>44901</v>
      </c>
      <c r="D435" s="2" t="s">
        <v>2011</v>
      </c>
      <c r="E435" s="2" t="s">
        <v>2044</v>
      </c>
      <c r="F435" s="4">
        <v>1394.39</v>
      </c>
      <c r="G435" s="5">
        <v>451.58</v>
      </c>
      <c r="H435" s="6">
        <v>16</v>
      </c>
      <c r="I435" s="2" t="s">
        <v>2118</v>
      </c>
      <c r="J435" s="2" t="str">
        <v>Grow Back-End Supply-Chains</v>
      </c>
      <c r="K435" s="2" t="str">
        <v>Electronics</v>
      </c>
      <c r="L435" s="2" t="str">
        <v>Green LLC</v>
      </c>
      <c r="M435" s="2">
        <v>140.08000000000001</v>
      </c>
      <c r="N435" s="16">
        <f t="shared" si="6"/>
        <v>0.32385487560868909</v>
      </c>
    </row>
    <row r="436" spans="2:14" ht="14.4" customHeight="1" x14ac:dyDescent="0.3">
      <c r="B436" s="2" t="s">
        <v>441</v>
      </c>
      <c r="C436" s="3">
        <v>45558</v>
      </c>
      <c r="D436" s="2" t="s">
        <v>2010</v>
      </c>
      <c r="E436" s="2" t="s">
        <v>2074</v>
      </c>
      <c r="F436" s="4">
        <v>4780.47</v>
      </c>
      <c r="G436" s="5">
        <v>793.72</v>
      </c>
      <c r="H436" s="6">
        <v>9</v>
      </c>
      <c r="I436" s="2" t="s">
        <v>2116</v>
      </c>
      <c r="J436" s="2" t="str">
        <v>Utilize Ubiquitous Synergies</v>
      </c>
      <c r="K436" s="2" t="str">
        <v>Electronics</v>
      </c>
      <c r="L436" s="2" t="str">
        <v>Kramer, Huang and Shaw</v>
      </c>
      <c r="M436" s="2">
        <v>295.89999999999998</v>
      </c>
      <c r="N436" s="16">
        <f t="shared" si="6"/>
        <v>0.16603388369762806</v>
      </c>
    </row>
    <row r="437" spans="2:14" ht="14.4" customHeight="1" x14ac:dyDescent="0.3">
      <c r="B437" s="2" t="s">
        <v>442</v>
      </c>
      <c r="C437" s="3">
        <v>44204</v>
      </c>
      <c r="D437" s="2" t="s">
        <v>2012</v>
      </c>
      <c r="E437" s="2" t="s">
        <v>2027</v>
      </c>
      <c r="F437" s="4">
        <v>2836.38</v>
      </c>
      <c r="G437" s="5">
        <v>530.95000000000005</v>
      </c>
      <c r="H437" s="6">
        <v>12</v>
      </c>
      <c r="I437" s="2" t="s">
        <v>2116</v>
      </c>
      <c r="J437" s="2" t="str">
        <v>Monetize Value-Added Niches</v>
      </c>
      <c r="K437" s="2" t="str">
        <v>Office Supplies</v>
      </c>
      <c r="L437" s="2" t="str">
        <v>Foster, Velazquez and Lee</v>
      </c>
      <c r="M437" s="2">
        <v>171.51</v>
      </c>
      <c r="N437" s="16">
        <f t="shared" si="6"/>
        <v>0.18719283029777392</v>
      </c>
    </row>
    <row r="438" spans="2:14" ht="14.4" customHeight="1" x14ac:dyDescent="0.3">
      <c r="B438" s="2" t="s">
        <v>443</v>
      </c>
      <c r="C438" s="3">
        <v>45151</v>
      </c>
      <c r="D438" s="2" t="s">
        <v>2011</v>
      </c>
      <c r="E438" s="2" t="s">
        <v>2041</v>
      </c>
      <c r="F438" s="4">
        <v>973.55</v>
      </c>
      <c r="G438" s="5">
        <v>621.22</v>
      </c>
      <c r="H438" s="6">
        <v>8</v>
      </c>
      <c r="I438" s="2" t="s">
        <v>2117</v>
      </c>
      <c r="J438" s="2" t="str">
        <v>Expedite Synergistic Web-Readiness</v>
      </c>
      <c r="K438" s="2" t="str">
        <v>Electronics</v>
      </c>
      <c r="L438" s="2" t="str">
        <v>Dunlap, Carpenter and Monroe</v>
      </c>
      <c r="M438" s="2">
        <v>289.66000000000003</v>
      </c>
      <c r="N438" s="16">
        <f t="shared" si="6"/>
        <v>0.63809768373478515</v>
      </c>
    </row>
    <row r="439" spans="2:14" ht="14.4" customHeight="1" x14ac:dyDescent="0.3">
      <c r="B439" s="2" t="s">
        <v>444</v>
      </c>
      <c r="C439" s="3">
        <v>44670</v>
      </c>
      <c r="D439" s="2" t="s">
        <v>2012</v>
      </c>
      <c r="E439" s="2" t="s">
        <v>2031</v>
      </c>
      <c r="F439" s="4">
        <v>2061.88</v>
      </c>
      <c r="G439" s="5">
        <v>149.5</v>
      </c>
      <c r="H439" s="6">
        <v>5</v>
      </c>
      <c r="I439" s="2" t="s">
        <v>2118</v>
      </c>
      <c r="J439" s="2" t="str">
        <v>Embrace 24/365 Functionalities</v>
      </c>
      <c r="K439" s="2" t="str">
        <v>Office Supplies</v>
      </c>
      <c r="L439" s="2" t="str">
        <v>Smith LLC</v>
      </c>
      <c r="M439" s="2">
        <v>204.04</v>
      </c>
      <c r="N439" s="16">
        <f t="shared" si="6"/>
        <v>7.2506644421595823E-2</v>
      </c>
    </row>
    <row r="440" spans="2:14" ht="14.4" customHeight="1" x14ac:dyDescent="0.3">
      <c r="B440" s="2" t="s">
        <v>445</v>
      </c>
      <c r="C440" s="3">
        <v>45387</v>
      </c>
      <c r="D440" s="2" t="s">
        <v>2010</v>
      </c>
      <c r="E440" s="2" t="s">
        <v>2078</v>
      </c>
      <c r="F440" s="4">
        <v>839.55</v>
      </c>
      <c r="G440" s="5">
        <v>521.67999999999995</v>
      </c>
      <c r="H440" s="6">
        <v>6</v>
      </c>
      <c r="I440" s="2" t="s">
        <v>2116</v>
      </c>
      <c r="J440" s="2" t="str">
        <v>Strategize E-Business Content</v>
      </c>
      <c r="K440" s="2" t="str">
        <v>Electronics</v>
      </c>
      <c r="L440" s="2" t="str">
        <v>Patterson LLC</v>
      </c>
      <c r="M440" s="2">
        <v>294.02</v>
      </c>
      <c r="N440" s="16">
        <f t="shared" si="6"/>
        <v>0.62138050145911494</v>
      </c>
    </row>
    <row r="441" spans="2:14" ht="14.4" customHeight="1" x14ac:dyDescent="0.3">
      <c r="B441" s="2" t="s">
        <v>446</v>
      </c>
      <c r="C441" s="3">
        <v>44404</v>
      </c>
      <c r="D441" s="2" t="s">
        <v>2011</v>
      </c>
      <c r="E441" s="2" t="s">
        <v>2055</v>
      </c>
      <c r="F441" s="4">
        <v>2718.55</v>
      </c>
      <c r="G441" s="5">
        <v>575.29999999999995</v>
      </c>
      <c r="H441" s="6">
        <v>10</v>
      </c>
      <c r="I441" s="2" t="s">
        <v>2116</v>
      </c>
      <c r="J441" s="2" t="str">
        <v>Engineer Real-Time Architectures</v>
      </c>
      <c r="K441" s="2" t="str">
        <v>Furniture</v>
      </c>
      <c r="L441" s="2" t="str">
        <v>James and Sons</v>
      </c>
      <c r="M441" s="2">
        <v>127.23</v>
      </c>
      <c r="N441" s="16">
        <f t="shared" si="6"/>
        <v>0.21162016516157509</v>
      </c>
    </row>
    <row r="442" spans="2:14" ht="14.4" customHeight="1" x14ac:dyDescent="0.3">
      <c r="B442" s="2" t="s">
        <v>447</v>
      </c>
      <c r="C442" s="3">
        <v>45122</v>
      </c>
      <c r="D442" s="2" t="s">
        <v>2009</v>
      </c>
      <c r="E442" s="2" t="s">
        <v>2078</v>
      </c>
      <c r="F442" s="4">
        <v>4855.71</v>
      </c>
      <c r="G442" s="5">
        <v>820.77</v>
      </c>
      <c r="H442" s="6">
        <v>18</v>
      </c>
      <c r="I442" s="2" t="s">
        <v>2117</v>
      </c>
      <c r="J442" s="2" t="str">
        <v>Strategize E-Business Content</v>
      </c>
      <c r="K442" s="2" t="str">
        <v>Electronics</v>
      </c>
      <c r="L442" s="2" t="str">
        <v>Patterson LLC</v>
      </c>
      <c r="M442" s="2">
        <v>294.02</v>
      </c>
      <c r="N442" s="16">
        <f t="shared" si="6"/>
        <v>0.16903192324088548</v>
      </c>
    </row>
    <row r="443" spans="2:14" ht="14.4" customHeight="1" x14ac:dyDescent="0.3">
      <c r="B443" s="2" t="s">
        <v>448</v>
      </c>
      <c r="C443" s="3">
        <v>44539</v>
      </c>
      <c r="D443" s="2" t="s">
        <v>2012</v>
      </c>
      <c r="E443" s="2" t="s">
        <v>2084</v>
      </c>
      <c r="F443" s="4">
        <v>4218.45</v>
      </c>
      <c r="G443" s="5">
        <v>26.91</v>
      </c>
      <c r="H443" s="6">
        <v>15</v>
      </c>
      <c r="I443" s="2" t="s">
        <v>2117</v>
      </c>
      <c r="J443" s="2" t="str">
        <v>Grow Synergistic Infrastructures</v>
      </c>
      <c r="K443" s="2" t="str">
        <v>Furniture</v>
      </c>
      <c r="L443" s="2" t="str">
        <v>Adams-Carter</v>
      </c>
      <c r="M443" s="2">
        <v>113.17</v>
      </c>
      <c r="N443" s="16">
        <f t="shared" si="6"/>
        <v>6.3791202929986135E-3</v>
      </c>
    </row>
    <row r="444" spans="2:14" ht="14.4" customHeight="1" x14ac:dyDescent="0.3">
      <c r="B444" s="2" t="s">
        <v>449</v>
      </c>
      <c r="C444" s="3">
        <v>44606</v>
      </c>
      <c r="D444" s="2" t="s">
        <v>2010</v>
      </c>
      <c r="E444" s="2" t="s">
        <v>2080</v>
      </c>
      <c r="F444" s="4">
        <v>4176.04</v>
      </c>
      <c r="G444" s="5">
        <v>204.87</v>
      </c>
      <c r="H444" s="6">
        <v>16</v>
      </c>
      <c r="I444" s="2" t="s">
        <v>2117</v>
      </c>
      <c r="J444" s="2" t="str">
        <v>Scale Vertical Networks</v>
      </c>
      <c r="K444" s="2" t="str">
        <v>Furniture</v>
      </c>
      <c r="L444" s="2" t="str">
        <v>Lam, Wood and Jacobs</v>
      </c>
      <c r="M444" s="2">
        <v>133.24</v>
      </c>
      <c r="N444" s="16">
        <f t="shared" si="6"/>
        <v>4.9058438137565732E-2</v>
      </c>
    </row>
    <row r="445" spans="2:14" ht="14.4" customHeight="1" x14ac:dyDescent="0.3">
      <c r="B445" s="2" t="s">
        <v>450</v>
      </c>
      <c r="C445" s="3">
        <v>43926</v>
      </c>
      <c r="D445" s="2" t="s">
        <v>2011</v>
      </c>
      <c r="E445" s="2" t="s">
        <v>2075</v>
      </c>
      <c r="F445" s="4">
        <v>243.84</v>
      </c>
      <c r="G445" s="5">
        <v>588.99</v>
      </c>
      <c r="H445" s="6">
        <v>19</v>
      </c>
      <c r="I445" s="2" t="s">
        <v>2116</v>
      </c>
      <c r="J445" s="2" t="str">
        <v>Reinvent Visionary Niches</v>
      </c>
      <c r="K445" s="2" t="str">
        <v>Furniture</v>
      </c>
      <c r="L445" s="2" t="str">
        <v>Huber-Richmond</v>
      </c>
      <c r="M445" s="2">
        <v>219.81</v>
      </c>
      <c r="N445" s="16">
        <f t="shared" si="6"/>
        <v>2.4154773622047245</v>
      </c>
    </row>
    <row r="446" spans="2:14" ht="14.4" customHeight="1" x14ac:dyDescent="0.3">
      <c r="B446" s="2" t="s">
        <v>451</v>
      </c>
      <c r="C446" s="3">
        <v>45333</v>
      </c>
      <c r="D446" s="2" t="s">
        <v>2010</v>
      </c>
      <c r="E446" s="2" t="s">
        <v>2022</v>
      </c>
      <c r="F446" s="4">
        <v>386.12</v>
      </c>
      <c r="G446" s="5">
        <v>423.58</v>
      </c>
      <c r="H446" s="6">
        <v>13</v>
      </c>
      <c r="I446" s="2" t="s">
        <v>2116</v>
      </c>
      <c r="J446" s="2" t="str">
        <v>Monetize Collaborative Metrics</v>
      </c>
      <c r="K446" s="2" t="str">
        <v>Electronics</v>
      </c>
      <c r="L446" s="2" t="str">
        <v>Ramirez-Brown</v>
      </c>
      <c r="M446" s="2">
        <v>286.04000000000002</v>
      </c>
      <c r="N446" s="16">
        <f t="shared" si="6"/>
        <v>1.0970164715632444</v>
      </c>
    </row>
    <row r="447" spans="2:14" ht="14.4" customHeight="1" x14ac:dyDescent="0.3">
      <c r="B447" s="2" t="s">
        <v>452</v>
      </c>
      <c r="C447" s="3">
        <v>45202</v>
      </c>
      <c r="D447" s="2" t="s">
        <v>2011</v>
      </c>
      <c r="E447" s="2" t="s">
        <v>2051</v>
      </c>
      <c r="F447" s="4">
        <v>3012.86</v>
      </c>
      <c r="G447" s="5">
        <v>58.7</v>
      </c>
      <c r="H447" s="6">
        <v>20</v>
      </c>
      <c r="I447" s="2" t="s">
        <v>2116</v>
      </c>
      <c r="J447" s="2" t="str">
        <v>Generate Front-End Functionalities</v>
      </c>
      <c r="K447" s="2" t="str">
        <v>Office Supplies</v>
      </c>
      <c r="L447" s="2" t="str">
        <v>Morales-Brown</v>
      </c>
      <c r="M447" s="2">
        <v>299.77</v>
      </c>
      <c r="N447" s="16">
        <f t="shared" si="6"/>
        <v>1.9483148901708013E-2</v>
      </c>
    </row>
    <row r="448" spans="2:14" ht="14.4" customHeight="1" x14ac:dyDescent="0.3">
      <c r="B448" s="2" t="s">
        <v>453</v>
      </c>
      <c r="C448" s="3">
        <v>45219</v>
      </c>
      <c r="D448" s="2" t="s">
        <v>2012</v>
      </c>
      <c r="E448" s="2" t="s">
        <v>2102</v>
      </c>
      <c r="F448" s="4">
        <v>1142.82</v>
      </c>
      <c r="G448" s="5">
        <v>635.05999999999995</v>
      </c>
      <c r="H448" s="6">
        <v>9</v>
      </c>
      <c r="I448" s="2" t="s">
        <v>2116</v>
      </c>
      <c r="J448" s="2" t="str">
        <v>Re-Contextualize Viral Mindshare</v>
      </c>
      <c r="K448" s="2" t="str">
        <v>Electronics</v>
      </c>
      <c r="L448" s="2" t="str">
        <v>Carter-Lane</v>
      </c>
      <c r="M448" s="2">
        <v>142.25</v>
      </c>
      <c r="N448" s="16">
        <f t="shared" si="6"/>
        <v>0.55569556010570342</v>
      </c>
    </row>
    <row r="449" spans="2:14" ht="14.4" customHeight="1" x14ac:dyDescent="0.3">
      <c r="B449" s="2" t="s">
        <v>454</v>
      </c>
      <c r="C449" s="3">
        <v>45291</v>
      </c>
      <c r="D449" s="2" t="s">
        <v>2012</v>
      </c>
      <c r="E449" s="2" t="s">
        <v>2071</v>
      </c>
      <c r="F449" s="4">
        <v>4777.6400000000003</v>
      </c>
      <c r="G449" s="5">
        <v>743.5</v>
      </c>
      <c r="H449" s="6">
        <v>5</v>
      </c>
      <c r="I449" s="2" t="s">
        <v>2117</v>
      </c>
      <c r="J449" s="2" t="str">
        <v>Incentivize Front-End Mindshare</v>
      </c>
      <c r="K449" s="2" t="str">
        <v>Electronics</v>
      </c>
      <c r="L449" s="2" t="str">
        <v>Phillips-Tran</v>
      </c>
      <c r="M449" s="2">
        <v>196.86</v>
      </c>
      <c r="N449" s="16">
        <f t="shared" si="6"/>
        <v>0.15562076673838965</v>
      </c>
    </row>
    <row r="450" spans="2:14" ht="14.4" customHeight="1" x14ac:dyDescent="0.3">
      <c r="B450" s="2" t="s">
        <v>455</v>
      </c>
      <c r="C450" s="3">
        <v>45604</v>
      </c>
      <c r="D450" s="2" t="s">
        <v>2012</v>
      </c>
      <c r="E450" s="2" t="s">
        <v>2034</v>
      </c>
      <c r="F450" s="4">
        <v>4422.87</v>
      </c>
      <c r="G450" s="5">
        <v>715.99</v>
      </c>
      <c r="H450" s="6">
        <v>8</v>
      </c>
      <c r="I450" s="2" t="s">
        <v>2117</v>
      </c>
      <c r="J450" s="2" t="str">
        <v>Utilize Virtual Partnerships</v>
      </c>
      <c r="K450" s="2" t="str">
        <v>Furniture</v>
      </c>
      <c r="L450" s="2" t="str">
        <v>Smith, Diaz and Heath</v>
      </c>
      <c r="M450" s="2">
        <v>193.02</v>
      </c>
      <c r="N450" s="16">
        <f t="shared" si="6"/>
        <v>0.16188357333586564</v>
      </c>
    </row>
    <row r="451" spans="2:14" ht="14.4" customHeight="1" x14ac:dyDescent="0.3">
      <c r="B451" s="2" t="s">
        <v>456</v>
      </c>
      <c r="C451" s="3">
        <v>44358</v>
      </c>
      <c r="D451" s="2" t="s">
        <v>2011</v>
      </c>
      <c r="E451" s="2" t="s">
        <v>2076</v>
      </c>
      <c r="F451" s="4">
        <v>4865.8100000000004</v>
      </c>
      <c r="G451" s="5">
        <v>411.85</v>
      </c>
      <c r="H451" s="6">
        <v>13</v>
      </c>
      <c r="I451" s="2" t="s">
        <v>2116</v>
      </c>
      <c r="J451" s="2" t="str">
        <v>Deliver Extensible Partnerships</v>
      </c>
      <c r="K451" s="2" t="str">
        <v>Furniture</v>
      </c>
      <c r="L451" s="2" t="str">
        <v>Martin, Paul and Salazar</v>
      </c>
      <c r="M451" s="2">
        <v>43.76</v>
      </c>
      <c r="N451" s="16">
        <f t="shared" si="6"/>
        <v>8.4641611571351943E-2</v>
      </c>
    </row>
    <row r="452" spans="2:14" ht="14.4" customHeight="1" x14ac:dyDescent="0.3">
      <c r="B452" s="2" t="s">
        <v>457</v>
      </c>
      <c r="C452" s="3">
        <v>44330</v>
      </c>
      <c r="D452" s="2" t="s">
        <v>2011</v>
      </c>
      <c r="E452" s="2" t="s">
        <v>2091</v>
      </c>
      <c r="F452" s="4">
        <v>1952.28</v>
      </c>
      <c r="G452" s="5">
        <v>249.81</v>
      </c>
      <c r="H452" s="6">
        <v>18</v>
      </c>
      <c r="I452" s="2" t="s">
        <v>2116</v>
      </c>
      <c r="J452" s="2" t="str">
        <v>Synthesize Scalable Portals</v>
      </c>
      <c r="K452" s="2" t="str">
        <v>Furniture</v>
      </c>
      <c r="L452" s="2" t="str">
        <v>Singh, Villa and Flynn</v>
      </c>
      <c r="M452" s="2">
        <v>298.57</v>
      </c>
      <c r="N452" s="16">
        <f t="shared" si="6"/>
        <v>0.1279580797836376</v>
      </c>
    </row>
    <row r="453" spans="2:14" ht="14.4" customHeight="1" x14ac:dyDescent="0.3">
      <c r="B453" s="2" t="s">
        <v>458</v>
      </c>
      <c r="C453" s="3">
        <v>44464</v>
      </c>
      <c r="D453" s="2" t="s">
        <v>2011</v>
      </c>
      <c r="E453" s="2" t="s">
        <v>2027</v>
      </c>
      <c r="F453" s="4">
        <v>1955.18</v>
      </c>
      <c r="G453" s="5">
        <v>501.63</v>
      </c>
      <c r="H453" s="6">
        <v>13</v>
      </c>
      <c r="I453" s="2" t="s">
        <v>2117</v>
      </c>
      <c r="J453" s="2" t="str">
        <v>Monetize Value-Added Niches</v>
      </c>
      <c r="K453" s="2" t="str">
        <v>Office Supplies</v>
      </c>
      <c r="L453" s="2" t="str">
        <v>Foster, Velazquez and Lee</v>
      </c>
      <c r="M453" s="2">
        <v>171.51</v>
      </c>
      <c r="N453" s="16">
        <f t="shared" ref="N453:N516" si="7">(G453/F453)</f>
        <v>0.25656461297681032</v>
      </c>
    </row>
    <row r="454" spans="2:14" ht="14.4" customHeight="1" x14ac:dyDescent="0.3">
      <c r="B454" s="2" t="s">
        <v>459</v>
      </c>
      <c r="C454" s="3">
        <v>44588</v>
      </c>
      <c r="D454" s="2" t="s">
        <v>2011</v>
      </c>
      <c r="E454" s="2" t="s">
        <v>2052</v>
      </c>
      <c r="F454" s="4">
        <v>4461.42</v>
      </c>
      <c r="G454" s="5">
        <v>495.93</v>
      </c>
      <c r="H454" s="6">
        <v>7</v>
      </c>
      <c r="I454" s="2" t="s">
        <v>2116</v>
      </c>
      <c r="J454" s="2" t="str">
        <v>Innovate Sticky Web Services</v>
      </c>
      <c r="K454" s="2" t="str">
        <v>Electronics</v>
      </c>
      <c r="L454" s="2" t="str">
        <v>Friedman, Sanders and Adams</v>
      </c>
      <c r="M454" s="2">
        <v>125.85</v>
      </c>
      <c r="N454" s="16">
        <f t="shared" si="7"/>
        <v>0.11115967561897333</v>
      </c>
    </row>
    <row r="455" spans="2:14" ht="14.4" customHeight="1" x14ac:dyDescent="0.3">
      <c r="B455" s="2" t="s">
        <v>460</v>
      </c>
      <c r="C455" s="3">
        <v>43859</v>
      </c>
      <c r="D455" s="2" t="s">
        <v>2009</v>
      </c>
      <c r="E455" s="2" t="s">
        <v>2101</v>
      </c>
      <c r="F455" s="4">
        <v>1094.4000000000001</v>
      </c>
      <c r="G455" s="5">
        <v>306.77</v>
      </c>
      <c r="H455" s="6">
        <v>19</v>
      </c>
      <c r="I455" s="2" t="s">
        <v>2118</v>
      </c>
      <c r="J455" s="2" t="str">
        <v>Deploy Granular Channels</v>
      </c>
      <c r="K455" s="2" t="str">
        <v>Furniture</v>
      </c>
      <c r="L455" s="2" t="str">
        <v>Barnes Ltd</v>
      </c>
      <c r="M455" s="2">
        <v>288.99</v>
      </c>
      <c r="N455" s="16">
        <f t="shared" si="7"/>
        <v>0.28030884502923975</v>
      </c>
    </row>
    <row r="456" spans="2:14" ht="14.4" customHeight="1" x14ac:dyDescent="0.3">
      <c r="B456" s="2" t="s">
        <v>461</v>
      </c>
      <c r="C456" s="3">
        <v>44514</v>
      </c>
      <c r="D456" s="2" t="s">
        <v>2009</v>
      </c>
      <c r="E456" s="2" t="s">
        <v>2109</v>
      </c>
      <c r="F456" s="4">
        <v>1060</v>
      </c>
      <c r="G456" s="5">
        <v>639.26</v>
      </c>
      <c r="H456" s="6">
        <v>8</v>
      </c>
      <c r="I456" s="2" t="s">
        <v>2116</v>
      </c>
      <c r="J456" s="2" t="str">
        <v>Deliver Viral Eyeballs</v>
      </c>
      <c r="K456" s="2" t="str">
        <v>Office Supplies</v>
      </c>
      <c r="L456" s="2" t="str">
        <v>Estes, Chan and Thomas</v>
      </c>
      <c r="M456" s="2">
        <v>16.89</v>
      </c>
      <c r="N456" s="16">
        <f t="shared" si="7"/>
        <v>0.60307547169811315</v>
      </c>
    </row>
    <row r="457" spans="2:14" ht="14.4" customHeight="1" x14ac:dyDescent="0.3">
      <c r="B457" s="2" t="s">
        <v>462</v>
      </c>
      <c r="C457" s="3">
        <v>45215</v>
      </c>
      <c r="D457" s="2" t="s">
        <v>2009</v>
      </c>
      <c r="E457" s="2" t="s">
        <v>2032</v>
      </c>
      <c r="F457" s="4">
        <v>1651.62</v>
      </c>
      <c r="G457" s="5">
        <v>512.22</v>
      </c>
      <c r="H457" s="6">
        <v>3</v>
      </c>
      <c r="I457" s="2" t="s">
        <v>2118</v>
      </c>
      <c r="J457" s="2" t="str">
        <v>Reinvent Frictionless Roi</v>
      </c>
      <c r="K457" s="2" t="str">
        <v>Furniture</v>
      </c>
      <c r="L457" s="2" t="str">
        <v>Bridges, Castillo and Rodriguez</v>
      </c>
      <c r="M457" s="2">
        <v>253.89</v>
      </c>
      <c r="N457" s="16">
        <f t="shared" si="7"/>
        <v>0.31013187052711888</v>
      </c>
    </row>
    <row r="458" spans="2:14" ht="14.4" customHeight="1" x14ac:dyDescent="0.3">
      <c r="B458" s="2" t="s">
        <v>463</v>
      </c>
      <c r="C458" s="3">
        <v>44372</v>
      </c>
      <c r="D458" s="2" t="s">
        <v>2009</v>
      </c>
      <c r="E458" s="2" t="s">
        <v>2053</v>
      </c>
      <c r="F458" s="4">
        <v>4921.7299999999996</v>
      </c>
      <c r="G458" s="5">
        <v>508.18</v>
      </c>
      <c r="H458" s="6">
        <v>3</v>
      </c>
      <c r="I458" s="2" t="s">
        <v>2117</v>
      </c>
      <c r="J458" s="2" t="str">
        <v>Transition Mission-Critical Interfaces</v>
      </c>
      <c r="K458" s="2" t="str">
        <v>Office Supplies</v>
      </c>
      <c r="L458" s="2" t="str">
        <v>Weaver Ltd</v>
      </c>
      <c r="M458" s="2">
        <v>34.64</v>
      </c>
      <c r="N458" s="16">
        <f t="shared" si="7"/>
        <v>0.10325231168715067</v>
      </c>
    </row>
    <row r="459" spans="2:14" ht="14.4" customHeight="1" x14ac:dyDescent="0.3">
      <c r="B459" s="2" t="s">
        <v>464</v>
      </c>
      <c r="C459" s="3">
        <v>44593</v>
      </c>
      <c r="D459" s="2" t="s">
        <v>2011</v>
      </c>
      <c r="E459" s="2" t="s">
        <v>2027</v>
      </c>
      <c r="F459" s="4">
        <v>1426.56</v>
      </c>
      <c r="G459" s="5">
        <v>140.30000000000001</v>
      </c>
      <c r="H459" s="6">
        <v>18</v>
      </c>
      <c r="I459" s="2" t="s">
        <v>2118</v>
      </c>
      <c r="J459" s="2" t="str">
        <v>Monetize Value-Added Niches</v>
      </c>
      <c r="K459" s="2" t="str">
        <v>Office Supplies</v>
      </c>
      <c r="L459" s="2" t="str">
        <v>Foster, Velazquez and Lee</v>
      </c>
      <c r="M459" s="2">
        <v>171.51</v>
      </c>
      <c r="N459" s="16">
        <f t="shared" si="7"/>
        <v>9.8348474652310461E-2</v>
      </c>
    </row>
    <row r="460" spans="2:14" ht="14.4" customHeight="1" x14ac:dyDescent="0.3">
      <c r="B460" s="2" t="s">
        <v>465</v>
      </c>
      <c r="C460" s="3">
        <v>44622</v>
      </c>
      <c r="D460" s="2" t="s">
        <v>2009</v>
      </c>
      <c r="E460" s="2" t="s">
        <v>2023</v>
      </c>
      <c r="F460" s="4">
        <v>476.19</v>
      </c>
      <c r="G460" s="5">
        <v>831.67</v>
      </c>
      <c r="H460" s="6">
        <v>3</v>
      </c>
      <c r="I460" s="2" t="s">
        <v>2116</v>
      </c>
      <c r="J460" s="2" t="str">
        <v>Leverage Cutting-Edge Vortals</v>
      </c>
      <c r="K460" s="2" t="str">
        <v>Electronics</v>
      </c>
      <c r="L460" s="2" t="str">
        <v>Robinson, Garrett and Chavez</v>
      </c>
      <c r="M460" s="2">
        <v>117.3</v>
      </c>
      <c r="N460" s="16">
        <f t="shared" si="7"/>
        <v>1.7465087465087463</v>
      </c>
    </row>
    <row r="461" spans="2:14" ht="14.4" customHeight="1" x14ac:dyDescent="0.3">
      <c r="B461" s="2" t="s">
        <v>466</v>
      </c>
      <c r="C461" s="3">
        <v>44635</v>
      </c>
      <c r="D461" s="2" t="s">
        <v>2012</v>
      </c>
      <c r="E461" s="2" t="s">
        <v>2035</v>
      </c>
      <c r="F461" s="4">
        <v>4343.68</v>
      </c>
      <c r="G461" s="5">
        <v>362.28</v>
      </c>
      <c r="H461" s="6">
        <v>10</v>
      </c>
      <c r="I461" s="2" t="s">
        <v>2117</v>
      </c>
      <c r="J461" s="2" t="str">
        <v>Optimize 24/365 E-Services</v>
      </c>
      <c r="K461" s="2" t="str">
        <v>Office Supplies</v>
      </c>
      <c r="L461" s="2" t="str">
        <v>Chase Ltd</v>
      </c>
      <c r="M461" s="2">
        <v>100.35</v>
      </c>
      <c r="N461" s="16">
        <f t="shared" si="7"/>
        <v>8.3403933991454238E-2</v>
      </c>
    </row>
    <row r="462" spans="2:14" ht="14.4" customHeight="1" x14ac:dyDescent="0.3">
      <c r="B462" s="2" t="s">
        <v>467</v>
      </c>
      <c r="C462" s="3">
        <v>44678</v>
      </c>
      <c r="D462" s="2" t="s">
        <v>2009</v>
      </c>
      <c r="E462" s="2" t="s">
        <v>2102</v>
      </c>
      <c r="F462" s="4">
        <v>3987.63</v>
      </c>
      <c r="G462" s="5">
        <v>650.99</v>
      </c>
      <c r="H462" s="6">
        <v>5</v>
      </c>
      <c r="I462" s="2" t="s">
        <v>2116</v>
      </c>
      <c r="J462" s="2" t="str">
        <v>Re-Contextualize Viral Mindshare</v>
      </c>
      <c r="K462" s="2" t="str">
        <v>Electronics</v>
      </c>
      <c r="L462" s="2" t="str">
        <v>Carter-Lane</v>
      </c>
      <c r="M462" s="2">
        <v>142.25</v>
      </c>
      <c r="N462" s="16">
        <f t="shared" si="7"/>
        <v>0.16325235791685788</v>
      </c>
    </row>
    <row r="463" spans="2:14" ht="14.4" customHeight="1" x14ac:dyDescent="0.3">
      <c r="B463" s="2" t="s">
        <v>468</v>
      </c>
      <c r="C463" s="3">
        <v>45046</v>
      </c>
      <c r="D463" s="2" t="s">
        <v>2011</v>
      </c>
      <c r="E463" s="2" t="s">
        <v>2037</v>
      </c>
      <c r="F463" s="4">
        <v>4009.24</v>
      </c>
      <c r="G463" s="5">
        <v>640.36</v>
      </c>
      <c r="H463" s="6">
        <v>19</v>
      </c>
      <c r="I463" s="2" t="s">
        <v>2116</v>
      </c>
      <c r="J463" s="2" t="str">
        <v>Utilize Back-End Models</v>
      </c>
      <c r="K463" s="2" t="str">
        <v>Furniture</v>
      </c>
      <c r="L463" s="2" t="str">
        <v>Lewis-Holden</v>
      </c>
      <c r="M463" s="2">
        <v>241.53</v>
      </c>
      <c r="N463" s="16">
        <f t="shared" si="7"/>
        <v>0.15972104438746496</v>
      </c>
    </row>
    <row r="464" spans="2:14" ht="14.4" customHeight="1" x14ac:dyDescent="0.3">
      <c r="B464" s="2" t="s">
        <v>469</v>
      </c>
      <c r="C464" s="3">
        <v>44237</v>
      </c>
      <c r="D464" s="2" t="s">
        <v>2009</v>
      </c>
      <c r="E464" s="2" t="s">
        <v>2084</v>
      </c>
      <c r="F464" s="4">
        <v>4332.34</v>
      </c>
      <c r="G464" s="5">
        <v>664.23</v>
      </c>
      <c r="H464" s="6">
        <v>1</v>
      </c>
      <c r="I464" s="2" t="s">
        <v>2117</v>
      </c>
      <c r="J464" s="2" t="str">
        <v>Grow Synergistic Infrastructures</v>
      </c>
      <c r="K464" s="2" t="str">
        <v>Furniture</v>
      </c>
      <c r="L464" s="2" t="str">
        <v>Adams-Carter</v>
      </c>
      <c r="M464" s="2">
        <v>113.17</v>
      </c>
      <c r="N464" s="16">
        <f t="shared" si="7"/>
        <v>0.15331899158422468</v>
      </c>
    </row>
    <row r="465" spans="2:14" ht="14.4" customHeight="1" x14ac:dyDescent="0.3">
      <c r="B465" s="2" t="s">
        <v>470</v>
      </c>
      <c r="C465" s="3">
        <v>44918</v>
      </c>
      <c r="D465" s="2" t="s">
        <v>2009</v>
      </c>
      <c r="E465" s="2" t="s">
        <v>2089</v>
      </c>
      <c r="F465" s="4">
        <v>1205.3499999999999</v>
      </c>
      <c r="G465" s="5">
        <v>513.33000000000004</v>
      </c>
      <c r="H465" s="6">
        <v>7</v>
      </c>
      <c r="I465" s="2" t="s">
        <v>2117</v>
      </c>
      <c r="J465" s="2" t="str">
        <v>Morph World-Class Synergies</v>
      </c>
      <c r="K465" s="2" t="str">
        <v>Electronics</v>
      </c>
      <c r="L465" s="2" t="str">
        <v>Bryant Ltd</v>
      </c>
      <c r="M465" s="2">
        <v>20.69</v>
      </c>
      <c r="N465" s="16">
        <f t="shared" si="7"/>
        <v>0.42587630148919409</v>
      </c>
    </row>
    <row r="466" spans="2:14" ht="14.4" customHeight="1" x14ac:dyDescent="0.3">
      <c r="B466" s="2" t="s">
        <v>471</v>
      </c>
      <c r="C466" s="3">
        <v>44507</v>
      </c>
      <c r="D466" s="2" t="s">
        <v>2012</v>
      </c>
      <c r="E466" s="2" t="s">
        <v>2073</v>
      </c>
      <c r="F466" s="4">
        <v>1270.5999999999999</v>
      </c>
      <c r="G466" s="5">
        <v>413.52</v>
      </c>
      <c r="H466" s="6">
        <v>18</v>
      </c>
      <c r="I466" s="2" t="s">
        <v>2116</v>
      </c>
      <c r="J466" s="2" t="str">
        <v>Visualize Dynamic E-Commerce</v>
      </c>
      <c r="K466" s="2" t="str">
        <v>Furniture</v>
      </c>
      <c r="L466" s="2" t="str">
        <v>Jones LLC</v>
      </c>
      <c r="M466" s="2">
        <v>92.61</v>
      </c>
      <c r="N466" s="16">
        <f t="shared" si="7"/>
        <v>0.32545254210609165</v>
      </c>
    </row>
    <row r="467" spans="2:14" ht="14.4" customHeight="1" x14ac:dyDescent="0.3">
      <c r="B467" s="2" t="s">
        <v>472</v>
      </c>
      <c r="C467" s="3">
        <v>45002</v>
      </c>
      <c r="D467" s="2" t="s">
        <v>2009</v>
      </c>
      <c r="E467" s="2" t="s">
        <v>2041</v>
      </c>
      <c r="F467" s="4">
        <v>2511.1799999999998</v>
      </c>
      <c r="G467" s="5">
        <v>391.4</v>
      </c>
      <c r="H467" s="6">
        <v>14</v>
      </c>
      <c r="I467" s="2" t="s">
        <v>2117</v>
      </c>
      <c r="J467" s="2" t="str">
        <v>Expedite Synergistic Web-Readiness</v>
      </c>
      <c r="K467" s="2" t="str">
        <v>Electronics</v>
      </c>
      <c r="L467" s="2" t="str">
        <v>Dunlap, Carpenter and Monroe</v>
      </c>
      <c r="M467" s="2">
        <v>289.66000000000003</v>
      </c>
      <c r="N467" s="16">
        <f t="shared" si="7"/>
        <v>0.15586298075008562</v>
      </c>
    </row>
    <row r="468" spans="2:14" ht="14.4" customHeight="1" x14ac:dyDescent="0.3">
      <c r="B468" s="2" t="s">
        <v>473</v>
      </c>
      <c r="C468" s="3">
        <v>44788</v>
      </c>
      <c r="D468" s="2" t="s">
        <v>2012</v>
      </c>
      <c r="E468" s="2" t="s">
        <v>2065</v>
      </c>
      <c r="F468" s="4">
        <v>2601.2800000000002</v>
      </c>
      <c r="G468" s="5">
        <v>636.66999999999996</v>
      </c>
      <c r="H468" s="6">
        <v>16</v>
      </c>
      <c r="I468" s="2" t="s">
        <v>2116</v>
      </c>
      <c r="J468" s="2" t="str">
        <v>Re-Contextualize Integrated Info-Mediaries</v>
      </c>
      <c r="K468" s="2" t="str">
        <v>Electronics</v>
      </c>
      <c r="L468" s="2" t="str">
        <v>Jones-Schroeder</v>
      </c>
      <c r="M468" s="2">
        <v>26.02</v>
      </c>
      <c r="N468" s="16">
        <f t="shared" si="7"/>
        <v>0.24475258334358466</v>
      </c>
    </row>
    <row r="469" spans="2:14" ht="14.4" customHeight="1" x14ac:dyDescent="0.3">
      <c r="B469" s="2" t="s">
        <v>474</v>
      </c>
      <c r="C469" s="3">
        <v>45504</v>
      </c>
      <c r="D469" s="2" t="s">
        <v>2009</v>
      </c>
      <c r="E469" s="2" t="s">
        <v>2058</v>
      </c>
      <c r="F469" s="4">
        <v>4228.4799999999996</v>
      </c>
      <c r="G469" s="5">
        <v>464.12</v>
      </c>
      <c r="H469" s="6">
        <v>9</v>
      </c>
      <c r="I469" s="2" t="s">
        <v>2118</v>
      </c>
      <c r="J469" s="2" t="str">
        <v>Envisioneer B2C Web-Readiness</v>
      </c>
      <c r="K469" s="2" t="str">
        <v>Electronics</v>
      </c>
      <c r="L469" s="2" t="str">
        <v>Kemp Group</v>
      </c>
      <c r="M469" s="2">
        <v>97.23</v>
      </c>
      <c r="N469" s="16">
        <f t="shared" si="7"/>
        <v>0.10976048130770397</v>
      </c>
    </row>
    <row r="470" spans="2:14" ht="14.4" customHeight="1" x14ac:dyDescent="0.3">
      <c r="B470" s="2" t="s">
        <v>475</v>
      </c>
      <c r="C470" s="3">
        <v>44832</v>
      </c>
      <c r="D470" s="2" t="s">
        <v>2010</v>
      </c>
      <c r="E470" s="2" t="s">
        <v>2034</v>
      </c>
      <c r="F470" s="4">
        <v>2657.27</v>
      </c>
      <c r="G470" s="5">
        <v>506.81</v>
      </c>
      <c r="H470" s="6">
        <v>7</v>
      </c>
      <c r="I470" s="2" t="s">
        <v>2116</v>
      </c>
      <c r="J470" s="2" t="str">
        <v>Utilize Virtual Partnerships</v>
      </c>
      <c r="K470" s="2" t="str">
        <v>Furniture</v>
      </c>
      <c r="L470" s="2" t="str">
        <v>Smith, Diaz and Heath</v>
      </c>
      <c r="M470" s="2">
        <v>193.02</v>
      </c>
      <c r="N470" s="16">
        <f t="shared" si="7"/>
        <v>0.1907258201086077</v>
      </c>
    </row>
    <row r="471" spans="2:14" ht="14.4" customHeight="1" x14ac:dyDescent="0.3">
      <c r="B471" s="2" t="s">
        <v>476</v>
      </c>
      <c r="C471" s="3">
        <v>44127</v>
      </c>
      <c r="D471" s="2" t="s">
        <v>2011</v>
      </c>
      <c r="E471" s="2" t="s">
        <v>2075</v>
      </c>
      <c r="F471" s="4">
        <v>4049.19</v>
      </c>
      <c r="G471" s="5">
        <v>873.22</v>
      </c>
      <c r="H471" s="6">
        <v>7</v>
      </c>
      <c r="I471" s="2" t="s">
        <v>2118</v>
      </c>
      <c r="J471" s="2" t="str">
        <v>Reinvent Visionary Niches</v>
      </c>
      <c r="K471" s="2" t="str">
        <v>Furniture</v>
      </c>
      <c r="L471" s="2" t="str">
        <v>Huber-Richmond</v>
      </c>
      <c r="M471" s="2">
        <v>219.81</v>
      </c>
      <c r="N471" s="16">
        <f t="shared" si="7"/>
        <v>0.21565300714463881</v>
      </c>
    </row>
    <row r="472" spans="2:14" ht="14.4" customHeight="1" x14ac:dyDescent="0.3">
      <c r="B472" s="2" t="s">
        <v>477</v>
      </c>
      <c r="C472" s="3">
        <v>44383</v>
      </c>
      <c r="D472" s="2" t="s">
        <v>2011</v>
      </c>
      <c r="E472" s="2" t="s">
        <v>2063</v>
      </c>
      <c r="F472" s="4">
        <v>3156.73</v>
      </c>
      <c r="G472" s="5">
        <v>536.03</v>
      </c>
      <c r="H472" s="6">
        <v>14</v>
      </c>
      <c r="I472" s="2" t="s">
        <v>2116</v>
      </c>
      <c r="J472" s="2" t="str">
        <v>Unleash End-To-End Web Services</v>
      </c>
      <c r="K472" s="2" t="str">
        <v>Office Supplies</v>
      </c>
      <c r="L472" s="2" t="str">
        <v>Jones Ltd</v>
      </c>
      <c r="M472" s="2">
        <v>188.02</v>
      </c>
      <c r="N472" s="16">
        <f t="shared" si="7"/>
        <v>0.16980546324836143</v>
      </c>
    </row>
    <row r="473" spans="2:14" ht="14.4" customHeight="1" x14ac:dyDescent="0.3">
      <c r="B473" s="2" t="s">
        <v>478</v>
      </c>
      <c r="C473" s="3">
        <v>45191</v>
      </c>
      <c r="D473" s="2" t="s">
        <v>2009</v>
      </c>
      <c r="E473" s="2" t="s">
        <v>2067</v>
      </c>
      <c r="F473" s="4">
        <v>861.55</v>
      </c>
      <c r="G473" s="5">
        <v>460.38</v>
      </c>
      <c r="H473" s="6">
        <v>7</v>
      </c>
      <c r="I473" s="2" t="s">
        <v>2118</v>
      </c>
      <c r="J473" s="2" t="str">
        <v>Transition Compelling Web-Readiness</v>
      </c>
      <c r="K473" s="2" t="str">
        <v>Furniture</v>
      </c>
      <c r="L473" s="2" t="str">
        <v>Wood-Beck</v>
      </c>
      <c r="M473" s="2">
        <v>88.34</v>
      </c>
      <c r="N473" s="16">
        <f t="shared" si="7"/>
        <v>0.53436248621670246</v>
      </c>
    </row>
    <row r="474" spans="2:14" ht="14.4" customHeight="1" x14ac:dyDescent="0.3">
      <c r="B474" s="2" t="s">
        <v>479</v>
      </c>
      <c r="C474" s="3">
        <v>45045</v>
      </c>
      <c r="D474" s="2" t="s">
        <v>2011</v>
      </c>
      <c r="E474" s="2" t="s">
        <v>2084</v>
      </c>
      <c r="F474" s="4">
        <v>4542.3</v>
      </c>
      <c r="G474" s="5">
        <v>621.69000000000005</v>
      </c>
      <c r="H474" s="6">
        <v>17</v>
      </c>
      <c r="I474" s="2" t="s">
        <v>2116</v>
      </c>
      <c r="J474" s="2" t="str">
        <v>Grow Synergistic Infrastructures</v>
      </c>
      <c r="K474" s="2" t="str">
        <v>Furniture</v>
      </c>
      <c r="L474" s="2" t="str">
        <v>Adams-Carter</v>
      </c>
      <c r="M474" s="2">
        <v>113.17</v>
      </c>
      <c r="N474" s="16">
        <f t="shared" si="7"/>
        <v>0.13686678554917114</v>
      </c>
    </row>
    <row r="475" spans="2:14" ht="14.4" customHeight="1" x14ac:dyDescent="0.3">
      <c r="B475" s="2" t="s">
        <v>480</v>
      </c>
      <c r="C475" s="3">
        <v>44115</v>
      </c>
      <c r="D475" s="2" t="s">
        <v>2009</v>
      </c>
      <c r="E475" s="2" t="s">
        <v>2087</v>
      </c>
      <c r="F475" s="4">
        <v>2737.26</v>
      </c>
      <c r="G475" s="5">
        <v>89.34</v>
      </c>
      <c r="H475" s="6">
        <v>2</v>
      </c>
      <c r="I475" s="2" t="s">
        <v>2117</v>
      </c>
      <c r="J475" s="2" t="str">
        <v>Empower Seamless Roi</v>
      </c>
      <c r="K475" s="2" t="str">
        <v>Office Supplies</v>
      </c>
      <c r="L475" s="2" t="str">
        <v>Proctor Group</v>
      </c>
      <c r="M475" s="2">
        <v>266.64999999999998</v>
      </c>
      <c r="N475" s="16">
        <f t="shared" si="7"/>
        <v>3.2638477893952342E-2</v>
      </c>
    </row>
    <row r="476" spans="2:14" ht="14.4" customHeight="1" x14ac:dyDescent="0.3">
      <c r="B476" s="2" t="s">
        <v>481</v>
      </c>
      <c r="C476" s="3">
        <v>44620</v>
      </c>
      <c r="D476" s="2" t="s">
        <v>2012</v>
      </c>
      <c r="E476" s="2" t="s">
        <v>2095</v>
      </c>
      <c r="F476" s="4">
        <v>4989.46</v>
      </c>
      <c r="G476" s="33">
        <v>524.02</v>
      </c>
      <c r="H476" s="34">
        <v>4</v>
      </c>
      <c r="I476" s="30" t="s">
        <v>2116</v>
      </c>
      <c r="J476" s="30" t="str">
        <v>Envisioneer B2B Users</v>
      </c>
      <c r="K476" s="30" t="str">
        <v>Office Supplies</v>
      </c>
      <c r="L476" s="30" t="str">
        <v>Rogers Group</v>
      </c>
      <c r="M476" s="30">
        <v>239.16</v>
      </c>
      <c r="N476" s="35">
        <f t="shared" si="7"/>
        <v>0.10502539352956031</v>
      </c>
    </row>
    <row r="477" spans="2:14" ht="14.4" customHeight="1" x14ac:dyDescent="0.3">
      <c r="B477" s="2" t="s">
        <v>482</v>
      </c>
      <c r="C477" s="3">
        <v>44126</v>
      </c>
      <c r="D477" s="2" t="s">
        <v>2009</v>
      </c>
      <c r="E477" s="2" t="s">
        <v>2079</v>
      </c>
      <c r="F477" s="4">
        <v>2131.4</v>
      </c>
      <c r="G477" s="5">
        <v>37.049999999999997</v>
      </c>
      <c r="H477" s="6">
        <v>20</v>
      </c>
      <c r="I477" s="2" t="s">
        <v>2117</v>
      </c>
      <c r="J477" s="2" t="str">
        <v>Iterate Extensible Roi</v>
      </c>
      <c r="K477" s="2" t="str">
        <v>Office Supplies</v>
      </c>
      <c r="L477" s="2" t="str">
        <v>Hill-Kelly</v>
      </c>
      <c r="M477" s="2">
        <v>180</v>
      </c>
      <c r="N477" s="16">
        <f t="shared" si="7"/>
        <v>1.7382940790091016E-2</v>
      </c>
    </row>
    <row r="478" spans="2:14" ht="14.4" customHeight="1" x14ac:dyDescent="0.3">
      <c r="B478" s="2" t="s">
        <v>483</v>
      </c>
      <c r="C478" s="3">
        <v>44207</v>
      </c>
      <c r="D478" s="2" t="s">
        <v>2011</v>
      </c>
      <c r="E478" s="2" t="s">
        <v>2023</v>
      </c>
      <c r="F478" s="4">
        <v>4722.8999999999996</v>
      </c>
      <c r="G478" s="5">
        <v>393.95</v>
      </c>
      <c r="H478" s="6">
        <v>4</v>
      </c>
      <c r="I478" s="2" t="s">
        <v>2116</v>
      </c>
      <c r="J478" s="2" t="str">
        <v>Leverage Cutting-Edge Vortals</v>
      </c>
      <c r="K478" s="2" t="str">
        <v>Electronics</v>
      </c>
      <c r="L478" s="2" t="str">
        <v>Robinson, Garrett and Chavez</v>
      </c>
      <c r="M478" s="2">
        <v>117.3</v>
      </c>
      <c r="N478" s="16">
        <f t="shared" si="7"/>
        <v>8.3412733701751049E-2</v>
      </c>
    </row>
    <row r="479" spans="2:14" ht="14.4" customHeight="1" x14ac:dyDescent="0.3">
      <c r="B479" s="2" t="s">
        <v>484</v>
      </c>
      <c r="C479" s="3">
        <v>45187</v>
      </c>
      <c r="D479" s="2" t="s">
        <v>2009</v>
      </c>
      <c r="E479" s="2" t="s">
        <v>2069</v>
      </c>
      <c r="F479" s="4">
        <v>4008.47</v>
      </c>
      <c r="G479" s="5">
        <v>107.55</v>
      </c>
      <c r="H479" s="6">
        <v>1</v>
      </c>
      <c r="I479" s="2" t="s">
        <v>2116</v>
      </c>
      <c r="J479" s="2" t="str">
        <v>Optimize Transparent E-Markets</v>
      </c>
      <c r="K479" s="2" t="str">
        <v>Office Supplies</v>
      </c>
      <c r="L479" s="2" t="str">
        <v>Lee, Tyler and Blevins</v>
      </c>
      <c r="M479" s="2">
        <v>111.22</v>
      </c>
      <c r="N479" s="16">
        <f t="shared" si="7"/>
        <v>2.6830686022347679E-2</v>
      </c>
    </row>
    <row r="480" spans="2:14" ht="14.4" customHeight="1" x14ac:dyDescent="0.3">
      <c r="B480" s="2" t="s">
        <v>485</v>
      </c>
      <c r="C480" s="3">
        <v>44694</v>
      </c>
      <c r="D480" s="2" t="s">
        <v>2012</v>
      </c>
      <c r="E480" s="2" t="s">
        <v>2075</v>
      </c>
      <c r="F480" s="4">
        <v>1779.15</v>
      </c>
      <c r="G480" s="5">
        <v>275.64</v>
      </c>
      <c r="H480" s="6">
        <v>3</v>
      </c>
      <c r="I480" s="2" t="s">
        <v>2118</v>
      </c>
      <c r="J480" s="2" t="str">
        <v>Reinvent Visionary Niches</v>
      </c>
      <c r="K480" s="2" t="str">
        <v>Furniture</v>
      </c>
      <c r="L480" s="2" t="str">
        <v>Huber-Richmond</v>
      </c>
      <c r="M480" s="2">
        <v>219.81</v>
      </c>
      <c r="N480" s="16">
        <f t="shared" si="7"/>
        <v>0.15492791501559733</v>
      </c>
    </row>
    <row r="481" spans="2:14" ht="14.4" customHeight="1" x14ac:dyDescent="0.3">
      <c r="B481" s="2" t="s">
        <v>486</v>
      </c>
      <c r="C481" s="3">
        <v>45176</v>
      </c>
      <c r="D481" s="2" t="s">
        <v>2009</v>
      </c>
      <c r="E481" s="2" t="s">
        <v>2060</v>
      </c>
      <c r="F481" s="4">
        <v>3304.16</v>
      </c>
      <c r="G481" s="5">
        <v>432.07</v>
      </c>
      <c r="H481" s="6">
        <v>8</v>
      </c>
      <c r="I481" s="2" t="s">
        <v>2118</v>
      </c>
      <c r="J481" s="2" t="str">
        <v>Synergize End-To-End Roi</v>
      </c>
      <c r="K481" s="2" t="str">
        <v>Electronics</v>
      </c>
      <c r="L481" s="2" t="str">
        <v>Evans-Smith</v>
      </c>
      <c r="M481" s="2">
        <v>159.85</v>
      </c>
      <c r="N481" s="16">
        <f t="shared" si="7"/>
        <v>0.13076545929979178</v>
      </c>
    </row>
    <row r="482" spans="2:14" ht="14.4" customHeight="1" x14ac:dyDescent="0.3">
      <c r="B482" s="2" t="s">
        <v>487</v>
      </c>
      <c r="C482" s="3">
        <v>45543</v>
      </c>
      <c r="D482" s="2" t="s">
        <v>2012</v>
      </c>
      <c r="E482" s="2" t="s">
        <v>2042</v>
      </c>
      <c r="F482" s="4">
        <v>272.81</v>
      </c>
      <c r="G482" s="5">
        <v>283.83999999999997</v>
      </c>
      <c r="H482" s="6">
        <v>19</v>
      </c>
      <c r="I482" s="2" t="s">
        <v>2116</v>
      </c>
      <c r="J482" s="2" t="str">
        <v>Orchestrate E-Business Niches</v>
      </c>
      <c r="K482" s="2" t="str">
        <v>Furniture</v>
      </c>
      <c r="L482" s="2" t="str">
        <v>Johnson LLC</v>
      </c>
      <c r="M482" s="2">
        <v>198.99</v>
      </c>
      <c r="N482" s="16">
        <f t="shared" si="7"/>
        <v>1.0404310692423298</v>
      </c>
    </row>
    <row r="483" spans="2:14" ht="14.4" customHeight="1" x14ac:dyDescent="0.3">
      <c r="B483" s="2" t="s">
        <v>488</v>
      </c>
      <c r="C483" s="3">
        <v>44407</v>
      </c>
      <c r="D483" s="2" t="s">
        <v>2011</v>
      </c>
      <c r="E483" s="2" t="s">
        <v>2051</v>
      </c>
      <c r="F483" s="4">
        <v>926.86</v>
      </c>
      <c r="G483" s="5">
        <v>851.72</v>
      </c>
      <c r="H483" s="6">
        <v>2</v>
      </c>
      <c r="I483" s="2" t="s">
        <v>2116</v>
      </c>
      <c r="J483" s="2" t="str">
        <v>Generate Front-End Functionalities</v>
      </c>
      <c r="K483" s="2" t="str">
        <v>Office Supplies</v>
      </c>
      <c r="L483" s="2" t="str">
        <v>Morales-Brown</v>
      </c>
      <c r="M483" s="2">
        <v>299.77</v>
      </c>
      <c r="N483" s="16">
        <f t="shared" si="7"/>
        <v>0.91893058282804307</v>
      </c>
    </row>
    <row r="484" spans="2:14" ht="14.4" customHeight="1" x14ac:dyDescent="0.3">
      <c r="B484" s="2" t="s">
        <v>489</v>
      </c>
      <c r="C484" s="3">
        <v>44866</v>
      </c>
      <c r="D484" s="2" t="s">
        <v>2011</v>
      </c>
      <c r="E484" s="2" t="s">
        <v>2051</v>
      </c>
      <c r="F484" s="4">
        <v>4350.05</v>
      </c>
      <c r="G484" s="5">
        <v>948.81</v>
      </c>
      <c r="H484" s="6">
        <v>12</v>
      </c>
      <c r="I484" s="2" t="s">
        <v>2118</v>
      </c>
      <c r="J484" s="2" t="str">
        <v>Generate Front-End Functionalities</v>
      </c>
      <c r="K484" s="2" t="str">
        <v>Office Supplies</v>
      </c>
      <c r="L484" s="2" t="str">
        <v>Morales-Brown</v>
      </c>
      <c r="M484" s="2">
        <v>299.77</v>
      </c>
      <c r="N484" s="16">
        <f t="shared" si="7"/>
        <v>0.21811473431339867</v>
      </c>
    </row>
    <row r="485" spans="2:14" ht="14.4" customHeight="1" x14ac:dyDescent="0.3">
      <c r="B485" s="2" t="s">
        <v>490</v>
      </c>
      <c r="C485" s="3">
        <v>45294</v>
      </c>
      <c r="D485" s="2" t="s">
        <v>2012</v>
      </c>
      <c r="E485" s="2" t="s">
        <v>2019</v>
      </c>
      <c r="F485" s="4">
        <v>1049.9100000000001</v>
      </c>
      <c r="G485" s="5">
        <v>480.33</v>
      </c>
      <c r="H485" s="6">
        <v>9</v>
      </c>
      <c r="I485" s="2" t="s">
        <v>2117</v>
      </c>
      <c r="J485" s="2" t="str">
        <v>Implement Clicks-And-Mortar Partnerships</v>
      </c>
      <c r="K485" s="2" t="str">
        <v>Electronics</v>
      </c>
      <c r="L485" s="2" t="str">
        <v>Smith Inc</v>
      </c>
      <c r="M485" s="2">
        <v>195.53</v>
      </c>
      <c r="N485" s="16">
        <f t="shared" si="7"/>
        <v>0.45749635683058543</v>
      </c>
    </row>
    <row r="486" spans="2:14" ht="14.4" customHeight="1" x14ac:dyDescent="0.3">
      <c r="B486" s="2" t="s">
        <v>491</v>
      </c>
      <c r="C486" s="3">
        <v>44009</v>
      </c>
      <c r="D486" s="2" t="s">
        <v>2011</v>
      </c>
      <c r="E486" s="2" t="s">
        <v>2031</v>
      </c>
      <c r="F486" s="4">
        <v>299.54000000000002</v>
      </c>
      <c r="G486" s="5">
        <v>13.21</v>
      </c>
      <c r="H486" s="6">
        <v>10</v>
      </c>
      <c r="I486" s="2" t="s">
        <v>2118</v>
      </c>
      <c r="J486" s="2" t="str">
        <v>Embrace 24/365 Functionalities</v>
      </c>
      <c r="K486" s="2" t="str">
        <v>Office Supplies</v>
      </c>
      <c r="L486" s="2" t="str">
        <v>Smith LLC</v>
      </c>
      <c r="M486" s="2">
        <v>204.04</v>
      </c>
      <c r="N486" s="16">
        <f t="shared" si="7"/>
        <v>4.4100954797355943E-2</v>
      </c>
    </row>
    <row r="487" spans="2:14" ht="14.4" customHeight="1" x14ac:dyDescent="0.3">
      <c r="B487" s="2" t="s">
        <v>492</v>
      </c>
      <c r="C487" s="3">
        <v>44581</v>
      </c>
      <c r="D487" s="2" t="s">
        <v>2011</v>
      </c>
      <c r="E487" s="2" t="s">
        <v>2081</v>
      </c>
      <c r="F487" s="4">
        <v>3684.61</v>
      </c>
      <c r="G487" s="5">
        <v>345.04</v>
      </c>
      <c r="H487" s="6">
        <v>18</v>
      </c>
      <c r="I487" s="2" t="s">
        <v>2118</v>
      </c>
      <c r="J487" s="2" t="str">
        <v>Orchestrate User-Centric Platforms</v>
      </c>
      <c r="K487" s="2" t="str">
        <v>Furniture</v>
      </c>
      <c r="L487" s="2" t="str">
        <v>Wells Ltd</v>
      </c>
      <c r="M487" s="2">
        <v>201.87</v>
      </c>
      <c r="N487" s="16">
        <f t="shared" si="7"/>
        <v>9.3643560648209723E-2</v>
      </c>
    </row>
    <row r="488" spans="2:14" ht="14.4" customHeight="1" x14ac:dyDescent="0.3">
      <c r="B488" s="2" t="s">
        <v>493</v>
      </c>
      <c r="C488" s="3">
        <v>45527</v>
      </c>
      <c r="D488" s="2" t="s">
        <v>2009</v>
      </c>
      <c r="E488" s="2" t="s">
        <v>2013</v>
      </c>
      <c r="F488" s="4">
        <v>1570.26</v>
      </c>
      <c r="G488" s="5">
        <v>192.79</v>
      </c>
      <c r="H488" s="6">
        <v>11</v>
      </c>
      <c r="I488" s="2" t="s">
        <v>2116</v>
      </c>
      <c r="J488" s="2" t="str">
        <v>Re-Intermediate Seamless Applications</v>
      </c>
      <c r="K488" s="2" t="str">
        <v>Office Supplies</v>
      </c>
      <c r="L488" s="2" t="str">
        <v>Welch-Reed</v>
      </c>
      <c r="M488" s="2">
        <v>45.82</v>
      </c>
      <c r="N488" s="16">
        <f t="shared" si="7"/>
        <v>0.1227758460382357</v>
      </c>
    </row>
    <row r="489" spans="2:14" ht="14.4" customHeight="1" x14ac:dyDescent="0.3">
      <c r="B489" s="2" t="s">
        <v>494</v>
      </c>
      <c r="C489" s="3">
        <v>44430</v>
      </c>
      <c r="D489" s="2" t="s">
        <v>2010</v>
      </c>
      <c r="E489" s="2" t="s">
        <v>2045</v>
      </c>
      <c r="F489" s="4">
        <v>1789.75</v>
      </c>
      <c r="G489" s="5">
        <v>515.46</v>
      </c>
      <c r="H489" s="6">
        <v>9</v>
      </c>
      <c r="I489" s="2" t="s">
        <v>2116</v>
      </c>
      <c r="J489" s="2" t="str">
        <v>Leverage Scalable Interfaces</v>
      </c>
      <c r="K489" s="2" t="str">
        <v>Office Supplies</v>
      </c>
      <c r="L489" s="2" t="str">
        <v>Kaufman-Jones</v>
      </c>
      <c r="M489" s="2">
        <v>73.33</v>
      </c>
      <c r="N489" s="16">
        <f t="shared" si="7"/>
        <v>0.28800670484704571</v>
      </c>
    </row>
    <row r="490" spans="2:14" ht="14.4" customHeight="1" x14ac:dyDescent="0.3">
      <c r="B490" s="2" t="s">
        <v>495</v>
      </c>
      <c r="C490" s="3">
        <v>44336</v>
      </c>
      <c r="D490" s="2" t="s">
        <v>2011</v>
      </c>
      <c r="E490" s="2" t="s">
        <v>2040</v>
      </c>
      <c r="F490" s="4">
        <v>2876.53</v>
      </c>
      <c r="G490" s="5">
        <v>911.94</v>
      </c>
      <c r="H490" s="6">
        <v>16</v>
      </c>
      <c r="I490" s="2" t="s">
        <v>2117</v>
      </c>
      <c r="J490" s="2" t="str">
        <v>Synergize End-To-End Supply-Chains</v>
      </c>
      <c r="K490" s="2" t="str">
        <v>Office Supplies</v>
      </c>
      <c r="L490" s="2" t="str">
        <v>Higgins-Espinoza</v>
      </c>
      <c r="M490" s="2">
        <v>279.8</v>
      </c>
      <c r="N490" s="16">
        <f t="shared" si="7"/>
        <v>0.31702780781010453</v>
      </c>
    </row>
    <row r="491" spans="2:14" ht="14.4" customHeight="1" x14ac:dyDescent="0.3">
      <c r="B491" s="2" t="s">
        <v>496</v>
      </c>
      <c r="C491" s="3">
        <v>43861</v>
      </c>
      <c r="D491" s="2" t="s">
        <v>2009</v>
      </c>
      <c r="E491" s="2" t="s">
        <v>2021</v>
      </c>
      <c r="F491" s="4">
        <v>185.33</v>
      </c>
      <c r="G491" s="5">
        <v>887.49</v>
      </c>
      <c r="H491" s="6">
        <v>14</v>
      </c>
      <c r="I491" s="2" t="s">
        <v>2117</v>
      </c>
      <c r="J491" s="2" t="str">
        <v>Whiteboard Compelling Experiences</v>
      </c>
      <c r="K491" s="2" t="str">
        <v>Furniture</v>
      </c>
      <c r="L491" s="2" t="str">
        <v>Carrillo, Carr and Ball</v>
      </c>
      <c r="M491" s="2">
        <v>206.54</v>
      </c>
      <c r="N491" s="16">
        <f t="shared" si="7"/>
        <v>4.7887012356337344</v>
      </c>
    </row>
    <row r="492" spans="2:14" ht="14.4" customHeight="1" x14ac:dyDescent="0.3">
      <c r="B492" s="2" t="s">
        <v>497</v>
      </c>
      <c r="C492" s="3">
        <v>45198</v>
      </c>
      <c r="D492" s="2" t="s">
        <v>2012</v>
      </c>
      <c r="E492" s="2" t="s">
        <v>2091</v>
      </c>
      <c r="F492" s="4">
        <v>3956.33</v>
      </c>
      <c r="G492" s="5">
        <v>370.85</v>
      </c>
      <c r="H492" s="6">
        <v>13</v>
      </c>
      <c r="I492" s="2" t="s">
        <v>2118</v>
      </c>
      <c r="J492" s="2" t="str">
        <v>Synthesize Scalable Portals</v>
      </c>
      <c r="K492" s="2" t="str">
        <v>Furniture</v>
      </c>
      <c r="L492" s="2" t="str">
        <v>Singh, Villa and Flynn</v>
      </c>
      <c r="M492" s="2">
        <v>298.57</v>
      </c>
      <c r="N492" s="16">
        <f t="shared" si="7"/>
        <v>9.3735861265364623E-2</v>
      </c>
    </row>
    <row r="493" spans="2:14" ht="14.4" customHeight="1" x14ac:dyDescent="0.3">
      <c r="B493" s="2" t="s">
        <v>498</v>
      </c>
      <c r="C493" s="3">
        <v>44555</v>
      </c>
      <c r="D493" s="2" t="s">
        <v>2011</v>
      </c>
      <c r="E493" s="2" t="s">
        <v>2031</v>
      </c>
      <c r="F493" s="4">
        <v>4174.1000000000004</v>
      </c>
      <c r="G493" s="5">
        <v>761.03</v>
      </c>
      <c r="H493" s="6">
        <v>12</v>
      </c>
      <c r="I493" s="2" t="s">
        <v>2116</v>
      </c>
      <c r="J493" s="2" t="str">
        <v>Embrace 24/365 Functionalities</v>
      </c>
      <c r="K493" s="2" t="str">
        <v>Office Supplies</v>
      </c>
      <c r="L493" s="2" t="str">
        <v>Smith LLC</v>
      </c>
      <c r="M493" s="2">
        <v>204.04</v>
      </c>
      <c r="N493" s="16">
        <f t="shared" si="7"/>
        <v>0.18232193766320881</v>
      </c>
    </row>
    <row r="494" spans="2:14" ht="14.4" customHeight="1" x14ac:dyDescent="0.3">
      <c r="B494" s="2" t="s">
        <v>499</v>
      </c>
      <c r="C494" s="3">
        <v>45589</v>
      </c>
      <c r="D494" s="2" t="s">
        <v>2011</v>
      </c>
      <c r="E494" s="2" t="s">
        <v>2090</v>
      </c>
      <c r="F494" s="4">
        <v>2178.37</v>
      </c>
      <c r="G494" s="5">
        <v>893.02</v>
      </c>
      <c r="H494" s="6">
        <v>13</v>
      </c>
      <c r="I494" s="2" t="s">
        <v>2116</v>
      </c>
      <c r="J494" s="2" t="str">
        <v>Empower Bleeding-Edge Action-Items</v>
      </c>
      <c r="K494" s="2" t="str">
        <v>Furniture</v>
      </c>
      <c r="L494" s="2" t="str">
        <v>Gray, Hayes and Banks</v>
      </c>
      <c r="M494" s="2">
        <v>204.26</v>
      </c>
      <c r="N494" s="16">
        <f t="shared" si="7"/>
        <v>0.40994872312784331</v>
      </c>
    </row>
    <row r="495" spans="2:14" ht="14.4" customHeight="1" x14ac:dyDescent="0.3">
      <c r="B495" s="2" t="s">
        <v>500</v>
      </c>
      <c r="C495" s="3">
        <v>44550</v>
      </c>
      <c r="D495" s="2" t="s">
        <v>2011</v>
      </c>
      <c r="E495" s="2" t="s">
        <v>2087</v>
      </c>
      <c r="F495" s="4">
        <v>3764.5</v>
      </c>
      <c r="G495" s="5">
        <v>990.04</v>
      </c>
      <c r="H495" s="6">
        <v>18</v>
      </c>
      <c r="I495" s="2" t="s">
        <v>2118</v>
      </c>
      <c r="J495" s="2" t="str">
        <v>Empower Seamless Roi</v>
      </c>
      <c r="K495" s="2" t="str">
        <v>Office Supplies</v>
      </c>
      <c r="L495" s="2" t="str">
        <v>Proctor Group</v>
      </c>
      <c r="M495" s="2">
        <v>266.64999999999998</v>
      </c>
      <c r="N495" s="16">
        <f t="shared" si="7"/>
        <v>0.2629937574711117</v>
      </c>
    </row>
    <row r="496" spans="2:14" ht="14.4" customHeight="1" x14ac:dyDescent="0.3">
      <c r="B496" s="2" t="s">
        <v>501</v>
      </c>
      <c r="C496" s="3">
        <v>45443</v>
      </c>
      <c r="D496" s="2" t="s">
        <v>2012</v>
      </c>
      <c r="E496" s="2" t="s">
        <v>2056</v>
      </c>
      <c r="F496" s="4">
        <v>4903.57</v>
      </c>
      <c r="G496" s="5">
        <v>650.22</v>
      </c>
      <c r="H496" s="6">
        <v>14</v>
      </c>
      <c r="I496" s="2" t="s">
        <v>2117</v>
      </c>
      <c r="J496" s="2" t="str">
        <v>Mesh Intuitive Supply-Chains</v>
      </c>
      <c r="K496" s="2" t="str">
        <v>Electronics</v>
      </c>
      <c r="L496" s="2" t="str">
        <v>Soto, Barnett and Heath</v>
      </c>
      <c r="M496" s="2">
        <v>281</v>
      </c>
      <c r="N496" s="16">
        <f t="shared" si="7"/>
        <v>0.13260134962894382</v>
      </c>
    </row>
    <row r="497" spans="2:14" ht="14.4" customHeight="1" x14ac:dyDescent="0.3">
      <c r="B497" s="2" t="s">
        <v>502</v>
      </c>
      <c r="C497" s="3">
        <v>44799</v>
      </c>
      <c r="D497" s="2" t="s">
        <v>2010</v>
      </c>
      <c r="E497" s="2" t="s">
        <v>2022</v>
      </c>
      <c r="F497" s="4">
        <v>1807</v>
      </c>
      <c r="G497" s="5">
        <v>102.34</v>
      </c>
      <c r="H497" s="6">
        <v>16</v>
      </c>
      <c r="I497" s="2" t="s">
        <v>2117</v>
      </c>
      <c r="J497" s="2" t="str">
        <v>Monetize Collaborative Metrics</v>
      </c>
      <c r="K497" s="2" t="str">
        <v>Electronics</v>
      </c>
      <c r="L497" s="2" t="str">
        <v>Ramirez-Brown</v>
      </c>
      <c r="M497" s="2">
        <v>286.04000000000002</v>
      </c>
      <c r="N497" s="16">
        <f t="shared" si="7"/>
        <v>5.6635307138904266E-2</v>
      </c>
    </row>
    <row r="498" spans="2:14" ht="14.4" customHeight="1" x14ac:dyDescent="0.3">
      <c r="B498" s="2" t="s">
        <v>503</v>
      </c>
      <c r="C498" s="3">
        <v>43854</v>
      </c>
      <c r="D498" s="2" t="s">
        <v>2011</v>
      </c>
      <c r="E498" s="2" t="s">
        <v>2033</v>
      </c>
      <c r="F498" s="4">
        <v>2477.65</v>
      </c>
      <c r="G498" s="5">
        <v>179.64</v>
      </c>
      <c r="H498" s="6">
        <v>3</v>
      </c>
      <c r="I498" s="2" t="s">
        <v>2116</v>
      </c>
      <c r="J498" s="2" t="str">
        <v>Leverage Rich Portals</v>
      </c>
      <c r="K498" s="2" t="str">
        <v>Office Supplies</v>
      </c>
      <c r="L498" s="2" t="str">
        <v>Wilson PLC</v>
      </c>
      <c r="M498" s="2">
        <v>46.35</v>
      </c>
      <c r="N498" s="16">
        <f t="shared" si="7"/>
        <v>7.2504187435674924E-2</v>
      </c>
    </row>
    <row r="499" spans="2:14" ht="14.4" customHeight="1" x14ac:dyDescent="0.3">
      <c r="B499" s="2" t="s">
        <v>504</v>
      </c>
      <c r="C499" s="3">
        <v>45416</v>
      </c>
      <c r="D499" s="2" t="s">
        <v>2009</v>
      </c>
      <c r="E499" s="2" t="s">
        <v>2044</v>
      </c>
      <c r="F499" s="4">
        <v>2961.17</v>
      </c>
      <c r="G499" s="5">
        <v>970.38</v>
      </c>
      <c r="H499" s="6">
        <v>7</v>
      </c>
      <c r="I499" s="2" t="s">
        <v>2118</v>
      </c>
      <c r="J499" s="2" t="str">
        <v>Grow Back-End Supply-Chains</v>
      </c>
      <c r="K499" s="2" t="str">
        <v>Electronics</v>
      </c>
      <c r="L499" s="2" t="str">
        <v>Green LLC</v>
      </c>
      <c r="M499" s="2">
        <v>140.08000000000001</v>
      </c>
      <c r="N499" s="16">
        <f t="shared" si="7"/>
        <v>0.32770155040068621</v>
      </c>
    </row>
    <row r="500" spans="2:14" ht="14.4" customHeight="1" x14ac:dyDescent="0.3">
      <c r="B500" s="2" t="s">
        <v>505</v>
      </c>
      <c r="C500" s="3">
        <v>44779</v>
      </c>
      <c r="D500" s="2" t="s">
        <v>2009</v>
      </c>
      <c r="E500" s="2" t="s">
        <v>2077</v>
      </c>
      <c r="F500" s="4">
        <v>3807.76</v>
      </c>
      <c r="G500" s="5">
        <v>698.66</v>
      </c>
      <c r="H500" s="6">
        <v>20</v>
      </c>
      <c r="I500" s="2" t="s">
        <v>2117</v>
      </c>
      <c r="J500" s="2" t="str">
        <v>Synthesize Wireless Initiatives</v>
      </c>
      <c r="K500" s="2" t="str">
        <v>Electronics</v>
      </c>
      <c r="L500" s="2" t="str">
        <v>Mosley Ltd</v>
      </c>
      <c r="M500" s="2">
        <v>162.69999999999999</v>
      </c>
      <c r="N500" s="16">
        <f t="shared" si="7"/>
        <v>0.18348320272286067</v>
      </c>
    </row>
    <row r="501" spans="2:14" ht="14.4" customHeight="1" x14ac:dyDescent="0.3">
      <c r="B501" s="2" t="s">
        <v>506</v>
      </c>
      <c r="C501" s="3">
        <v>45304</v>
      </c>
      <c r="D501" s="2" t="s">
        <v>2009</v>
      </c>
      <c r="E501" s="2" t="s">
        <v>2050</v>
      </c>
      <c r="F501" s="4">
        <v>4583.2299999999996</v>
      </c>
      <c r="G501" s="5">
        <v>363.38</v>
      </c>
      <c r="H501" s="6">
        <v>8</v>
      </c>
      <c r="I501" s="2" t="s">
        <v>2118</v>
      </c>
      <c r="J501" s="2" t="str">
        <v>Extend Bricks-And-Clicks Architectures</v>
      </c>
      <c r="K501" s="2" t="str">
        <v>Furniture</v>
      </c>
      <c r="L501" s="2" t="str">
        <v>Fuller PLC</v>
      </c>
      <c r="M501" s="2">
        <v>202.99</v>
      </c>
      <c r="N501" s="16">
        <f t="shared" si="7"/>
        <v>7.9284696600432455E-2</v>
      </c>
    </row>
    <row r="502" spans="2:14" ht="14.4" customHeight="1" x14ac:dyDescent="0.3">
      <c r="B502" s="2" t="s">
        <v>507</v>
      </c>
      <c r="C502" s="3">
        <v>44845</v>
      </c>
      <c r="D502" s="2" t="s">
        <v>2011</v>
      </c>
      <c r="E502" s="2" t="s">
        <v>2064</v>
      </c>
      <c r="F502" s="4">
        <v>4340.09</v>
      </c>
      <c r="G502" s="5">
        <v>815.1</v>
      </c>
      <c r="H502" s="6">
        <v>3</v>
      </c>
      <c r="I502" s="2" t="s">
        <v>2117</v>
      </c>
      <c r="J502" s="2" t="str">
        <v>Synergize E-Business Deliverables</v>
      </c>
      <c r="K502" s="2" t="str">
        <v>Electronics</v>
      </c>
      <c r="L502" s="2" t="str">
        <v>Crawford, Warren and Williams</v>
      </c>
      <c r="M502" s="2">
        <v>125.93</v>
      </c>
      <c r="N502" s="16">
        <f t="shared" si="7"/>
        <v>0.18780716528919908</v>
      </c>
    </row>
    <row r="503" spans="2:14" ht="14.4" customHeight="1" x14ac:dyDescent="0.3">
      <c r="B503" s="2" t="s">
        <v>508</v>
      </c>
      <c r="C503" s="3">
        <v>44160</v>
      </c>
      <c r="D503" s="2" t="s">
        <v>2011</v>
      </c>
      <c r="E503" s="2" t="s">
        <v>2060</v>
      </c>
      <c r="F503" s="4">
        <v>2181.38</v>
      </c>
      <c r="G503" s="5">
        <v>460.56</v>
      </c>
      <c r="H503" s="6">
        <v>18</v>
      </c>
      <c r="I503" s="2" t="s">
        <v>2116</v>
      </c>
      <c r="J503" s="2" t="str">
        <v>Synergize End-To-End Roi</v>
      </c>
      <c r="K503" s="2" t="str">
        <v>Electronics</v>
      </c>
      <c r="L503" s="2" t="str">
        <v>Evans-Smith</v>
      </c>
      <c r="M503" s="2">
        <v>159.85</v>
      </c>
      <c r="N503" s="16">
        <f t="shared" si="7"/>
        <v>0.21113240242415351</v>
      </c>
    </row>
    <row r="504" spans="2:14" ht="14.4" customHeight="1" x14ac:dyDescent="0.3">
      <c r="B504" s="2" t="s">
        <v>509</v>
      </c>
      <c r="C504" s="3">
        <v>45501</v>
      </c>
      <c r="D504" s="2" t="s">
        <v>2011</v>
      </c>
      <c r="E504" s="2" t="s">
        <v>2102</v>
      </c>
      <c r="F504" s="4">
        <v>3184.06</v>
      </c>
      <c r="G504" s="5">
        <v>239.27</v>
      </c>
      <c r="H504" s="6">
        <v>2</v>
      </c>
      <c r="I504" s="2" t="s">
        <v>2118</v>
      </c>
      <c r="J504" s="2" t="str">
        <v>Re-Contextualize Viral Mindshare</v>
      </c>
      <c r="K504" s="2" t="str">
        <v>Electronics</v>
      </c>
      <c r="L504" s="2" t="str">
        <v>Carter-Lane</v>
      </c>
      <c r="M504" s="2">
        <v>142.25</v>
      </c>
      <c r="N504" s="16">
        <f t="shared" si="7"/>
        <v>7.5146196993775241E-2</v>
      </c>
    </row>
    <row r="505" spans="2:14" ht="14.4" customHeight="1" x14ac:dyDescent="0.3">
      <c r="B505" s="2" t="s">
        <v>510</v>
      </c>
      <c r="C505" s="3">
        <v>44341</v>
      </c>
      <c r="D505" s="2" t="s">
        <v>2010</v>
      </c>
      <c r="E505" s="2" t="s">
        <v>2055</v>
      </c>
      <c r="F505" s="4">
        <v>2795.92</v>
      </c>
      <c r="G505" s="5">
        <v>129.6</v>
      </c>
      <c r="H505" s="6">
        <v>12</v>
      </c>
      <c r="I505" s="2" t="s">
        <v>2117</v>
      </c>
      <c r="J505" s="2" t="str">
        <v>Engineer Real-Time Architectures</v>
      </c>
      <c r="K505" s="2" t="str">
        <v>Furniture</v>
      </c>
      <c r="L505" s="2" t="str">
        <v>James and Sons</v>
      </c>
      <c r="M505" s="2">
        <v>127.23</v>
      </c>
      <c r="N505" s="16">
        <f t="shared" si="7"/>
        <v>4.6353257603937159E-2</v>
      </c>
    </row>
    <row r="506" spans="2:14" ht="14.4" customHeight="1" x14ac:dyDescent="0.3">
      <c r="B506" s="2" t="s">
        <v>511</v>
      </c>
      <c r="C506" s="3">
        <v>45548</v>
      </c>
      <c r="D506" s="2" t="s">
        <v>2009</v>
      </c>
      <c r="E506" s="2" t="s">
        <v>2033</v>
      </c>
      <c r="F506" s="4">
        <v>1614.85</v>
      </c>
      <c r="G506" s="5">
        <v>701.06</v>
      </c>
      <c r="H506" s="6">
        <v>1</v>
      </c>
      <c r="I506" s="2" t="s">
        <v>2116</v>
      </c>
      <c r="J506" s="2" t="str">
        <v>Leverage Rich Portals</v>
      </c>
      <c r="K506" s="2" t="str">
        <v>Office Supplies</v>
      </c>
      <c r="L506" s="2" t="str">
        <v>Wilson PLC</v>
      </c>
      <c r="M506" s="2">
        <v>46.35</v>
      </c>
      <c r="N506" s="16">
        <f t="shared" si="7"/>
        <v>0.43413320122612009</v>
      </c>
    </row>
    <row r="507" spans="2:14" ht="14.4" customHeight="1" x14ac:dyDescent="0.3">
      <c r="B507" s="2" t="s">
        <v>512</v>
      </c>
      <c r="C507" s="3">
        <v>45388</v>
      </c>
      <c r="D507" s="2" t="s">
        <v>2012</v>
      </c>
      <c r="E507" s="2" t="s">
        <v>2036</v>
      </c>
      <c r="F507" s="4">
        <v>3168.57</v>
      </c>
      <c r="G507" s="5">
        <v>227.47</v>
      </c>
      <c r="H507" s="6">
        <v>3</v>
      </c>
      <c r="I507" s="2" t="s">
        <v>2116</v>
      </c>
      <c r="J507" s="2" t="str">
        <v>Innovate Strategic Systems</v>
      </c>
      <c r="K507" s="2" t="str">
        <v>Office Supplies</v>
      </c>
      <c r="L507" s="2" t="str">
        <v>Mcfarland, Parker and Armstrong</v>
      </c>
      <c r="M507" s="2">
        <v>70.239999999999995</v>
      </c>
      <c r="N507" s="16">
        <f t="shared" si="7"/>
        <v>7.1789482321678227E-2</v>
      </c>
    </row>
    <row r="508" spans="2:14" ht="14.4" customHeight="1" x14ac:dyDescent="0.3">
      <c r="B508" s="2" t="s">
        <v>513</v>
      </c>
      <c r="C508" s="3">
        <v>44223</v>
      </c>
      <c r="D508" s="2" t="s">
        <v>2010</v>
      </c>
      <c r="E508" s="2" t="s">
        <v>2075</v>
      </c>
      <c r="F508" s="4">
        <v>1894.91</v>
      </c>
      <c r="G508" s="5">
        <v>670.99</v>
      </c>
      <c r="H508" s="6">
        <v>15</v>
      </c>
      <c r="I508" s="2" t="s">
        <v>2117</v>
      </c>
      <c r="J508" s="2" t="str">
        <v>Reinvent Visionary Niches</v>
      </c>
      <c r="K508" s="2" t="str">
        <v>Furniture</v>
      </c>
      <c r="L508" s="2" t="str">
        <v>Huber-Richmond</v>
      </c>
      <c r="M508" s="2">
        <v>219.81</v>
      </c>
      <c r="N508" s="16">
        <f t="shared" si="7"/>
        <v>0.35410125019130195</v>
      </c>
    </row>
    <row r="509" spans="2:14" ht="14.4" customHeight="1" x14ac:dyDescent="0.3">
      <c r="B509" s="2" t="s">
        <v>514</v>
      </c>
      <c r="C509" s="3">
        <v>44581</v>
      </c>
      <c r="D509" s="2" t="s">
        <v>2010</v>
      </c>
      <c r="E509" s="2" t="s">
        <v>2046</v>
      </c>
      <c r="F509" s="4">
        <v>1933.3</v>
      </c>
      <c r="G509" s="5">
        <v>952.31</v>
      </c>
      <c r="H509" s="6">
        <v>14</v>
      </c>
      <c r="I509" s="2" t="s">
        <v>2118</v>
      </c>
      <c r="J509" s="2" t="str">
        <v>Facilitate End-To-End Experiences</v>
      </c>
      <c r="K509" s="2" t="str">
        <v>Office Supplies</v>
      </c>
      <c r="L509" s="2" t="str">
        <v>Pierce-Goodwin</v>
      </c>
      <c r="M509" s="2">
        <v>260.52999999999997</v>
      </c>
      <c r="N509" s="16">
        <f t="shared" si="7"/>
        <v>0.49258263073501268</v>
      </c>
    </row>
    <row r="510" spans="2:14" ht="14.4" customHeight="1" x14ac:dyDescent="0.3">
      <c r="B510" s="2" t="s">
        <v>515</v>
      </c>
      <c r="C510" s="3">
        <v>45588</v>
      </c>
      <c r="D510" s="2" t="s">
        <v>2009</v>
      </c>
      <c r="E510" s="2" t="s">
        <v>2104</v>
      </c>
      <c r="F510" s="4">
        <v>962.9</v>
      </c>
      <c r="G510" s="5">
        <v>467.39</v>
      </c>
      <c r="H510" s="6">
        <v>15</v>
      </c>
      <c r="I510" s="2" t="s">
        <v>2117</v>
      </c>
      <c r="J510" s="2" t="str">
        <v>Scale Cross-Platform Web Services</v>
      </c>
      <c r="K510" s="2" t="str">
        <v>Furniture</v>
      </c>
      <c r="L510" s="2" t="str">
        <v>Morrow, Brock and Lewis</v>
      </c>
      <c r="M510" s="2">
        <v>115.21</v>
      </c>
      <c r="N510" s="16">
        <f t="shared" si="7"/>
        <v>0.48539827604112579</v>
      </c>
    </row>
    <row r="511" spans="2:14" ht="14.4" customHeight="1" x14ac:dyDescent="0.3">
      <c r="B511" s="2" t="s">
        <v>516</v>
      </c>
      <c r="C511" s="3">
        <v>45474</v>
      </c>
      <c r="D511" s="2" t="s">
        <v>2009</v>
      </c>
      <c r="E511" s="2" t="s">
        <v>2096</v>
      </c>
      <c r="F511" s="4">
        <v>1335.07</v>
      </c>
      <c r="G511" s="5">
        <v>955.4</v>
      </c>
      <c r="H511" s="6">
        <v>3</v>
      </c>
      <c r="I511" s="2" t="s">
        <v>2116</v>
      </c>
      <c r="J511" s="2" t="str">
        <v>Disintermediate Scalable Bandwidth</v>
      </c>
      <c r="K511" s="2" t="str">
        <v>Electronics</v>
      </c>
      <c r="L511" s="2" t="str">
        <v>Levy PLC</v>
      </c>
      <c r="M511" s="2">
        <v>19.86</v>
      </c>
      <c r="N511" s="16">
        <f t="shared" si="7"/>
        <v>0.71561790767525302</v>
      </c>
    </row>
    <row r="512" spans="2:14" ht="14.4" customHeight="1" x14ac:dyDescent="0.3">
      <c r="B512" s="27" t="s">
        <v>517</v>
      </c>
      <c r="C512" s="29">
        <v>44721</v>
      </c>
      <c r="D512" s="27" t="s">
        <v>2010</v>
      </c>
      <c r="E512" s="27" t="s">
        <v>2026</v>
      </c>
      <c r="F512" s="24">
        <v>83.48</v>
      </c>
      <c r="G512" s="25">
        <v>709.02</v>
      </c>
      <c r="H512" s="26">
        <v>1</v>
      </c>
      <c r="I512" s="27" t="s">
        <v>2116</v>
      </c>
      <c r="J512" s="27" t="str">
        <v>Monetize Wireless Functionalities</v>
      </c>
      <c r="K512" s="27" t="str">
        <v>Furniture</v>
      </c>
      <c r="L512" s="27" t="str">
        <v>Robinson, Rodriguez and Hernandez</v>
      </c>
      <c r="M512" s="27">
        <v>162.22</v>
      </c>
      <c r="N512" s="16">
        <f t="shared" si="7"/>
        <v>8.4932918064206984</v>
      </c>
    </row>
    <row r="513" spans="2:14" ht="14.4" customHeight="1" x14ac:dyDescent="0.3">
      <c r="B513" s="2" t="s">
        <v>518</v>
      </c>
      <c r="C513" s="3">
        <v>45128</v>
      </c>
      <c r="D513" s="2" t="s">
        <v>2010</v>
      </c>
      <c r="E513" s="2" t="s">
        <v>2028</v>
      </c>
      <c r="F513" s="4">
        <v>2535.19</v>
      </c>
      <c r="G513" s="5">
        <v>222.79</v>
      </c>
      <c r="H513" s="6">
        <v>7</v>
      </c>
      <c r="I513" s="2" t="s">
        <v>2118</v>
      </c>
      <c r="J513" s="2" t="str">
        <v>Synergize World-Class Networks</v>
      </c>
      <c r="K513" s="2" t="str">
        <v>Electronics</v>
      </c>
      <c r="L513" s="2" t="str">
        <v>Gomez-Lawrence</v>
      </c>
      <c r="M513" s="2">
        <v>72.37</v>
      </c>
      <c r="N513" s="16">
        <f t="shared" si="7"/>
        <v>8.7879014985070142E-2</v>
      </c>
    </row>
    <row r="514" spans="2:14" ht="14.4" customHeight="1" x14ac:dyDescent="0.3">
      <c r="B514" s="2" t="s">
        <v>519</v>
      </c>
      <c r="C514" s="3">
        <v>44717</v>
      </c>
      <c r="D514" s="2" t="s">
        <v>2011</v>
      </c>
      <c r="E514" s="2" t="s">
        <v>2022</v>
      </c>
      <c r="F514" s="4">
        <v>2467.2399999999998</v>
      </c>
      <c r="G514" s="5">
        <v>184.37</v>
      </c>
      <c r="H514" s="6">
        <v>15</v>
      </c>
      <c r="I514" s="2" t="s">
        <v>2118</v>
      </c>
      <c r="J514" s="2" t="str">
        <v>Monetize Collaborative Metrics</v>
      </c>
      <c r="K514" s="2" t="str">
        <v>Electronics</v>
      </c>
      <c r="L514" s="2" t="str">
        <v>Ramirez-Brown</v>
      </c>
      <c r="M514" s="2">
        <v>286.04000000000002</v>
      </c>
      <c r="N514" s="16">
        <f t="shared" si="7"/>
        <v>7.4727225563787886E-2</v>
      </c>
    </row>
    <row r="515" spans="2:14" ht="14.4" customHeight="1" x14ac:dyDescent="0.3">
      <c r="B515" s="2" t="s">
        <v>520</v>
      </c>
      <c r="C515" s="3">
        <v>45438</v>
      </c>
      <c r="D515" s="2" t="s">
        <v>2011</v>
      </c>
      <c r="E515" s="2" t="s">
        <v>2071</v>
      </c>
      <c r="F515" s="4">
        <v>4961.92</v>
      </c>
      <c r="G515" s="5">
        <v>852.07</v>
      </c>
      <c r="H515" s="6">
        <v>3</v>
      </c>
      <c r="I515" s="2" t="s">
        <v>2118</v>
      </c>
      <c r="J515" s="2" t="str">
        <v>Incentivize Front-End Mindshare</v>
      </c>
      <c r="K515" s="2" t="str">
        <v>Electronics</v>
      </c>
      <c r="L515" s="2" t="str">
        <v>Phillips-Tran</v>
      </c>
      <c r="M515" s="2">
        <v>196.86</v>
      </c>
      <c r="N515" s="16">
        <f t="shared" si="7"/>
        <v>0.17172183348381273</v>
      </c>
    </row>
    <row r="516" spans="2:14" ht="14.4" customHeight="1" x14ac:dyDescent="0.3">
      <c r="B516" s="2" t="s">
        <v>521</v>
      </c>
      <c r="C516" s="3">
        <v>45266</v>
      </c>
      <c r="D516" s="2" t="s">
        <v>2010</v>
      </c>
      <c r="E516" s="2" t="s">
        <v>2107</v>
      </c>
      <c r="F516" s="4">
        <v>2649.04</v>
      </c>
      <c r="G516" s="5">
        <v>994.35</v>
      </c>
      <c r="H516" s="6">
        <v>6</v>
      </c>
      <c r="I516" s="2" t="s">
        <v>2118</v>
      </c>
      <c r="J516" s="2" t="str">
        <v>Extend Bricks-And-Clicks Niches</v>
      </c>
      <c r="K516" s="2" t="str">
        <v>Office Supplies</v>
      </c>
      <c r="L516" s="2" t="str">
        <v>Hernandez-Rios</v>
      </c>
      <c r="M516" s="2">
        <v>65.989999999999995</v>
      </c>
      <c r="N516" s="16">
        <f t="shared" si="7"/>
        <v>0.37536239543381755</v>
      </c>
    </row>
    <row r="517" spans="2:14" ht="14.4" customHeight="1" x14ac:dyDescent="0.3">
      <c r="B517" s="2" t="s">
        <v>522</v>
      </c>
      <c r="C517" s="3">
        <v>43941</v>
      </c>
      <c r="D517" s="2" t="s">
        <v>2012</v>
      </c>
      <c r="E517" s="2" t="s">
        <v>2055</v>
      </c>
      <c r="F517" s="4">
        <v>1092.51</v>
      </c>
      <c r="G517" s="5">
        <v>346.8</v>
      </c>
      <c r="H517" s="6">
        <v>4</v>
      </c>
      <c r="I517" s="2" t="s">
        <v>2118</v>
      </c>
      <c r="J517" s="2" t="str">
        <v>Engineer Real-Time Architectures</v>
      </c>
      <c r="K517" s="2" t="str">
        <v>Furniture</v>
      </c>
      <c r="L517" s="2" t="str">
        <v>James and Sons</v>
      </c>
      <c r="M517" s="2">
        <v>127.23</v>
      </c>
      <c r="N517" s="16">
        <f t="shared" ref="N517:N580" si="8">(G517/F517)</f>
        <v>0.31743416536233077</v>
      </c>
    </row>
    <row r="518" spans="2:14" ht="14.4" customHeight="1" x14ac:dyDescent="0.3">
      <c r="B518" s="2" t="s">
        <v>523</v>
      </c>
      <c r="C518" s="3">
        <v>45112</v>
      </c>
      <c r="D518" s="2" t="s">
        <v>2009</v>
      </c>
      <c r="E518" s="2" t="s">
        <v>2032</v>
      </c>
      <c r="F518" s="4">
        <v>2348.21</v>
      </c>
      <c r="G518" s="5">
        <v>521.46</v>
      </c>
      <c r="H518" s="6">
        <v>18</v>
      </c>
      <c r="I518" s="2" t="s">
        <v>2116</v>
      </c>
      <c r="J518" s="2" t="str">
        <v>Reinvent Frictionless Roi</v>
      </c>
      <c r="K518" s="2" t="str">
        <v>Furniture</v>
      </c>
      <c r="L518" s="2" t="str">
        <v>Bridges, Castillo and Rodriguez</v>
      </c>
      <c r="M518" s="2">
        <v>253.89</v>
      </c>
      <c r="N518" s="16">
        <f t="shared" si="8"/>
        <v>0.22206702126300459</v>
      </c>
    </row>
    <row r="519" spans="2:14" ht="14.4" customHeight="1" x14ac:dyDescent="0.3">
      <c r="B519" s="2" t="s">
        <v>524</v>
      </c>
      <c r="C519" s="3">
        <v>44378</v>
      </c>
      <c r="D519" s="2" t="s">
        <v>2011</v>
      </c>
      <c r="E519" s="2" t="s">
        <v>2059</v>
      </c>
      <c r="F519" s="4">
        <v>4400.38</v>
      </c>
      <c r="G519" s="5">
        <v>921.52</v>
      </c>
      <c r="H519" s="6">
        <v>17</v>
      </c>
      <c r="I519" s="2" t="s">
        <v>2116</v>
      </c>
      <c r="J519" s="2" t="str">
        <v>Redefine Real-Time Convergence</v>
      </c>
      <c r="K519" s="2" t="str">
        <v>Electronics</v>
      </c>
      <c r="L519" s="2" t="str">
        <v>Hayes, Peters and Douglas</v>
      </c>
      <c r="M519" s="2">
        <v>78.260000000000005</v>
      </c>
      <c r="N519" s="16">
        <f t="shared" si="8"/>
        <v>0.20941827751239664</v>
      </c>
    </row>
    <row r="520" spans="2:14" ht="14.4" customHeight="1" x14ac:dyDescent="0.3">
      <c r="B520" s="2" t="s">
        <v>525</v>
      </c>
      <c r="C520" s="3">
        <v>44026</v>
      </c>
      <c r="D520" s="2" t="s">
        <v>2011</v>
      </c>
      <c r="E520" s="2" t="s">
        <v>2016</v>
      </c>
      <c r="F520" s="4">
        <v>3828.6</v>
      </c>
      <c r="G520" s="5">
        <v>580.30999999999995</v>
      </c>
      <c r="H520" s="6">
        <v>20</v>
      </c>
      <c r="I520" s="2" t="s">
        <v>2117</v>
      </c>
      <c r="J520" s="2" t="str">
        <v>Revolutionize Efficient Niches</v>
      </c>
      <c r="K520" s="2" t="str">
        <v>Electronics</v>
      </c>
      <c r="L520" s="2" t="str">
        <v>Lopez-Torres</v>
      </c>
      <c r="M520" s="2">
        <v>23.02</v>
      </c>
      <c r="N520" s="16">
        <f t="shared" si="8"/>
        <v>0.15157237632554979</v>
      </c>
    </row>
    <row r="521" spans="2:14" ht="14.4" customHeight="1" x14ac:dyDescent="0.3">
      <c r="B521" s="2" t="s">
        <v>526</v>
      </c>
      <c r="C521" s="3">
        <v>45000</v>
      </c>
      <c r="D521" s="2" t="s">
        <v>2010</v>
      </c>
      <c r="E521" s="2" t="s">
        <v>2079</v>
      </c>
      <c r="F521" s="4">
        <v>3518.59</v>
      </c>
      <c r="G521" s="5">
        <v>74.91</v>
      </c>
      <c r="H521" s="6">
        <v>2</v>
      </c>
      <c r="I521" s="2" t="s">
        <v>2117</v>
      </c>
      <c r="J521" s="2" t="str">
        <v>Iterate Extensible Roi</v>
      </c>
      <c r="K521" s="2" t="str">
        <v>Office Supplies</v>
      </c>
      <c r="L521" s="2" t="str">
        <v>Hill-Kelly</v>
      </c>
      <c r="M521" s="2">
        <v>180</v>
      </c>
      <c r="N521" s="16">
        <f t="shared" si="8"/>
        <v>2.1289778007667841E-2</v>
      </c>
    </row>
    <row r="522" spans="2:14" ht="14.4" customHeight="1" x14ac:dyDescent="0.3">
      <c r="B522" s="2" t="s">
        <v>527</v>
      </c>
      <c r="C522" s="3">
        <v>44083</v>
      </c>
      <c r="D522" s="2" t="s">
        <v>2010</v>
      </c>
      <c r="E522" s="2" t="s">
        <v>2052</v>
      </c>
      <c r="F522" s="4">
        <v>65.02</v>
      </c>
      <c r="G522" s="5">
        <v>162.52000000000001</v>
      </c>
      <c r="H522" s="6">
        <v>9</v>
      </c>
      <c r="I522" s="2" t="s">
        <v>2116</v>
      </c>
      <c r="J522" s="2" t="str">
        <v>Innovate Sticky Web Services</v>
      </c>
      <c r="K522" s="2" t="str">
        <v>Electronics</v>
      </c>
      <c r="L522" s="2" t="str">
        <v>Friedman, Sanders and Adams</v>
      </c>
      <c r="M522" s="2">
        <v>125.85</v>
      </c>
      <c r="N522" s="16">
        <f t="shared" si="8"/>
        <v>2.4995386035066138</v>
      </c>
    </row>
    <row r="523" spans="2:14" ht="14.4" customHeight="1" x14ac:dyDescent="0.3">
      <c r="B523" s="2" t="s">
        <v>528</v>
      </c>
      <c r="C523" s="3">
        <v>45569</v>
      </c>
      <c r="D523" s="2" t="s">
        <v>2010</v>
      </c>
      <c r="E523" s="2" t="s">
        <v>2089</v>
      </c>
      <c r="F523" s="4">
        <v>3835.8</v>
      </c>
      <c r="G523" s="5">
        <v>33.6</v>
      </c>
      <c r="H523" s="6">
        <v>10</v>
      </c>
      <c r="I523" s="2" t="s">
        <v>2118</v>
      </c>
      <c r="J523" s="2" t="str">
        <v>Morph World-Class Synergies</v>
      </c>
      <c r="K523" s="2" t="str">
        <v>Electronics</v>
      </c>
      <c r="L523" s="2" t="str">
        <v>Bryant Ltd</v>
      </c>
      <c r="M523" s="2">
        <v>20.69</v>
      </c>
      <c r="N523" s="16">
        <f t="shared" si="8"/>
        <v>8.7595807914906936E-3</v>
      </c>
    </row>
    <row r="524" spans="2:14" ht="14.4" customHeight="1" x14ac:dyDescent="0.3">
      <c r="B524" s="2" t="s">
        <v>529</v>
      </c>
      <c r="C524" s="3">
        <v>44142</v>
      </c>
      <c r="D524" s="2" t="s">
        <v>2011</v>
      </c>
      <c r="E524" s="2" t="s">
        <v>2108</v>
      </c>
      <c r="F524" s="4">
        <v>4827.58</v>
      </c>
      <c r="G524" s="5">
        <v>110.15</v>
      </c>
      <c r="H524" s="6">
        <v>16</v>
      </c>
      <c r="I524" s="2" t="s">
        <v>2118</v>
      </c>
      <c r="J524" s="2" t="str">
        <v>Whiteboard B2B Content</v>
      </c>
      <c r="K524" s="2" t="str">
        <v>Office Supplies</v>
      </c>
      <c r="L524" s="2" t="str">
        <v>Romero PLC</v>
      </c>
      <c r="M524" s="2">
        <v>93.81</v>
      </c>
      <c r="N524" s="16">
        <f t="shared" si="8"/>
        <v>2.2816815050190779E-2</v>
      </c>
    </row>
    <row r="525" spans="2:14" ht="14.4" customHeight="1" x14ac:dyDescent="0.3">
      <c r="B525" s="2" t="s">
        <v>530</v>
      </c>
      <c r="C525" s="3">
        <v>45111</v>
      </c>
      <c r="D525" s="2" t="s">
        <v>2010</v>
      </c>
      <c r="E525" s="2" t="s">
        <v>2024</v>
      </c>
      <c r="F525" s="4">
        <v>4694.45</v>
      </c>
      <c r="G525" s="5">
        <v>643.99</v>
      </c>
      <c r="H525" s="6">
        <v>1</v>
      </c>
      <c r="I525" s="2" t="s">
        <v>2118</v>
      </c>
      <c r="J525" s="2" t="str">
        <v>Target Viral Methodologies</v>
      </c>
      <c r="K525" s="2" t="str">
        <v>Electronics</v>
      </c>
      <c r="L525" s="2" t="str">
        <v>Alvarez, Myers and Walter</v>
      </c>
      <c r="M525" s="2">
        <v>149.26</v>
      </c>
      <c r="N525" s="16">
        <f t="shared" si="8"/>
        <v>0.13718113943060423</v>
      </c>
    </row>
    <row r="526" spans="2:14" ht="14.4" customHeight="1" x14ac:dyDescent="0.3">
      <c r="B526" s="2" t="s">
        <v>531</v>
      </c>
      <c r="C526" s="3">
        <v>44383</v>
      </c>
      <c r="D526" s="2" t="s">
        <v>2012</v>
      </c>
      <c r="E526" s="2" t="s">
        <v>2095</v>
      </c>
      <c r="F526" s="4">
        <v>2285.91</v>
      </c>
      <c r="G526" s="5">
        <v>942.75</v>
      </c>
      <c r="H526" s="6">
        <v>8</v>
      </c>
      <c r="I526" s="2" t="s">
        <v>2117</v>
      </c>
      <c r="J526" s="2" t="str">
        <v>Envisioneer B2B Users</v>
      </c>
      <c r="K526" s="2" t="str">
        <v>Office Supplies</v>
      </c>
      <c r="L526" s="2" t="str">
        <v>Rogers Group</v>
      </c>
      <c r="M526" s="2">
        <v>239.16</v>
      </c>
      <c r="N526" s="16">
        <f t="shared" si="8"/>
        <v>0.41241781172487108</v>
      </c>
    </row>
    <row r="527" spans="2:14" ht="14.4" customHeight="1" x14ac:dyDescent="0.3">
      <c r="B527" s="2" t="s">
        <v>532</v>
      </c>
      <c r="C527" s="3">
        <v>44272</v>
      </c>
      <c r="D527" s="2" t="s">
        <v>2010</v>
      </c>
      <c r="E527" s="2" t="s">
        <v>2016</v>
      </c>
      <c r="F527" s="4">
        <v>131.66</v>
      </c>
      <c r="G527" s="5">
        <v>257.12</v>
      </c>
      <c r="H527" s="6">
        <v>14</v>
      </c>
      <c r="I527" s="2" t="s">
        <v>2118</v>
      </c>
      <c r="J527" s="2" t="str">
        <v>Revolutionize Efficient Niches</v>
      </c>
      <c r="K527" s="2" t="str">
        <v>Electronics</v>
      </c>
      <c r="L527" s="2" t="str">
        <v>Lopez-Torres</v>
      </c>
      <c r="M527" s="2">
        <v>23.02</v>
      </c>
      <c r="N527" s="16">
        <f t="shared" si="8"/>
        <v>1.9529090080510407</v>
      </c>
    </row>
    <row r="528" spans="2:14" ht="14.4" customHeight="1" x14ac:dyDescent="0.3">
      <c r="B528" s="2" t="s">
        <v>533</v>
      </c>
      <c r="C528" s="3">
        <v>45338</v>
      </c>
      <c r="D528" s="2" t="s">
        <v>2010</v>
      </c>
      <c r="E528" s="2" t="s">
        <v>2074</v>
      </c>
      <c r="F528" s="4">
        <v>3660.28</v>
      </c>
      <c r="G528" s="5">
        <v>854.99</v>
      </c>
      <c r="H528" s="6">
        <v>14</v>
      </c>
      <c r="I528" s="2" t="s">
        <v>2117</v>
      </c>
      <c r="J528" s="2" t="str">
        <v>Utilize Ubiquitous Synergies</v>
      </c>
      <c r="K528" s="2" t="str">
        <v>Electronics</v>
      </c>
      <c r="L528" s="2" t="str">
        <v>Kramer, Huang and Shaw</v>
      </c>
      <c r="M528" s="2">
        <v>295.89999999999998</v>
      </c>
      <c r="N528" s="16">
        <f t="shared" si="8"/>
        <v>0.23358595517282829</v>
      </c>
    </row>
    <row r="529" spans="2:14" ht="14.4" customHeight="1" x14ac:dyDescent="0.3">
      <c r="B529" s="2" t="s">
        <v>534</v>
      </c>
      <c r="C529" s="3">
        <v>44599</v>
      </c>
      <c r="D529" s="2" t="s">
        <v>2012</v>
      </c>
      <c r="E529" s="2" t="s">
        <v>2105</v>
      </c>
      <c r="F529" s="4">
        <v>3052.67</v>
      </c>
      <c r="G529" s="5">
        <v>463.77</v>
      </c>
      <c r="H529" s="6">
        <v>8</v>
      </c>
      <c r="I529" s="2" t="s">
        <v>2118</v>
      </c>
      <c r="J529" s="2" t="str">
        <v>Brand B2C Info-Mediaries</v>
      </c>
      <c r="K529" s="2" t="str">
        <v>Office Supplies</v>
      </c>
      <c r="L529" s="2" t="str">
        <v>Preston Ltd</v>
      </c>
      <c r="M529" s="2">
        <v>13.46</v>
      </c>
      <c r="N529" s="16">
        <f t="shared" si="8"/>
        <v>0.15192274304133757</v>
      </c>
    </row>
    <row r="530" spans="2:14" ht="14.4" customHeight="1" x14ac:dyDescent="0.3">
      <c r="B530" s="2" t="s">
        <v>535</v>
      </c>
      <c r="C530" s="3">
        <v>44804</v>
      </c>
      <c r="D530" s="2" t="s">
        <v>2010</v>
      </c>
      <c r="E530" s="2" t="s">
        <v>2094</v>
      </c>
      <c r="F530" s="4">
        <v>3122.87</v>
      </c>
      <c r="G530" s="5">
        <v>226.78</v>
      </c>
      <c r="H530" s="6">
        <v>12</v>
      </c>
      <c r="I530" s="2" t="s">
        <v>2116</v>
      </c>
      <c r="J530" s="2" t="str">
        <v>Implement Rich Platforms</v>
      </c>
      <c r="K530" s="2" t="str">
        <v>Electronics</v>
      </c>
      <c r="L530" s="2" t="str">
        <v>Parker, Anderson and Salazar</v>
      </c>
      <c r="M530" s="2">
        <v>53.59</v>
      </c>
      <c r="N530" s="16">
        <f t="shared" si="8"/>
        <v>7.2619097176635602E-2</v>
      </c>
    </row>
    <row r="531" spans="2:14" ht="14.4" customHeight="1" x14ac:dyDescent="0.3">
      <c r="B531" s="2" t="s">
        <v>536</v>
      </c>
      <c r="C531" s="3">
        <v>44234</v>
      </c>
      <c r="D531" s="2" t="s">
        <v>2012</v>
      </c>
      <c r="E531" s="2" t="s">
        <v>2043</v>
      </c>
      <c r="F531" s="4">
        <v>3953.27</v>
      </c>
      <c r="G531" s="5">
        <v>614.41999999999996</v>
      </c>
      <c r="H531" s="6">
        <v>16</v>
      </c>
      <c r="I531" s="2" t="s">
        <v>2116</v>
      </c>
      <c r="J531" s="2" t="str">
        <v>Brand Distributed Info-Mediaries</v>
      </c>
      <c r="K531" s="2" t="str">
        <v>Furniture</v>
      </c>
      <c r="L531" s="2" t="str">
        <v>Garcia Ltd</v>
      </c>
      <c r="M531" s="2">
        <v>114.48</v>
      </c>
      <c r="N531" s="16">
        <f t="shared" si="8"/>
        <v>0.15542070235526537</v>
      </c>
    </row>
    <row r="532" spans="2:14" ht="14.4" customHeight="1" x14ac:dyDescent="0.3">
      <c r="B532" s="2" t="s">
        <v>537</v>
      </c>
      <c r="C532" s="3">
        <v>44499</v>
      </c>
      <c r="D532" s="2" t="s">
        <v>2010</v>
      </c>
      <c r="E532" s="2" t="s">
        <v>2089</v>
      </c>
      <c r="F532" s="4">
        <v>2900.6</v>
      </c>
      <c r="G532" s="5">
        <v>46.66</v>
      </c>
      <c r="H532" s="6">
        <v>12</v>
      </c>
      <c r="I532" s="2" t="s">
        <v>2118</v>
      </c>
      <c r="J532" s="2" t="str">
        <v>Morph World-Class Synergies</v>
      </c>
      <c r="K532" s="2" t="str">
        <v>Electronics</v>
      </c>
      <c r="L532" s="2" t="str">
        <v>Bryant Ltd</v>
      </c>
      <c r="M532" s="2">
        <v>20.69</v>
      </c>
      <c r="N532" s="16">
        <f t="shared" si="8"/>
        <v>1.6086326966834447E-2</v>
      </c>
    </row>
    <row r="533" spans="2:14" ht="14.4" customHeight="1" x14ac:dyDescent="0.3">
      <c r="B533" s="2" t="s">
        <v>538</v>
      </c>
      <c r="C533" s="3">
        <v>44970</v>
      </c>
      <c r="D533" s="2" t="s">
        <v>2011</v>
      </c>
      <c r="E533" s="2" t="s">
        <v>2046</v>
      </c>
      <c r="F533" s="4">
        <v>4320.12</v>
      </c>
      <c r="G533" s="5">
        <v>621.22</v>
      </c>
      <c r="H533" s="6">
        <v>18</v>
      </c>
      <c r="I533" s="2" t="s">
        <v>2116</v>
      </c>
      <c r="J533" s="2" t="str">
        <v>Facilitate End-To-End Experiences</v>
      </c>
      <c r="K533" s="2" t="str">
        <v>Office Supplies</v>
      </c>
      <c r="L533" s="2" t="str">
        <v>Pierce-Goodwin</v>
      </c>
      <c r="M533" s="2">
        <v>260.52999999999997</v>
      </c>
      <c r="N533" s="16">
        <f t="shared" si="8"/>
        <v>0.14379693156671575</v>
      </c>
    </row>
    <row r="534" spans="2:14" ht="14.4" customHeight="1" x14ac:dyDescent="0.3">
      <c r="B534" s="2" t="s">
        <v>539</v>
      </c>
      <c r="C534" s="3">
        <v>44048</v>
      </c>
      <c r="D534" s="2" t="s">
        <v>2009</v>
      </c>
      <c r="E534" s="2" t="s">
        <v>2032</v>
      </c>
      <c r="F534" s="4">
        <v>4374.08</v>
      </c>
      <c r="G534" s="5">
        <v>517.59</v>
      </c>
      <c r="H534" s="6">
        <v>14</v>
      </c>
      <c r="I534" s="2" t="s">
        <v>2118</v>
      </c>
      <c r="J534" s="2" t="str">
        <v>Reinvent Frictionless Roi</v>
      </c>
      <c r="K534" s="2" t="str">
        <v>Furniture</v>
      </c>
      <c r="L534" s="2" t="str">
        <v>Bridges, Castillo and Rodriguez</v>
      </c>
      <c r="M534" s="2">
        <v>253.89</v>
      </c>
      <c r="N534" s="16">
        <f t="shared" si="8"/>
        <v>0.1183311690686956</v>
      </c>
    </row>
    <row r="535" spans="2:14" ht="14.4" customHeight="1" x14ac:dyDescent="0.3">
      <c r="B535" s="2" t="s">
        <v>540</v>
      </c>
      <c r="C535" s="3">
        <v>45521</v>
      </c>
      <c r="D535" s="2" t="s">
        <v>2009</v>
      </c>
      <c r="E535" s="2" t="s">
        <v>2015</v>
      </c>
      <c r="F535" s="4">
        <v>3525.87</v>
      </c>
      <c r="G535" s="5">
        <v>467.12</v>
      </c>
      <c r="H535" s="6">
        <v>8</v>
      </c>
      <c r="I535" s="2" t="s">
        <v>2117</v>
      </c>
      <c r="J535" s="2" t="str">
        <v>Brand Web-Enabled Solutions</v>
      </c>
      <c r="K535" s="2" t="str">
        <v>Electronics</v>
      </c>
      <c r="L535" s="2" t="str">
        <v>Russell Group</v>
      </c>
      <c r="M535" s="2">
        <v>51.67</v>
      </c>
      <c r="N535" s="16">
        <f t="shared" si="8"/>
        <v>0.13248361397328887</v>
      </c>
    </row>
    <row r="536" spans="2:14" ht="14.4" customHeight="1" x14ac:dyDescent="0.3">
      <c r="B536" s="2" t="s">
        <v>541</v>
      </c>
      <c r="C536" s="3">
        <v>44437</v>
      </c>
      <c r="D536" s="2" t="s">
        <v>2009</v>
      </c>
      <c r="E536" s="2" t="s">
        <v>2053</v>
      </c>
      <c r="F536" s="4">
        <v>2199.1999999999998</v>
      </c>
      <c r="G536" s="5">
        <v>41.89</v>
      </c>
      <c r="H536" s="6">
        <v>4</v>
      </c>
      <c r="I536" s="2" t="s">
        <v>2118</v>
      </c>
      <c r="J536" s="2" t="str">
        <v>Transition Mission-Critical Interfaces</v>
      </c>
      <c r="K536" s="2" t="str">
        <v>Office Supplies</v>
      </c>
      <c r="L536" s="2" t="str">
        <v>Weaver Ltd</v>
      </c>
      <c r="M536" s="2">
        <v>34.64</v>
      </c>
      <c r="N536" s="16">
        <f t="shared" si="8"/>
        <v>1.9047835576573302E-2</v>
      </c>
    </row>
    <row r="537" spans="2:14" ht="14.4" customHeight="1" x14ac:dyDescent="0.3">
      <c r="B537" s="2" t="s">
        <v>542</v>
      </c>
      <c r="C537" s="3">
        <v>44654</v>
      </c>
      <c r="D537" s="2" t="s">
        <v>2009</v>
      </c>
      <c r="E537" s="2" t="s">
        <v>2023</v>
      </c>
      <c r="F537" s="4">
        <v>2715.63</v>
      </c>
      <c r="G537" s="5">
        <v>629.66</v>
      </c>
      <c r="H537" s="6">
        <v>3</v>
      </c>
      <c r="I537" s="2" t="s">
        <v>2118</v>
      </c>
      <c r="J537" s="2" t="str">
        <v>Leverage Cutting-Edge Vortals</v>
      </c>
      <c r="K537" s="2" t="str">
        <v>Electronics</v>
      </c>
      <c r="L537" s="2" t="str">
        <v>Robinson, Garrett and Chavez</v>
      </c>
      <c r="M537" s="2">
        <v>117.3</v>
      </c>
      <c r="N537" s="16">
        <f t="shared" si="8"/>
        <v>0.23186516572581684</v>
      </c>
    </row>
    <row r="538" spans="2:14" ht="14.4" customHeight="1" x14ac:dyDescent="0.3">
      <c r="B538" s="2" t="s">
        <v>543</v>
      </c>
      <c r="C538" s="3">
        <v>44544</v>
      </c>
      <c r="D538" s="2" t="s">
        <v>2012</v>
      </c>
      <c r="E538" s="2" t="s">
        <v>2082</v>
      </c>
      <c r="F538" s="4">
        <v>2113.7600000000002</v>
      </c>
      <c r="G538" s="5">
        <v>486.24</v>
      </c>
      <c r="H538" s="6">
        <v>5</v>
      </c>
      <c r="I538" s="2" t="s">
        <v>2116</v>
      </c>
      <c r="J538" s="2" t="str">
        <v>Re-Contextualize Viral Markets</v>
      </c>
      <c r="K538" s="2" t="str">
        <v>Electronics</v>
      </c>
      <c r="L538" s="2" t="str">
        <v>Meadows-Barber</v>
      </c>
      <c r="M538" s="2">
        <v>177.52</v>
      </c>
      <c r="N538" s="16">
        <f t="shared" si="8"/>
        <v>0.23003557641359471</v>
      </c>
    </row>
    <row r="539" spans="2:14" ht="14.4" customHeight="1" x14ac:dyDescent="0.3">
      <c r="B539" s="2" t="s">
        <v>544</v>
      </c>
      <c r="C539" s="3">
        <v>44377</v>
      </c>
      <c r="D539" s="2" t="s">
        <v>2010</v>
      </c>
      <c r="E539" s="2" t="s">
        <v>2034</v>
      </c>
      <c r="F539" s="4">
        <v>2333.9</v>
      </c>
      <c r="G539" s="5">
        <v>956.32</v>
      </c>
      <c r="H539" s="6">
        <v>4</v>
      </c>
      <c r="I539" s="2" t="s">
        <v>2117</v>
      </c>
      <c r="J539" s="2" t="str">
        <v>Utilize Virtual Partnerships</v>
      </c>
      <c r="K539" s="2" t="str">
        <v>Furniture</v>
      </c>
      <c r="L539" s="2" t="str">
        <v>Smith, Diaz and Heath</v>
      </c>
      <c r="M539" s="2">
        <v>193.02</v>
      </c>
      <c r="N539" s="16">
        <f t="shared" si="8"/>
        <v>0.40975191739149064</v>
      </c>
    </row>
    <row r="540" spans="2:14" ht="14.4" customHeight="1" x14ac:dyDescent="0.3">
      <c r="B540" s="2" t="s">
        <v>545</v>
      </c>
      <c r="C540" s="3">
        <v>44201</v>
      </c>
      <c r="D540" s="2" t="s">
        <v>2010</v>
      </c>
      <c r="E540" s="2" t="s">
        <v>2045</v>
      </c>
      <c r="F540" s="4">
        <v>4199.92</v>
      </c>
      <c r="G540" s="5">
        <v>185.14</v>
      </c>
      <c r="H540" s="6">
        <v>2</v>
      </c>
      <c r="I540" s="2" t="s">
        <v>2118</v>
      </c>
      <c r="J540" s="2" t="str">
        <v>Leverage Scalable Interfaces</v>
      </c>
      <c r="K540" s="2" t="str">
        <v>Office Supplies</v>
      </c>
      <c r="L540" s="2" t="str">
        <v>Kaufman-Jones</v>
      </c>
      <c r="M540" s="2">
        <v>73.33</v>
      </c>
      <c r="N540" s="16">
        <f t="shared" si="8"/>
        <v>4.4081792034133982E-2</v>
      </c>
    </row>
    <row r="541" spans="2:14" ht="14.4" customHeight="1" x14ac:dyDescent="0.3">
      <c r="B541" s="2" t="s">
        <v>546</v>
      </c>
      <c r="C541" s="3">
        <v>44431</v>
      </c>
      <c r="D541" s="2" t="s">
        <v>2009</v>
      </c>
      <c r="E541" s="2" t="s">
        <v>2044</v>
      </c>
      <c r="F541" s="4">
        <v>1628.48</v>
      </c>
      <c r="G541" s="5">
        <v>837.78</v>
      </c>
      <c r="H541" s="6">
        <v>15</v>
      </c>
      <c r="I541" s="2" t="s">
        <v>2118</v>
      </c>
      <c r="J541" s="2" t="str">
        <v>Grow Back-End Supply-Chains</v>
      </c>
      <c r="K541" s="2" t="str">
        <v>Electronics</v>
      </c>
      <c r="L541" s="2" t="str">
        <v>Green LLC</v>
      </c>
      <c r="M541" s="2">
        <v>140.08000000000001</v>
      </c>
      <c r="N541" s="16">
        <f t="shared" si="8"/>
        <v>0.51445519748477109</v>
      </c>
    </row>
    <row r="542" spans="2:14" ht="14.4" customHeight="1" x14ac:dyDescent="0.3">
      <c r="B542" s="2" t="s">
        <v>547</v>
      </c>
      <c r="C542" s="3">
        <v>45493</v>
      </c>
      <c r="D542" s="2" t="s">
        <v>2010</v>
      </c>
      <c r="E542" s="2" t="s">
        <v>2083</v>
      </c>
      <c r="F542" s="4">
        <v>3728.19</v>
      </c>
      <c r="G542" s="5">
        <v>738.03</v>
      </c>
      <c r="H542" s="6">
        <v>15</v>
      </c>
      <c r="I542" s="2" t="s">
        <v>2116</v>
      </c>
      <c r="J542" s="2" t="str">
        <v>Whiteboard Sticky Content</v>
      </c>
      <c r="K542" s="2" t="str">
        <v>Furniture</v>
      </c>
      <c r="L542" s="2" t="str">
        <v>Wolfe Group</v>
      </c>
      <c r="M542" s="2">
        <v>82.16</v>
      </c>
      <c r="N542" s="16">
        <f t="shared" si="8"/>
        <v>0.19795933147184022</v>
      </c>
    </row>
    <row r="543" spans="2:14" ht="14.4" customHeight="1" x14ac:dyDescent="0.3">
      <c r="B543" s="2" t="s">
        <v>548</v>
      </c>
      <c r="C543" s="3">
        <v>45181</v>
      </c>
      <c r="D543" s="2" t="s">
        <v>2011</v>
      </c>
      <c r="E543" s="2" t="s">
        <v>2038</v>
      </c>
      <c r="F543" s="4">
        <v>1935.84</v>
      </c>
      <c r="G543" s="5">
        <v>67.260000000000005</v>
      </c>
      <c r="H543" s="6">
        <v>3</v>
      </c>
      <c r="I543" s="2" t="s">
        <v>2117</v>
      </c>
      <c r="J543" s="2" t="str">
        <v>Reinvent Mission-Critical Markets</v>
      </c>
      <c r="K543" s="2" t="str">
        <v>Furniture</v>
      </c>
      <c r="L543" s="2" t="str">
        <v>Gilbert-Sanders</v>
      </c>
      <c r="M543" s="2">
        <v>154.21</v>
      </c>
      <c r="N543" s="16">
        <f t="shared" si="8"/>
        <v>3.4744606992313416E-2</v>
      </c>
    </row>
    <row r="544" spans="2:14" ht="14.4" customHeight="1" x14ac:dyDescent="0.3">
      <c r="B544" s="2" t="s">
        <v>549</v>
      </c>
      <c r="C544" s="3">
        <v>45338</v>
      </c>
      <c r="D544" s="2" t="s">
        <v>2011</v>
      </c>
      <c r="E544" s="2" t="s">
        <v>2093</v>
      </c>
      <c r="F544" s="4">
        <v>2446.4299999999998</v>
      </c>
      <c r="G544" s="5">
        <v>501.88</v>
      </c>
      <c r="H544" s="6">
        <v>8</v>
      </c>
      <c r="I544" s="2" t="s">
        <v>2118</v>
      </c>
      <c r="J544" s="2" t="str">
        <v>Synergize Frictionless Synergies</v>
      </c>
      <c r="K544" s="2" t="str">
        <v>Furniture</v>
      </c>
      <c r="L544" s="2" t="str">
        <v>Hester and Sons</v>
      </c>
      <c r="M544" s="2">
        <v>289.06</v>
      </c>
      <c r="N544" s="16">
        <f t="shared" si="8"/>
        <v>0.20514790940268066</v>
      </c>
    </row>
    <row r="545" spans="2:14" ht="14.4" customHeight="1" x14ac:dyDescent="0.3">
      <c r="B545" s="2" t="s">
        <v>550</v>
      </c>
      <c r="C545" s="3">
        <v>45155</v>
      </c>
      <c r="D545" s="2" t="s">
        <v>2010</v>
      </c>
      <c r="E545" s="2" t="s">
        <v>2077</v>
      </c>
      <c r="F545" s="4">
        <v>3709.66</v>
      </c>
      <c r="G545" s="5">
        <v>623.6</v>
      </c>
      <c r="H545" s="6">
        <v>7</v>
      </c>
      <c r="I545" s="2" t="s">
        <v>2118</v>
      </c>
      <c r="J545" s="2" t="str">
        <v>Synthesize Wireless Initiatives</v>
      </c>
      <c r="K545" s="2" t="str">
        <v>Electronics</v>
      </c>
      <c r="L545" s="2" t="str">
        <v>Mosley Ltd</v>
      </c>
      <c r="M545" s="2">
        <v>162.69999999999999</v>
      </c>
      <c r="N545" s="16">
        <f t="shared" si="8"/>
        <v>0.16810165891213752</v>
      </c>
    </row>
    <row r="546" spans="2:14" ht="14.4" customHeight="1" x14ac:dyDescent="0.3">
      <c r="B546" s="2" t="s">
        <v>551</v>
      </c>
      <c r="C546" s="3">
        <v>44130</v>
      </c>
      <c r="D546" s="2" t="s">
        <v>2009</v>
      </c>
      <c r="E546" s="2" t="s">
        <v>2028</v>
      </c>
      <c r="F546" s="4">
        <v>1645.19</v>
      </c>
      <c r="G546" s="5">
        <v>938.05</v>
      </c>
      <c r="H546" s="6">
        <v>18</v>
      </c>
      <c r="I546" s="2" t="s">
        <v>2118</v>
      </c>
      <c r="J546" s="2" t="str">
        <v>Synergize World-Class Networks</v>
      </c>
      <c r="K546" s="2" t="str">
        <v>Electronics</v>
      </c>
      <c r="L546" s="2" t="str">
        <v>Gomez-Lawrence</v>
      </c>
      <c r="M546" s="2">
        <v>72.37</v>
      </c>
      <c r="N546" s="16">
        <f t="shared" si="8"/>
        <v>0.57017730474899553</v>
      </c>
    </row>
    <row r="547" spans="2:14" ht="14.4" customHeight="1" x14ac:dyDescent="0.3">
      <c r="B547" s="2" t="s">
        <v>552</v>
      </c>
      <c r="C547" s="3">
        <v>44162</v>
      </c>
      <c r="D547" s="2" t="s">
        <v>2012</v>
      </c>
      <c r="E547" s="2" t="s">
        <v>2023</v>
      </c>
      <c r="F547" s="4">
        <v>4362.17</v>
      </c>
      <c r="G547" s="5">
        <v>891.31</v>
      </c>
      <c r="H547" s="6">
        <v>18</v>
      </c>
      <c r="I547" s="2" t="s">
        <v>2118</v>
      </c>
      <c r="J547" s="2" t="str">
        <v>Leverage Cutting-Edge Vortals</v>
      </c>
      <c r="K547" s="2" t="str">
        <v>Electronics</v>
      </c>
      <c r="L547" s="2" t="str">
        <v>Robinson, Garrett and Chavez</v>
      </c>
      <c r="M547" s="2">
        <v>117.3</v>
      </c>
      <c r="N547" s="16">
        <f t="shared" si="8"/>
        <v>0.20432720412088479</v>
      </c>
    </row>
    <row r="548" spans="2:14" ht="14.4" customHeight="1" x14ac:dyDescent="0.3">
      <c r="B548" s="2" t="s">
        <v>553</v>
      </c>
      <c r="C548" s="3">
        <v>45519</v>
      </c>
      <c r="D548" s="2" t="s">
        <v>2012</v>
      </c>
      <c r="E548" s="2" t="s">
        <v>2016</v>
      </c>
      <c r="F548" s="4">
        <v>1844.29</v>
      </c>
      <c r="G548" s="5">
        <v>452.17</v>
      </c>
      <c r="H548" s="6">
        <v>3</v>
      </c>
      <c r="I548" s="2" t="s">
        <v>2117</v>
      </c>
      <c r="J548" s="2" t="str">
        <v>Revolutionize Efficient Niches</v>
      </c>
      <c r="K548" s="2" t="str">
        <v>Electronics</v>
      </c>
      <c r="L548" s="2" t="str">
        <v>Lopez-Torres</v>
      </c>
      <c r="M548" s="2">
        <v>23.02</v>
      </c>
      <c r="N548" s="16">
        <f t="shared" si="8"/>
        <v>0.245172939179847</v>
      </c>
    </row>
    <row r="549" spans="2:14" ht="14.4" customHeight="1" x14ac:dyDescent="0.3">
      <c r="B549" s="2" t="s">
        <v>554</v>
      </c>
      <c r="C549" s="3">
        <v>44104</v>
      </c>
      <c r="D549" s="2" t="s">
        <v>2012</v>
      </c>
      <c r="E549" s="2" t="s">
        <v>2100</v>
      </c>
      <c r="F549" s="4">
        <v>1686.93</v>
      </c>
      <c r="G549" s="5">
        <v>217.68</v>
      </c>
      <c r="H549" s="6">
        <v>16</v>
      </c>
      <c r="I549" s="2" t="s">
        <v>2118</v>
      </c>
      <c r="J549" s="2" t="str">
        <v>Strategize Best-Of-Breed Web-Readiness</v>
      </c>
      <c r="K549" s="2" t="str">
        <v>Office Supplies</v>
      </c>
      <c r="L549" s="2" t="str">
        <v>Morris, King and Ayers</v>
      </c>
      <c r="M549" s="2">
        <v>220.16</v>
      </c>
      <c r="N549" s="16">
        <f t="shared" si="8"/>
        <v>0.12903914211022391</v>
      </c>
    </row>
    <row r="550" spans="2:14" ht="14.4" customHeight="1" x14ac:dyDescent="0.3">
      <c r="B550" s="2" t="s">
        <v>555</v>
      </c>
      <c r="C550" s="3">
        <v>44471</v>
      </c>
      <c r="D550" s="2" t="s">
        <v>2012</v>
      </c>
      <c r="E550" s="2" t="s">
        <v>2048</v>
      </c>
      <c r="F550" s="4">
        <v>965.87</v>
      </c>
      <c r="G550" s="5">
        <v>884.44</v>
      </c>
      <c r="H550" s="6">
        <v>13</v>
      </c>
      <c r="I550" s="2" t="s">
        <v>2117</v>
      </c>
      <c r="J550" s="2" t="str">
        <v>Drive Compelling E-Services</v>
      </c>
      <c r="K550" s="2" t="str">
        <v>Office Supplies</v>
      </c>
      <c r="L550" s="2" t="str">
        <v>Morris-Villanueva</v>
      </c>
      <c r="M550" s="2">
        <v>27.22</v>
      </c>
      <c r="N550" s="16">
        <f t="shared" si="8"/>
        <v>0.91569258802944498</v>
      </c>
    </row>
    <row r="551" spans="2:14" ht="14.4" customHeight="1" x14ac:dyDescent="0.3">
      <c r="B551" s="2" t="s">
        <v>556</v>
      </c>
      <c r="C551" s="3">
        <v>44682</v>
      </c>
      <c r="D551" s="2" t="s">
        <v>2010</v>
      </c>
      <c r="E551" s="2" t="s">
        <v>2074</v>
      </c>
      <c r="F551" s="4">
        <v>4178.09</v>
      </c>
      <c r="G551" s="5">
        <v>848.91</v>
      </c>
      <c r="H551" s="6">
        <v>10</v>
      </c>
      <c r="I551" s="2" t="s">
        <v>2118</v>
      </c>
      <c r="J551" s="2" t="str">
        <v>Utilize Ubiquitous Synergies</v>
      </c>
      <c r="K551" s="2" t="str">
        <v>Electronics</v>
      </c>
      <c r="L551" s="2" t="str">
        <v>Kramer, Huang and Shaw</v>
      </c>
      <c r="M551" s="2">
        <v>295.89999999999998</v>
      </c>
      <c r="N551" s="16">
        <f t="shared" si="8"/>
        <v>0.20318135798893752</v>
      </c>
    </row>
    <row r="552" spans="2:14" ht="14.4" customHeight="1" x14ac:dyDescent="0.3">
      <c r="B552" s="2" t="s">
        <v>557</v>
      </c>
      <c r="C552" s="3">
        <v>45527</v>
      </c>
      <c r="D552" s="2" t="s">
        <v>2009</v>
      </c>
      <c r="E552" s="2" t="s">
        <v>2072</v>
      </c>
      <c r="F552" s="4">
        <v>4017.97</v>
      </c>
      <c r="G552" s="5">
        <v>902.62</v>
      </c>
      <c r="H552" s="6">
        <v>6</v>
      </c>
      <c r="I552" s="2" t="s">
        <v>2116</v>
      </c>
      <c r="J552" s="2" t="str">
        <v>Evolve Innovative Web Services</v>
      </c>
      <c r="K552" s="2" t="str">
        <v>Furniture</v>
      </c>
      <c r="L552" s="2" t="str">
        <v>Bush Inc</v>
      </c>
      <c r="M552" s="2">
        <v>87.75</v>
      </c>
      <c r="N552" s="16">
        <f t="shared" si="8"/>
        <v>0.22464577883856773</v>
      </c>
    </row>
    <row r="553" spans="2:14" ht="14.4" customHeight="1" x14ac:dyDescent="0.3">
      <c r="B553" s="2" t="s">
        <v>558</v>
      </c>
      <c r="C553" s="3">
        <v>43932</v>
      </c>
      <c r="D553" s="2" t="s">
        <v>2010</v>
      </c>
      <c r="E553" s="2" t="s">
        <v>2109</v>
      </c>
      <c r="F553" s="4">
        <v>1021.37</v>
      </c>
      <c r="G553" s="5">
        <v>484.63</v>
      </c>
      <c r="H553" s="6">
        <v>13</v>
      </c>
      <c r="I553" s="2" t="s">
        <v>2118</v>
      </c>
      <c r="J553" s="2" t="str">
        <v>Deliver Viral Eyeballs</v>
      </c>
      <c r="K553" s="2" t="str">
        <v>Office Supplies</v>
      </c>
      <c r="L553" s="2" t="str">
        <v>Estes, Chan and Thomas</v>
      </c>
      <c r="M553" s="2">
        <v>16.89</v>
      </c>
      <c r="N553" s="16">
        <f t="shared" si="8"/>
        <v>0.47449014558876801</v>
      </c>
    </row>
    <row r="554" spans="2:14" ht="14.4" customHeight="1" x14ac:dyDescent="0.3">
      <c r="B554" s="2" t="s">
        <v>559</v>
      </c>
      <c r="C554" s="3">
        <v>44240</v>
      </c>
      <c r="D554" s="2" t="s">
        <v>2009</v>
      </c>
      <c r="E554" s="2" t="s">
        <v>2069</v>
      </c>
      <c r="F554" s="4">
        <v>2367.54</v>
      </c>
      <c r="G554" s="5">
        <v>381.01</v>
      </c>
      <c r="H554" s="6">
        <v>9</v>
      </c>
      <c r="I554" s="2" t="s">
        <v>2116</v>
      </c>
      <c r="J554" s="2" t="str">
        <v>Optimize Transparent E-Markets</v>
      </c>
      <c r="K554" s="2" t="str">
        <v>Office Supplies</v>
      </c>
      <c r="L554" s="2" t="str">
        <v>Lee, Tyler and Blevins</v>
      </c>
      <c r="M554" s="2">
        <v>111.22</v>
      </c>
      <c r="N554" s="16">
        <f t="shared" si="8"/>
        <v>0.16093075512979718</v>
      </c>
    </row>
    <row r="555" spans="2:14" ht="14.4" customHeight="1" x14ac:dyDescent="0.3">
      <c r="B555" s="2" t="s">
        <v>560</v>
      </c>
      <c r="C555" s="3">
        <v>45595</v>
      </c>
      <c r="D555" s="2" t="s">
        <v>2012</v>
      </c>
      <c r="E555" s="2" t="s">
        <v>2082</v>
      </c>
      <c r="F555" s="4">
        <v>2317.7199999999998</v>
      </c>
      <c r="G555" s="5">
        <v>322.60000000000002</v>
      </c>
      <c r="H555" s="6">
        <v>8</v>
      </c>
      <c r="I555" s="2" t="s">
        <v>2117</v>
      </c>
      <c r="J555" s="2" t="str">
        <v>Re-Contextualize Viral Markets</v>
      </c>
      <c r="K555" s="2" t="str">
        <v>Electronics</v>
      </c>
      <c r="L555" s="2" t="str">
        <v>Meadows-Barber</v>
      </c>
      <c r="M555" s="2">
        <v>177.52</v>
      </c>
      <c r="N555" s="16">
        <f t="shared" si="8"/>
        <v>0.13918851284883421</v>
      </c>
    </row>
    <row r="556" spans="2:14" ht="14.4" customHeight="1" x14ac:dyDescent="0.3">
      <c r="B556" s="2" t="s">
        <v>561</v>
      </c>
      <c r="C556" s="3">
        <v>44116</v>
      </c>
      <c r="D556" s="2" t="s">
        <v>2010</v>
      </c>
      <c r="E556" s="2" t="s">
        <v>2090</v>
      </c>
      <c r="F556" s="4">
        <v>3280.37</v>
      </c>
      <c r="G556" s="5">
        <v>435.43</v>
      </c>
      <c r="H556" s="6">
        <v>4</v>
      </c>
      <c r="I556" s="2" t="s">
        <v>2117</v>
      </c>
      <c r="J556" s="2" t="str">
        <v>Empower Bleeding-Edge Action-Items</v>
      </c>
      <c r="K556" s="2" t="str">
        <v>Furniture</v>
      </c>
      <c r="L556" s="2" t="str">
        <v>Gray, Hayes and Banks</v>
      </c>
      <c r="M556" s="2">
        <v>204.26</v>
      </c>
      <c r="N556" s="16">
        <f t="shared" si="8"/>
        <v>0.13273807527809364</v>
      </c>
    </row>
    <row r="557" spans="2:14" ht="14.4" customHeight="1" x14ac:dyDescent="0.3">
      <c r="B557" s="2" t="s">
        <v>562</v>
      </c>
      <c r="C557" s="3">
        <v>45286</v>
      </c>
      <c r="D557" s="2" t="s">
        <v>2011</v>
      </c>
      <c r="E557" s="2" t="s">
        <v>2054</v>
      </c>
      <c r="F557" s="4">
        <v>697.76</v>
      </c>
      <c r="G557" s="5">
        <v>115.69</v>
      </c>
      <c r="H557" s="6">
        <v>15</v>
      </c>
      <c r="I557" s="2" t="s">
        <v>2116</v>
      </c>
      <c r="J557" s="2" t="str">
        <v>Empower Killer Info-Mediaries</v>
      </c>
      <c r="K557" s="2" t="str">
        <v>Furniture</v>
      </c>
      <c r="L557" s="2" t="str">
        <v>Jones Ltd</v>
      </c>
      <c r="M557" s="2">
        <v>213.24</v>
      </c>
      <c r="N557" s="16">
        <f t="shared" si="8"/>
        <v>0.1658019949552855</v>
      </c>
    </row>
    <row r="558" spans="2:14" ht="14.4" customHeight="1" x14ac:dyDescent="0.3">
      <c r="B558" s="2" t="s">
        <v>563</v>
      </c>
      <c r="C558" s="3">
        <v>44094</v>
      </c>
      <c r="D558" s="2" t="s">
        <v>2009</v>
      </c>
      <c r="E558" s="2" t="s">
        <v>2053</v>
      </c>
      <c r="F558" s="4">
        <v>3035.58</v>
      </c>
      <c r="G558" s="5">
        <v>617.79999999999995</v>
      </c>
      <c r="H558" s="6">
        <v>5</v>
      </c>
      <c r="I558" s="2" t="s">
        <v>2116</v>
      </c>
      <c r="J558" s="2" t="str">
        <v>Transition Mission-Critical Interfaces</v>
      </c>
      <c r="K558" s="2" t="str">
        <v>Office Supplies</v>
      </c>
      <c r="L558" s="2" t="str">
        <v>Weaver Ltd</v>
      </c>
      <c r="M558" s="2">
        <v>34.64</v>
      </c>
      <c r="N558" s="16">
        <f t="shared" si="8"/>
        <v>0.20351959098426001</v>
      </c>
    </row>
    <row r="559" spans="2:14" ht="14.4" customHeight="1" x14ac:dyDescent="0.3">
      <c r="B559" s="2" t="s">
        <v>564</v>
      </c>
      <c r="C559" s="3">
        <v>44960</v>
      </c>
      <c r="D559" s="2" t="s">
        <v>2011</v>
      </c>
      <c r="E559" s="2" t="s">
        <v>2021</v>
      </c>
      <c r="F559" s="4">
        <v>752.41</v>
      </c>
      <c r="G559" s="5">
        <v>680.24</v>
      </c>
      <c r="H559" s="6">
        <v>2</v>
      </c>
      <c r="I559" s="2" t="s">
        <v>2116</v>
      </c>
      <c r="J559" s="2" t="str">
        <v>Whiteboard Compelling Experiences</v>
      </c>
      <c r="K559" s="2" t="str">
        <v>Furniture</v>
      </c>
      <c r="L559" s="2" t="str">
        <v>Carrillo, Carr and Ball</v>
      </c>
      <c r="M559" s="2">
        <v>206.54</v>
      </c>
      <c r="N559" s="16">
        <f t="shared" si="8"/>
        <v>0.90408155128188095</v>
      </c>
    </row>
    <row r="560" spans="2:14" ht="14.4" customHeight="1" x14ac:dyDescent="0.3">
      <c r="B560" s="2" t="s">
        <v>565</v>
      </c>
      <c r="C560" s="3">
        <v>45422</v>
      </c>
      <c r="D560" s="2" t="s">
        <v>2012</v>
      </c>
      <c r="E560" s="2" t="s">
        <v>2095</v>
      </c>
      <c r="F560" s="4">
        <v>3993.97</v>
      </c>
      <c r="G560" s="5">
        <v>387.59</v>
      </c>
      <c r="H560" s="6">
        <v>18</v>
      </c>
      <c r="I560" s="2" t="s">
        <v>2117</v>
      </c>
      <c r="J560" s="2" t="str">
        <v>Envisioneer B2B Users</v>
      </c>
      <c r="K560" s="2" t="str">
        <v>Office Supplies</v>
      </c>
      <c r="L560" s="2" t="str">
        <v>Rogers Group</v>
      </c>
      <c r="M560" s="2">
        <v>239.16</v>
      </c>
      <c r="N560" s="16">
        <f t="shared" si="8"/>
        <v>9.7043793518729479E-2</v>
      </c>
    </row>
    <row r="561" spans="2:14" ht="14.4" customHeight="1" x14ac:dyDescent="0.3">
      <c r="B561" s="2" t="s">
        <v>566</v>
      </c>
      <c r="C561" s="3">
        <v>44428</v>
      </c>
      <c r="D561" s="2" t="s">
        <v>2012</v>
      </c>
      <c r="E561" s="2" t="s">
        <v>2094</v>
      </c>
      <c r="F561" s="4">
        <v>4681.49</v>
      </c>
      <c r="G561" s="5">
        <v>71.930000000000007</v>
      </c>
      <c r="H561" s="6">
        <v>20</v>
      </c>
      <c r="I561" s="2" t="s">
        <v>2117</v>
      </c>
      <c r="J561" s="2" t="str">
        <v>Implement Rich Platforms</v>
      </c>
      <c r="K561" s="2" t="str">
        <v>Electronics</v>
      </c>
      <c r="L561" s="2" t="str">
        <v>Parker, Anderson and Salazar</v>
      </c>
      <c r="M561" s="2">
        <v>53.59</v>
      </c>
      <c r="N561" s="16">
        <f t="shared" si="8"/>
        <v>1.5364766345757442E-2</v>
      </c>
    </row>
    <row r="562" spans="2:14" ht="14.4" customHeight="1" x14ac:dyDescent="0.3">
      <c r="B562" s="2" t="s">
        <v>567</v>
      </c>
      <c r="C562" s="3">
        <v>44448</v>
      </c>
      <c r="D562" s="2" t="s">
        <v>2011</v>
      </c>
      <c r="E562" s="2" t="s">
        <v>2088</v>
      </c>
      <c r="F562" s="4">
        <v>3461.81</v>
      </c>
      <c r="G562" s="5">
        <v>631.45000000000005</v>
      </c>
      <c r="H562" s="6">
        <v>16</v>
      </c>
      <c r="I562" s="2" t="s">
        <v>2116</v>
      </c>
      <c r="J562" s="2" t="str">
        <v>E-Enable Holistic Supply-Chains</v>
      </c>
      <c r="K562" s="2" t="str">
        <v>Furniture</v>
      </c>
      <c r="L562" s="2" t="str">
        <v>Lin-Mcdaniel</v>
      </c>
      <c r="M562" s="2">
        <v>160.33000000000001</v>
      </c>
      <c r="N562" s="16">
        <f t="shared" si="8"/>
        <v>0.18240458026292605</v>
      </c>
    </row>
    <row r="563" spans="2:14" ht="14.4" customHeight="1" x14ac:dyDescent="0.3">
      <c r="B563" s="2" t="s">
        <v>568</v>
      </c>
      <c r="C563" s="3">
        <v>44440</v>
      </c>
      <c r="D563" s="2" t="s">
        <v>2011</v>
      </c>
      <c r="E563" s="2" t="s">
        <v>2050</v>
      </c>
      <c r="F563" s="4">
        <v>4366.79</v>
      </c>
      <c r="G563" s="5">
        <v>385.31</v>
      </c>
      <c r="H563" s="6">
        <v>20</v>
      </c>
      <c r="I563" s="2" t="s">
        <v>2117</v>
      </c>
      <c r="J563" s="2" t="str">
        <v>Extend Bricks-And-Clicks Architectures</v>
      </c>
      <c r="K563" s="2" t="str">
        <v>Furniture</v>
      </c>
      <c r="L563" s="2" t="str">
        <v>Fuller PLC</v>
      </c>
      <c r="M563" s="2">
        <v>202.99</v>
      </c>
      <c r="N563" s="16">
        <f t="shared" si="8"/>
        <v>8.8236439123475147E-2</v>
      </c>
    </row>
    <row r="564" spans="2:14" ht="14.4" customHeight="1" x14ac:dyDescent="0.3">
      <c r="B564" s="2" t="s">
        <v>569</v>
      </c>
      <c r="C564" s="3">
        <v>44157</v>
      </c>
      <c r="D564" s="2" t="s">
        <v>2010</v>
      </c>
      <c r="E564" s="2" t="s">
        <v>2079</v>
      </c>
      <c r="F564" s="4">
        <v>2585.36</v>
      </c>
      <c r="G564" s="5">
        <v>206.47</v>
      </c>
      <c r="H564" s="6">
        <v>20</v>
      </c>
      <c r="I564" s="2" t="s">
        <v>2117</v>
      </c>
      <c r="J564" s="2" t="str">
        <v>Iterate Extensible Roi</v>
      </c>
      <c r="K564" s="2" t="str">
        <v>Office Supplies</v>
      </c>
      <c r="L564" s="2" t="str">
        <v>Hill-Kelly</v>
      </c>
      <c r="M564" s="2">
        <v>180</v>
      </c>
      <c r="N564" s="16">
        <f t="shared" si="8"/>
        <v>7.9861218553702387E-2</v>
      </c>
    </row>
    <row r="565" spans="2:14" ht="14.4" customHeight="1" x14ac:dyDescent="0.3">
      <c r="B565" s="2" t="s">
        <v>570</v>
      </c>
      <c r="C565" s="3">
        <v>44128</v>
      </c>
      <c r="D565" s="2" t="s">
        <v>2012</v>
      </c>
      <c r="E565" s="2" t="s">
        <v>2102</v>
      </c>
      <c r="F565" s="4">
        <v>833.17</v>
      </c>
      <c r="G565" s="5">
        <v>424.44</v>
      </c>
      <c r="H565" s="6">
        <v>19</v>
      </c>
      <c r="I565" s="2" t="s">
        <v>2117</v>
      </c>
      <c r="J565" s="2" t="str">
        <v>Re-Contextualize Viral Mindshare</v>
      </c>
      <c r="K565" s="2" t="str">
        <v>Electronics</v>
      </c>
      <c r="L565" s="2" t="str">
        <v>Carter-Lane</v>
      </c>
      <c r="M565" s="2">
        <v>142.25</v>
      </c>
      <c r="N565" s="16">
        <f t="shared" si="8"/>
        <v>0.50942784785818018</v>
      </c>
    </row>
    <row r="566" spans="2:14" ht="14.4" customHeight="1" x14ac:dyDescent="0.3">
      <c r="B566" s="2" t="s">
        <v>571</v>
      </c>
      <c r="C566" s="3">
        <v>44015</v>
      </c>
      <c r="D566" s="2" t="s">
        <v>2011</v>
      </c>
      <c r="E566" s="2" t="s">
        <v>2094</v>
      </c>
      <c r="F566" s="4">
        <v>3661.58</v>
      </c>
      <c r="G566" s="5">
        <v>194.7</v>
      </c>
      <c r="H566" s="6">
        <v>17</v>
      </c>
      <c r="I566" s="2" t="s">
        <v>2118</v>
      </c>
      <c r="J566" s="2" t="str">
        <v>Implement Rich Platforms</v>
      </c>
      <c r="K566" s="2" t="str">
        <v>Electronics</v>
      </c>
      <c r="L566" s="2" t="str">
        <v>Parker, Anderson and Salazar</v>
      </c>
      <c r="M566" s="2">
        <v>53.59</v>
      </c>
      <c r="N566" s="16">
        <f t="shared" si="8"/>
        <v>5.3173766516094144E-2</v>
      </c>
    </row>
    <row r="567" spans="2:14" ht="14.4" customHeight="1" x14ac:dyDescent="0.3">
      <c r="B567" s="2" t="s">
        <v>572</v>
      </c>
      <c r="C567" s="3">
        <v>44467</v>
      </c>
      <c r="D567" s="2" t="s">
        <v>2010</v>
      </c>
      <c r="E567" s="2" t="s">
        <v>2037</v>
      </c>
      <c r="F567" s="4">
        <v>4568.79</v>
      </c>
      <c r="G567" s="5">
        <v>903.9</v>
      </c>
      <c r="H567" s="6">
        <v>14</v>
      </c>
      <c r="I567" s="2" t="s">
        <v>2118</v>
      </c>
      <c r="J567" s="2" t="str">
        <v>Utilize Back-End Models</v>
      </c>
      <c r="K567" s="2" t="str">
        <v>Furniture</v>
      </c>
      <c r="L567" s="2" t="str">
        <v>Lewis-Holden</v>
      </c>
      <c r="M567" s="2">
        <v>241.53</v>
      </c>
      <c r="N567" s="16">
        <f t="shared" si="8"/>
        <v>0.19784231711240832</v>
      </c>
    </row>
    <row r="568" spans="2:14" ht="14.4" customHeight="1" x14ac:dyDescent="0.3">
      <c r="B568" s="2" t="s">
        <v>573</v>
      </c>
      <c r="C568" s="3">
        <v>44495</v>
      </c>
      <c r="D568" s="2" t="s">
        <v>2012</v>
      </c>
      <c r="E568" s="2" t="s">
        <v>2048</v>
      </c>
      <c r="F568" s="4">
        <v>1087.8</v>
      </c>
      <c r="G568" s="5">
        <v>850.59</v>
      </c>
      <c r="H568" s="6">
        <v>18</v>
      </c>
      <c r="I568" s="2" t="s">
        <v>2117</v>
      </c>
      <c r="J568" s="2" t="str">
        <v>Drive Compelling E-Services</v>
      </c>
      <c r="K568" s="2" t="str">
        <v>Office Supplies</v>
      </c>
      <c r="L568" s="2" t="str">
        <v>Morris-Villanueva</v>
      </c>
      <c r="M568" s="2">
        <v>27.22</v>
      </c>
      <c r="N568" s="16">
        <f t="shared" si="8"/>
        <v>0.78193601765030341</v>
      </c>
    </row>
    <row r="569" spans="2:14" ht="14.4" customHeight="1" x14ac:dyDescent="0.3">
      <c r="B569" s="2" t="s">
        <v>574</v>
      </c>
      <c r="C569" s="3">
        <v>45007</v>
      </c>
      <c r="D569" s="2" t="s">
        <v>2009</v>
      </c>
      <c r="E569" s="2" t="s">
        <v>2043</v>
      </c>
      <c r="F569" s="4">
        <v>4654.57</v>
      </c>
      <c r="G569" s="5">
        <v>685.85</v>
      </c>
      <c r="H569" s="6">
        <v>3</v>
      </c>
      <c r="I569" s="2" t="s">
        <v>2116</v>
      </c>
      <c r="J569" s="2" t="str">
        <v>Brand Distributed Info-Mediaries</v>
      </c>
      <c r="K569" s="2" t="str">
        <v>Furniture</v>
      </c>
      <c r="L569" s="2" t="str">
        <v>Garcia Ltd</v>
      </c>
      <c r="M569" s="2">
        <v>114.48</v>
      </c>
      <c r="N569" s="16">
        <f t="shared" si="8"/>
        <v>0.14734980889749216</v>
      </c>
    </row>
    <row r="570" spans="2:14" ht="14.4" customHeight="1" x14ac:dyDescent="0.3">
      <c r="B570" s="2" t="s">
        <v>575</v>
      </c>
      <c r="C570" s="3">
        <v>45389</v>
      </c>
      <c r="D570" s="2" t="s">
        <v>2011</v>
      </c>
      <c r="E570" s="2" t="s">
        <v>2038</v>
      </c>
      <c r="F570" s="4">
        <v>3548.99</v>
      </c>
      <c r="G570" s="5">
        <v>421.88</v>
      </c>
      <c r="H570" s="6">
        <v>6</v>
      </c>
      <c r="I570" s="2" t="s">
        <v>2116</v>
      </c>
      <c r="J570" s="2" t="str">
        <v>Reinvent Mission-Critical Markets</v>
      </c>
      <c r="K570" s="2" t="str">
        <v>Furniture</v>
      </c>
      <c r="L570" s="2" t="str">
        <v>Gilbert-Sanders</v>
      </c>
      <c r="M570" s="2">
        <v>154.21</v>
      </c>
      <c r="N570" s="16">
        <f t="shared" si="8"/>
        <v>0.11887325689844154</v>
      </c>
    </row>
    <row r="571" spans="2:14" ht="14.4" customHeight="1" x14ac:dyDescent="0.3">
      <c r="B571" s="2" t="s">
        <v>576</v>
      </c>
      <c r="C571" s="3">
        <v>44405</v>
      </c>
      <c r="D571" s="2" t="s">
        <v>2011</v>
      </c>
      <c r="E571" s="2" t="s">
        <v>2061</v>
      </c>
      <c r="F571" s="4">
        <v>734.55</v>
      </c>
      <c r="G571" s="5">
        <v>336.47</v>
      </c>
      <c r="H571" s="6">
        <v>16</v>
      </c>
      <c r="I571" s="2" t="s">
        <v>2116</v>
      </c>
      <c r="J571" s="2" t="str">
        <v>Optimize Collaborative Initiatives</v>
      </c>
      <c r="K571" s="2" t="str">
        <v>Electronics</v>
      </c>
      <c r="L571" s="2" t="str">
        <v>Adkins Ltd</v>
      </c>
      <c r="M571" s="2">
        <v>34.46</v>
      </c>
      <c r="N571" s="16">
        <f t="shared" si="8"/>
        <v>0.45806275951262687</v>
      </c>
    </row>
    <row r="572" spans="2:14" ht="14.4" customHeight="1" x14ac:dyDescent="0.3">
      <c r="B572" s="2" t="s">
        <v>577</v>
      </c>
      <c r="C572" s="3">
        <v>43920</v>
      </c>
      <c r="D572" s="2" t="s">
        <v>2011</v>
      </c>
      <c r="E572" s="2" t="s">
        <v>2043</v>
      </c>
      <c r="F572" s="4">
        <v>4078.66</v>
      </c>
      <c r="G572" s="5">
        <v>350.24</v>
      </c>
      <c r="H572" s="6">
        <v>15</v>
      </c>
      <c r="I572" s="2" t="s">
        <v>2118</v>
      </c>
      <c r="J572" s="2" t="str">
        <v>Brand Distributed Info-Mediaries</v>
      </c>
      <c r="K572" s="2" t="str">
        <v>Furniture</v>
      </c>
      <c r="L572" s="2" t="str">
        <v>Garcia Ltd</v>
      </c>
      <c r="M572" s="2">
        <v>114.48</v>
      </c>
      <c r="N572" s="16">
        <f t="shared" si="8"/>
        <v>8.587134009699264E-2</v>
      </c>
    </row>
    <row r="573" spans="2:14" ht="14.4" customHeight="1" x14ac:dyDescent="0.3">
      <c r="B573" s="2" t="s">
        <v>578</v>
      </c>
      <c r="C573" s="3">
        <v>45091</v>
      </c>
      <c r="D573" s="2" t="s">
        <v>2010</v>
      </c>
      <c r="E573" s="2" t="s">
        <v>2107</v>
      </c>
      <c r="F573" s="4">
        <v>608.15</v>
      </c>
      <c r="G573" s="5">
        <v>354.91</v>
      </c>
      <c r="H573" s="6">
        <v>20</v>
      </c>
      <c r="I573" s="2" t="s">
        <v>2118</v>
      </c>
      <c r="J573" s="2" t="str">
        <v>Extend Bricks-And-Clicks Niches</v>
      </c>
      <c r="K573" s="2" t="str">
        <v>Office Supplies</v>
      </c>
      <c r="L573" s="2" t="str">
        <v>Hernandez-Rios</v>
      </c>
      <c r="M573" s="2">
        <v>65.989999999999995</v>
      </c>
      <c r="N573" s="16">
        <f t="shared" si="8"/>
        <v>0.5835895749403931</v>
      </c>
    </row>
    <row r="574" spans="2:14" ht="14.4" customHeight="1" x14ac:dyDescent="0.3">
      <c r="B574" s="2" t="s">
        <v>579</v>
      </c>
      <c r="C574" s="3">
        <v>45543</v>
      </c>
      <c r="D574" s="2" t="s">
        <v>2009</v>
      </c>
      <c r="E574" s="2" t="s">
        <v>2055</v>
      </c>
      <c r="F574" s="4">
        <v>3322.21</v>
      </c>
      <c r="G574" s="5">
        <v>150.09</v>
      </c>
      <c r="H574" s="6">
        <v>3</v>
      </c>
      <c r="I574" s="2" t="s">
        <v>2117</v>
      </c>
      <c r="J574" s="2" t="str">
        <v>Engineer Real-Time Architectures</v>
      </c>
      <c r="K574" s="2" t="str">
        <v>Furniture</v>
      </c>
      <c r="L574" s="2" t="str">
        <v>James and Sons</v>
      </c>
      <c r="M574" s="2">
        <v>127.23</v>
      </c>
      <c r="N574" s="16">
        <f t="shared" si="8"/>
        <v>4.5177758179043466E-2</v>
      </c>
    </row>
    <row r="575" spans="2:14" ht="14.4" customHeight="1" x14ac:dyDescent="0.3">
      <c r="B575" s="2" t="s">
        <v>580</v>
      </c>
      <c r="C575" s="3">
        <v>43859</v>
      </c>
      <c r="D575" s="2" t="s">
        <v>2012</v>
      </c>
      <c r="E575" s="2" t="s">
        <v>2088</v>
      </c>
      <c r="F575" s="4">
        <v>2265.86</v>
      </c>
      <c r="G575" s="5">
        <v>484.24</v>
      </c>
      <c r="H575" s="6">
        <v>7</v>
      </c>
      <c r="I575" s="2" t="s">
        <v>2116</v>
      </c>
      <c r="J575" s="2" t="str">
        <v>E-Enable Holistic Supply-Chains</v>
      </c>
      <c r="K575" s="2" t="str">
        <v>Furniture</v>
      </c>
      <c r="L575" s="2" t="str">
        <v>Lin-Mcdaniel</v>
      </c>
      <c r="M575" s="2">
        <v>160.33000000000001</v>
      </c>
      <c r="N575" s="16">
        <f t="shared" si="8"/>
        <v>0.21371135021581208</v>
      </c>
    </row>
    <row r="576" spans="2:14" ht="14.4" customHeight="1" x14ac:dyDescent="0.3">
      <c r="B576" s="2" t="s">
        <v>581</v>
      </c>
      <c r="C576" s="3">
        <v>44550</v>
      </c>
      <c r="D576" s="2" t="s">
        <v>2011</v>
      </c>
      <c r="E576" s="2" t="s">
        <v>2104</v>
      </c>
      <c r="F576" s="4">
        <v>779.15</v>
      </c>
      <c r="G576" s="5">
        <v>515.19000000000005</v>
      </c>
      <c r="H576" s="6">
        <v>12</v>
      </c>
      <c r="I576" s="2" t="s">
        <v>2116</v>
      </c>
      <c r="J576" s="2" t="str">
        <v>Scale Cross-Platform Web Services</v>
      </c>
      <c r="K576" s="2" t="str">
        <v>Furniture</v>
      </c>
      <c r="L576" s="2" t="str">
        <v>Morrow, Brock and Lewis</v>
      </c>
      <c r="M576" s="2">
        <v>115.21</v>
      </c>
      <c r="N576" s="16">
        <f t="shared" si="8"/>
        <v>0.66122056086761227</v>
      </c>
    </row>
    <row r="577" spans="2:14" ht="14.4" customHeight="1" x14ac:dyDescent="0.3">
      <c r="B577" s="2" t="s">
        <v>582</v>
      </c>
      <c r="C577" s="3">
        <v>45338</v>
      </c>
      <c r="D577" s="2" t="s">
        <v>2009</v>
      </c>
      <c r="E577" s="2" t="s">
        <v>2083</v>
      </c>
      <c r="F577" s="4">
        <v>1468.68</v>
      </c>
      <c r="G577" s="5">
        <v>533.63</v>
      </c>
      <c r="H577" s="6">
        <v>11</v>
      </c>
      <c r="I577" s="2" t="s">
        <v>2117</v>
      </c>
      <c r="J577" s="2" t="str">
        <v>Whiteboard Sticky Content</v>
      </c>
      <c r="K577" s="2" t="str">
        <v>Furniture</v>
      </c>
      <c r="L577" s="2" t="str">
        <v>Wolfe Group</v>
      </c>
      <c r="M577" s="2">
        <v>82.16</v>
      </c>
      <c r="N577" s="16">
        <f t="shared" si="8"/>
        <v>0.36333986981507199</v>
      </c>
    </row>
    <row r="578" spans="2:14" ht="14.4" customHeight="1" x14ac:dyDescent="0.3">
      <c r="B578" s="2" t="s">
        <v>583</v>
      </c>
      <c r="C578" s="3">
        <v>45461</v>
      </c>
      <c r="D578" s="2" t="s">
        <v>2010</v>
      </c>
      <c r="E578" s="2" t="s">
        <v>2026</v>
      </c>
      <c r="F578" s="4">
        <v>1419.16</v>
      </c>
      <c r="G578" s="5">
        <v>746.09</v>
      </c>
      <c r="H578" s="6">
        <v>14</v>
      </c>
      <c r="I578" s="2" t="s">
        <v>2118</v>
      </c>
      <c r="J578" s="2" t="str">
        <v>Monetize Wireless Functionalities</v>
      </c>
      <c r="K578" s="2" t="str">
        <v>Furniture</v>
      </c>
      <c r="L578" s="2" t="str">
        <v>Robinson, Rodriguez and Hernandez</v>
      </c>
      <c r="M578" s="2">
        <v>162.22</v>
      </c>
      <c r="N578" s="16">
        <f t="shared" si="8"/>
        <v>0.52572648609036332</v>
      </c>
    </row>
    <row r="579" spans="2:14" ht="14.4" customHeight="1" x14ac:dyDescent="0.3">
      <c r="B579" s="2" t="s">
        <v>584</v>
      </c>
      <c r="C579" s="3">
        <v>45290</v>
      </c>
      <c r="D579" s="2" t="s">
        <v>2010</v>
      </c>
      <c r="E579" s="2" t="s">
        <v>2016</v>
      </c>
      <c r="F579" s="4">
        <v>4779.87</v>
      </c>
      <c r="G579" s="5">
        <v>497.5</v>
      </c>
      <c r="H579" s="6">
        <v>16</v>
      </c>
      <c r="I579" s="2" t="s">
        <v>2118</v>
      </c>
      <c r="J579" s="2" t="str">
        <v>Revolutionize Efficient Niches</v>
      </c>
      <c r="K579" s="2" t="str">
        <v>Electronics</v>
      </c>
      <c r="L579" s="2" t="str">
        <v>Lopez-Torres</v>
      </c>
      <c r="M579" s="2">
        <v>23.02</v>
      </c>
      <c r="N579" s="16">
        <f t="shared" si="8"/>
        <v>0.10408232859889495</v>
      </c>
    </row>
    <row r="580" spans="2:14" ht="14.4" customHeight="1" x14ac:dyDescent="0.3">
      <c r="B580" s="2" t="s">
        <v>585</v>
      </c>
      <c r="C580" s="3">
        <v>44451</v>
      </c>
      <c r="D580" s="2" t="s">
        <v>2009</v>
      </c>
      <c r="E580" s="2" t="s">
        <v>2051</v>
      </c>
      <c r="F580" s="4">
        <v>3542.42</v>
      </c>
      <c r="G580" s="5">
        <v>363.5</v>
      </c>
      <c r="H580" s="6">
        <v>12</v>
      </c>
      <c r="I580" s="2" t="s">
        <v>2116</v>
      </c>
      <c r="J580" s="2" t="str">
        <v>Generate Front-End Functionalities</v>
      </c>
      <c r="K580" s="2" t="str">
        <v>Office Supplies</v>
      </c>
      <c r="L580" s="2" t="str">
        <v>Morales-Brown</v>
      </c>
      <c r="M580" s="2">
        <v>299.77</v>
      </c>
      <c r="N580" s="16">
        <f t="shared" si="8"/>
        <v>0.10261346762947364</v>
      </c>
    </row>
    <row r="581" spans="2:14" ht="14.4" customHeight="1" x14ac:dyDescent="0.3">
      <c r="B581" s="2" t="s">
        <v>586</v>
      </c>
      <c r="C581" s="3">
        <v>45045</v>
      </c>
      <c r="D581" s="2" t="s">
        <v>2009</v>
      </c>
      <c r="E581" s="2" t="s">
        <v>2078</v>
      </c>
      <c r="F581" s="4">
        <v>1221.32</v>
      </c>
      <c r="G581" s="5">
        <v>745.13</v>
      </c>
      <c r="H581" s="6">
        <v>13</v>
      </c>
      <c r="I581" s="2" t="s">
        <v>2116</v>
      </c>
      <c r="J581" s="2" t="str">
        <v>Strategize E-Business Content</v>
      </c>
      <c r="K581" s="2" t="str">
        <v>Electronics</v>
      </c>
      <c r="L581" s="2" t="str">
        <v>Patterson LLC</v>
      </c>
      <c r="M581" s="2">
        <v>294.02</v>
      </c>
      <c r="N581" s="16">
        <f t="shared" ref="N581:N644" si="9">(G581/F581)</f>
        <v>0.61010218452166509</v>
      </c>
    </row>
    <row r="582" spans="2:14" ht="14.4" customHeight="1" x14ac:dyDescent="0.3">
      <c r="B582" s="2" t="s">
        <v>587</v>
      </c>
      <c r="C582" s="3">
        <v>44722</v>
      </c>
      <c r="D582" s="2" t="s">
        <v>2012</v>
      </c>
      <c r="E582" s="2" t="s">
        <v>2096</v>
      </c>
      <c r="F582" s="4">
        <v>4079.24</v>
      </c>
      <c r="G582" s="5">
        <v>74.22</v>
      </c>
      <c r="H582" s="6">
        <v>9</v>
      </c>
      <c r="I582" s="2" t="s">
        <v>2116</v>
      </c>
      <c r="J582" s="2" t="str">
        <v>Disintermediate Scalable Bandwidth</v>
      </c>
      <c r="K582" s="2" t="str">
        <v>Electronics</v>
      </c>
      <c r="L582" s="2" t="str">
        <v>Levy PLC</v>
      </c>
      <c r="M582" s="2">
        <v>19.86</v>
      </c>
      <c r="N582" s="16">
        <f t="shared" si="9"/>
        <v>1.8194565654386603E-2</v>
      </c>
    </row>
    <row r="583" spans="2:14" ht="14.4" customHeight="1" x14ac:dyDescent="0.3">
      <c r="B583" s="2" t="s">
        <v>588</v>
      </c>
      <c r="C583" s="3">
        <v>44541</v>
      </c>
      <c r="D583" s="2" t="s">
        <v>2011</v>
      </c>
      <c r="E583" s="2" t="s">
        <v>2077</v>
      </c>
      <c r="F583" s="4">
        <v>648.57000000000005</v>
      </c>
      <c r="G583" s="5">
        <v>158.79</v>
      </c>
      <c r="H583" s="6">
        <v>11</v>
      </c>
      <c r="I583" s="2" t="s">
        <v>2116</v>
      </c>
      <c r="J583" s="2" t="str">
        <v>Synthesize Wireless Initiatives</v>
      </c>
      <c r="K583" s="2" t="str">
        <v>Electronics</v>
      </c>
      <c r="L583" s="2" t="str">
        <v>Mosley Ltd</v>
      </c>
      <c r="M583" s="2">
        <v>162.69999999999999</v>
      </c>
      <c r="N583" s="16">
        <f t="shared" si="9"/>
        <v>0.24483093575095977</v>
      </c>
    </row>
    <row r="584" spans="2:14" ht="14.4" customHeight="1" x14ac:dyDescent="0.3">
      <c r="B584" s="2" t="s">
        <v>589</v>
      </c>
      <c r="C584" s="3">
        <v>45265</v>
      </c>
      <c r="D584" s="2" t="s">
        <v>2010</v>
      </c>
      <c r="E584" s="2" t="s">
        <v>2044</v>
      </c>
      <c r="F584" s="4">
        <v>933.38</v>
      </c>
      <c r="G584" s="5">
        <v>540.1</v>
      </c>
      <c r="H584" s="6">
        <v>5</v>
      </c>
      <c r="I584" s="2" t="s">
        <v>2117</v>
      </c>
      <c r="J584" s="2" t="str">
        <v>Grow Back-End Supply-Chains</v>
      </c>
      <c r="K584" s="2" t="str">
        <v>Electronics</v>
      </c>
      <c r="L584" s="2" t="str">
        <v>Green LLC</v>
      </c>
      <c r="M584" s="2">
        <v>140.08000000000001</v>
      </c>
      <c r="N584" s="16">
        <f t="shared" si="9"/>
        <v>0.57864963894662413</v>
      </c>
    </row>
    <row r="585" spans="2:14" ht="14.4" customHeight="1" x14ac:dyDescent="0.3">
      <c r="B585" s="2" t="s">
        <v>590</v>
      </c>
      <c r="C585" s="3">
        <v>45073</v>
      </c>
      <c r="D585" s="2" t="s">
        <v>2009</v>
      </c>
      <c r="E585" s="2" t="s">
        <v>2101</v>
      </c>
      <c r="F585" s="4">
        <v>3965.41</v>
      </c>
      <c r="G585" s="5">
        <v>287.97000000000003</v>
      </c>
      <c r="H585" s="6">
        <v>6</v>
      </c>
      <c r="I585" s="2" t="s">
        <v>2118</v>
      </c>
      <c r="J585" s="2" t="str">
        <v>Deploy Granular Channels</v>
      </c>
      <c r="K585" s="2" t="str">
        <v>Furniture</v>
      </c>
      <c r="L585" s="2" t="str">
        <v>Barnes Ltd</v>
      </c>
      <c r="M585" s="2">
        <v>288.99</v>
      </c>
      <c r="N585" s="16">
        <f t="shared" si="9"/>
        <v>7.2620485649655411E-2</v>
      </c>
    </row>
    <row r="586" spans="2:14" ht="14.4" customHeight="1" x14ac:dyDescent="0.3">
      <c r="B586" s="2" t="s">
        <v>591</v>
      </c>
      <c r="C586" s="3">
        <v>45214</v>
      </c>
      <c r="D586" s="2" t="s">
        <v>2011</v>
      </c>
      <c r="E586" s="2" t="s">
        <v>2053</v>
      </c>
      <c r="F586" s="4">
        <v>3287.12</v>
      </c>
      <c r="G586" s="5">
        <v>717.42</v>
      </c>
      <c r="H586" s="6">
        <v>1</v>
      </c>
      <c r="I586" s="2" t="s">
        <v>2118</v>
      </c>
      <c r="J586" s="2" t="str">
        <v>Transition Mission-Critical Interfaces</v>
      </c>
      <c r="K586" s="2" t="str">
        <v>Office Supplies</v>
      </c>
      <c r="L586" s="2" t="str">
        <v>Weaver Ltd</v>
      </c>
      <c r="M586" s="2">
        <v>34.64</v>
      </c>
      <c r="N586" s="16">
        <f t="shared" si="9"/>
        <v>0.2182518435591034</v>
      </c>
    </row>
    <row r="587" spans="2:14" ht="14.4" customHeight="1" x14ac:dyDescent="0.3">
      <c r="B587" s="2" t="s">
        <v>592</v>
      </c>
      <c r="C587" s="3">
        <v>44008</v>
      </c>
      <c r="D587" s="2" t="s">
        <v>2012</v>
      </c>
      <c r="E587" s="2" t="s">
        <v>2056</v>
      </c>
      <c r="F587" s="4">
        <v>2145.33</v>
      </c>
      <c r="G587" s="5">
        <v>929.65</v>
      </c>
      <c r="H587" s="6">
        <v>17</v>
      </c>
      <c r="I587" s="2" t="s">
        <v>2116</v>
      </c>
      <c r="J587" s="2" t="str">
        <v>Mesh Intuitive Supply-Chains</v>
      </c>
      <c r="K587" s="2" t="str">
        <v>Electronics</v>
      </c>
      <c r="L587" s="2" t="str">
        <v>Soto, Barnett and Heath</v>
      </c>
      <c r="M587" s="2">
        <v>281</v>
      </c>
      <c r="N587" s="16">
        <f t="shared" si="9"/>
        <v>0.4333365962346119</v>
      </c>
    </row>
    <row r="588" spans="2:14" ht="14.4" customHeight="1" x14ac:dyDescent="0.3">
      <c r="B588" s="2" t="s">
        <v>593</v>
      </c>
      <c r="C588" s="3">
        <v>43841</v>
      </c>
      <c r="D588" s="2" t="s">
        <v>2010</v>
      </c>
      <c r="E588" s="2" t="s">
        <v>2074</v>
      </c>
      <c r="F588" s="4">
        <v>1729.33</v>
      </c>
      <c r="G588" s="5">
        <v>884.3</v>
      </c>
      <c r="H588" s="6">
        <v>3</v>
      </c>
      <c r="I588" s="2" t="s">
        <v>2116</v>
      </c>
      <c r="J588" s="2" t="str">
        <v>Utilize Ubiquitous Synergies</v>
      </c>
      <c r="K588" s="2" t="str">
        <v>Electronics</v>
      </c>
      <c r="L588" s="2" t="str">
        <v>Kramer, Huang and Shaw</v>
      </c>
      <c r="M588" s="2">
        <v>295.89999999999998</v>
      </c>
      <c r="N588" s="16">
        <f t="shared" si="9"/>
        <v>0.51135410823845073</v>
      </c>
    </row>
    <row r="589" spans="2:14" ht="14.4" customHeight="1" x14ac:dyDescent="0.3">
      <c r="B589" s="2" t="s">
        <v>594</v>
      </c>
      <c r="C589" s="3">
        <v>44696</v>
      </c>
      <c r="D589" s="2" t="s">
        <v>2012</v>
      </c>
      <c r="E589" s="2" t="s">
        <v>2023</v>
      </c>
      <c r="F589" s="4">
        <v>446.16</v>
      </c>
      <c r="G589" s="5">
        <v>759.7</v>
      </c>
      <c r="H589" s="6">
        <v>1</v>
      </c>
      <c r="I589" s="2" t="s">
        <v>2116</v>
      </c>
      <c r="J589" s="2" t="str">
        <v>Leverage Cutting-Edge Vortals</v>
      </c>
      <c r="K589" s="2" t="str">
        <v>Electronics</v>
      </c>
      <c r="L589" s="2" t="str">
        <v>Robinson, Garrett and Chavez</v>
      </c>
      <c r="M589" s="2">
        <v>117.3</v>
      </c>
      <c r="N589" s="16">
        <f t="shared" si="9"/>
        <v>1.7027523758292988</v>
      </c>
    </row>
    <row r="590" spans="2:14" ht="14.4" customHeight="1" x14ac:dyDescent="0.3">
      <c r="B590" s="2" t="s">
        <v>595</v>
      </c>
      <c r="C590" s="3">
        <v>45105</v>
      </c>
      <c r="D590" s="2" t="s">
        <v>2011</v>
      </c>
      <c r="E590" s="2" t="s">
        <v>2062</v>
      </c>
      <c r="F590" s="4">
        <v>4271.28</v>
      </c>
      <c r="G590" s="5">
        <v>929.51</v>
      </c>
      <c r="H590" s="6">
        <v>5</v>
      </c>
      <c r="I590" s="2" t="s">
        <v>2118</v>
      </c>
      <c r="J590" s="2" t="str">
        <v>Incubate Real-Time E-Tailers</v>
      </c>
      <c r="K590" s="2" t="str">
        <v>Electronics</v>
      </c>
      <c r="L590" s="2" t="str">
        <v>Johnson-Riley</v>
      </c>
      <c r="M590" s="2">
        <v>86.67</v>
      </c>
      <c r="N590" s="16">
        <f t="shared" si="9"/>
        <v>0.21761860613211967</v>
      </c>
    </row>
    <row r="591" spans="2:14" ht="14.4" customHeight="1" x14ac:dyDescent="0.3">
      <c r="B591" s="2" t="s">
        <v>596</v>
      </c>
      <c r="C591" s="3">
        <v>43992</v>
      </c>
      <c r="D591" s="2" t="s">
        <v>2010</v>
      </c>
      <c r="E591" s="2" t="s">
        <v>2016</v>
      </c>
      <c r="F591" s="4">
        <v>451.13</v>
      </c>
      <c r="G591" s="5">
        <v>425.23</v>
      </c>
      <c r="H591" s="6">
        <v>15</v>
      </c>
      <c r="I591" s="2" t="s">
        <v>2116</v>
      </c>
      <c r="J591" s="2" t="str">
        <v>Revolutionize Efficient Niches</v>
      </c>
      <c r="K591" s="2" t="str">
        <v>Electronics</v>
      </c>
      <c r="L591" s="2" t="str">
        <v>Lopez-Torres</v>
      </c>
      <c r="M591" s="2">
        <v>23.02</v>
      </c>
      <c r="N591" s="16">
        <f t="shared" si="9"/>
        <v>0.94258861082171441</v>
      </c>
    </row>
    <row r="592" spans="2:14" ht="14.4" customHeight="1" x14ac:dyDescent="0.3">
      <c r="B592" s="2" t="s">
        <v>597</v>
      </c>
      <c r="C592" s="3">
        <v>44866</v>
      </c>
      <c r="D592" s="2" t="s">
        <v>2009</v>
      </c>
      <c r="E592" s="2" t="s">
        <v>2091</v>
      </c>
      <c r="F592" s="4">
        <v>4718.6499999999996</v>
      </c>
      <c r="G592" s="5">
        <v>871.93</v>
      </c>
      <c r="H592" s="6">
        <v>16</v>
      </c>
      <c r="I592" s="2" t="s">
        <v>2116</v>
      </c>
      <c r="J592" s="2" t="str">
        <v>Synthesize Scalable Portals</v>
      </c>
      <c r="K592" s="2" t="str">
        <v>Furniture</v>
      </c>
      <c r="L592" s="2" t="str">
        <v>Singh, Villa and Flynn</v>
      </c>
      <c r="M592" s="2">
        <v>298.57</v>
      </c>
      <c r="N592" s="16">
        <f t="shared" si="9"/>
        <v>0.18478378349739863</v>
      </c>
    </row>
    <row r="593" spans="2:14" ht="14.4" customHeight="1" x14ac:dyDescent="0.3">
      <c r="B593" s="2" t="s">
        <v>598</v>
      </c>
      <c r="C593" s="3">
        <v>44732</v>
      </c>
      <c r="D593" s="2" t="s">
        <v>2011</v>
      </c>
      <c r="E593" s="2" t="s">
        <v>2102</v>
      </c>
      <c r="F593" s="4">
        <v>3382.58</v>
      </c>
      <c r="G593" s="5">
        <v>29.04</v>
      </c>
      <c r="H593" s="6">
        <v>1</v>
      </c>
      <c r="I593" s="2" t="s">
        <v>2118</v>
      </c>
      <c r="J593" s="2" t="str">
        <v>Re-Contextualize Viral Mindshare</v>
      </c>
      <c r="K593" s="2" t="str">
        <v>Electronics</v>
      </c>
      <c r="L593" s="2" t="str">
        <v>Carter-Lane</v>
      </c>
      <c r="M593" s="2">
        <v>142.25</v>
      </c>
      <c r="N593" s="16">
        <f t="shared" si="9"/>
        <v>8.5851628047230212E-3</v>
      </c>
    </row>
    <row r="594" spans="2:14" ht="14.4" customHeight="1" x14ac:dyDescent="0.3">
      <c r="B594" s="2" t="s">
        <v>599</v>
      </c>
      <c r="C594" s="3">
        <v>44671</v>
      </c>
      <c r="D594" s="2" t="s">
        <v>2009</v>
      </c>
      <c r="E594" s="2" t="s">
        <v>2109</v>
      </c>
      <c r="F594" s="4">
        <v>3431.99</v>
      </c>
      <c r="G594" s="5">
        <v>575.58000000000004</v>
      </c>
      <c r="H594" s="6">
        <v>4</v>
      </c>
      <c r="I594" s="2" t="s">
        <v>2116</v>
      </c>
      <c r="J594" s="2" t="str">
        <v>Deliver Viral Eyeballs</v>
      </c>
      <c r="K594" s="2" t="str">
        <v>Office Supplies</v>
      </c>
      <c r="L594" s="2" t="str">
        <v>Estes, Chan and Thomas</v>
      </c>
      <c r="M594" s="2">
        <v>16.89</v>
      </c>
      <c r="N594" s="16">
        <f t="shared" si="9"/>
        <v>0.16771027887610399</v>
      </c>
    </row>
    <row r="595" spans="2:14" ht="14.4" customHeight="1" x14ac:dyDescent="0.3">
      <c r="B595" s="2" t="s">
        <v>600</v>
      </c>
      <c r="C595" s="3">
        <v>44405</v>
      </c>
      <c r="D595" s="2" t="s">
        <v>2012</v>
      </c>
      <c r="E595" s="2" t="s">
        <v>2028</v>
      </c>
      <c r="F595" s="4">
        <v>606.26</v>
      </c>
      <c r="G595" s="5">
        <v>732.51</v>
      </c>
      <c r="H595" s="6">
        <v>15</v>
      </c>
      <c r="I595" s="2" t="s">
        <v>2118</v>
      </c>
      <c r="J595" s="2" t="str">
        <v>Synergize World-Class Networks</v>
      </c>
      <c r="K595" s="2" t="str">
        <v>Electronics</v>
      </c>
      <c r="L595" s="2" t="str">
        <v>Gomez-Lawrence</v>
      </c>
      <c r="M595" s="2">
        <v>72.37</v>
      </c>
      <c r="N595" s="16">
        <f t="shared" si="9"/>
        <v>1.2082439877280375</v>
      </c>
    </row>
    <row r="596" spans="2:14" ht="14.4" customHeight="1" x14ac:dyDescent="0.3">
      <c r="B596" s="2" t="s">
        <v>601</v>
      </c>
      <c r="C596" s="3">
        <v>44405</v>
      </c>
      <c r="D596" s="2" t="s">
        <v>2010</v>
      </c>
      <c r="E596" s="2" t="s">
        <v>2054</v>
      </c>
      <c r="F596" s="4">
        <v>4604.68</v>
      </c>
      <c r="G596" s="5">
        <v>100.28</v>
      </c>
      <c r="H596" s="6">
        <v>13</v>
      </c>
      <c r="I596" s="2" t="s">
        <v>2117</v>
      </c>
      <c r="J596" s="2" t="str">
        <v>Empower Killer Info-Mediaries</v>
      </c>
      <c r="K596" s="2" t="str">
        <v>Furniture</v>
      </c>
      <c r="L596" s="2" t="str">
        <v>Jones Ltd</v>
      </c>
      <c r="M596" s="2">
        <v>213.24</v>
      </c>
      <c r="N596" s="16">
        <f t="shared" si="9"/>
        <v>2.1777843411485705E-2</v>
      </c>
    </row>
    <row r="597" spans="2:14" ht="14.4" customHeight="1" x14ac:dyDescent="0.3">
      <c r="B597" s="2" t="s">
        <v>602</v>
      </c>
      <c r="C597" s="3">
        <v>44365</v>
      </c>
      <c r="D597" s="2" t="s">
        <v>2010</v>
      </c>
      <c r="E597" s="2" t="s">
        <v>2073</v>
      </c>
      <c r="F597" s="4">
        <v>1732.68</v>
      </c>
      <c r="G597" s="5">
        <v>46.47</v>
      </c>
      <c r="H597" s="6">
        <v>20</v>
      </c>
      <c r="I597" s="2" t="s">
        <v>2116</v>
      </c>
      <c r="J597" s="2" t="str">
        <v>Visualize Dynamic E-Commerce</v>
      </c>
      <c r="K597" s="2" t="str">
        <v>Furniture</v>
      </c>
      <c r="L597" s="2" t="str">
        <v>Jones LLC</v>
      </c>
      <c r="M597" s="2">
        <v>92.61</v>
      </c>
      <c r="N597" s="16">
        <f t="shared" si="9"/>
        <v>2.6819724357642495E-2</v>
      </c>
    </row>
    <row r="598" spans="2:14" ht="14.4" customHeight="1" x14ac:dyDescent="0.3">
      <c r="B598" s="2" t="s">
        <v>603</v>
      </c>
      <c r="C598" s="3">
        <v>45362</v>
      </c>
      <c r="D598" s="2" t="s">
        <v>2009</v>
      </c>
      <c r="E598" s="2" t="s">
        <v>2093</v>
      </c>
      <c r="F598" s="4">
        <v>4367.01</v>
      </c>
      <c r="G598" s="5">
        <v>877.46</v>
      </c>
      <c r="H598" s="6">
        <v>4</v>
      </c>
      <c r="I598" s="2" t="s">
        <v>2116</v>
      </c>
      <c r="J598" s="2" t="str">
        <v>Synergize Frictionless Synergies</v>
      </c>
      <c r="K598" s="2" t="str">
        <v>Furniture</v>
      </c>
      <c r="L598" s="2" t="str">
        <v>Hester and Sons</v>
      </c>
      <c r="M598" s="2">
        <v>289.06</v>
      </c>
      <c r="N598" s="16">
        <f t="shared" si="9"/>
        <v>0.20092923991472425</v>
      </c>
    </row>
    <row r="599" spans="2:14" ht="14.4" customHeight="1" x14ac:dyDescent="0.3">
      <c r="B599" s="2" t="s">
        <v>604</v>
      </c>
      <c r="C599" s="3">
        <v>44338</v>
      </c>
      <c r="D599" s="2" t="s">
        <v>2012</v>
      </c>
      <c r="E599" s="2" t="s">
        <v>2056</v>
      </c>
      <c r="F599" s="4">
        <v>1656.12</v>
      </c>
      <c r="G599" s="5">
        <v>190.82</v>
      </c>
      <c r="H599" s="6">
        <v>5</v>
      </c>
      <c r="I599" s="2" t="s">
        <v>2116</v>
      </c>
      <c r="J599" s="2" t="str">
        <v>Mesh Intuitive Supply-Chains</v>
      </c>
      <c r="K599" s="2" t="str">
        <v>Electronics</v>
      </c>
      <c r="L599" s="2" t="str">
        <v>Soto, Barnett and Heath</v>
      </c>
      <c r="M599" s="2">
        <v>281</v>
      </c>
      <c r="N599" s="16">
        <f t="shared" si="9"/>
        <v>0.11522111924256696</v>
      </c>
    </row>
    <row r="600" spans="2:14" ht="14.4" customHeight="1" x14ac:dyDescent="0.3">
      <c r="B600" s="2" t="s">
        <v>605</v>
      </c>
      <c r="C600" s="3">
        <v>44237</v>
      </c>
      <c r="D600" s="2" t="s">
        <v>2012</v>
      </c>
      <c r="E600" s="2" t="s">
        <v>2080</v>
      </c>
      <c r="F600" s="4">
        <v>3005.26</v>
      </c>
      <c r="G600" s="5">
        <v>862.37</v>
      </c>
      <c r="H600" s="6">
        <v>18</v>
      </c>
      <c r="I600" s="2" t="s">
        <v>2118</v>
      </c>
      <c r="J600" s="2" t="str">
        <v>Scale Vertical Networks</v>
      </c>
      <c r="K600" s="2" t="str">
        <v>Furniture</v>
      </c>
      <c r="L600" s="2" t="str">
        <v>Lam, Wood and Jacobs</v>
      </c>
      <c r="M600" s="2">
        <v>133.24</v>
      </c>
      <c r="N600" s="16">
        <f t="shared" si="9"/>
        <v>0.2869535414573115</v>
      </c>
    </row>
    <row r="601" spans="2:14" ht="14.4" customHeight="1" x14ac:dyDescent="0.3">
      <c r="B601" s="2" t="s">
        <v>606</v>
      </c>
      <c r="C601" s="3">
        <v>44862</v>
      </c>
      <c r="D601" s="2" t="s">
        <v>2011</v>
      </c>
      <c r="E601" s="2" t="s">
        <v>2099</v>
      </c>
      <c r="F601" s="4">
        <v>4393.41</v>
      </c>
      <c r="G601" s="5">
        <v>783.93</v>
      </c>
      <c r="H601" s="6">
        <v>9</v>
      </c>
      <c r="I601" s="2" t="s">
        <v>2116</v>
      </c>
      <c r="J601" s="2" t="str">
        <v>Synergize Cross-Platform Vortals</v>
      </c>
      <c r="K601" s="2" t="str">
        <v>Furniture</v>
      </c>
      <c r="L601" s="2" t="str">
        <v>Edwards Group</v>
      </c>
      <c r="M601" s="2">
        <v>87.18</v>
      </c>
      <c r="N601" s="16">
        <f t="shared" si="9"/>
        <v>0.17843315329095166</v>
      </c>
    </row>
    <row r="602" spans="2:14" ht="14.4" customHeight="1" x14ac:dyDescent="0.3">
      <c r="B602" s="2" t="s">
        <v>607</v>
      </c>
      <c r="C602" s="3">
        <v>44301</v>
      </c>
      <c r="D602" s="2" t="s">
        <v>2010</v>
      </c>
      <c r="E602" s="2" t="s">
        <v>2082</v>
      </c>
      <c r="F602" s="4">
        <v>3127.34</v>
      </c>
      <c r="G602" s="5">
        <v>636.66999999999996</v>
      </c>
      <c r="H602" s="6">
        <v>20</v>
      </c>
      <c r="I602" s="2" t="s">
        <v>2116</v>
      </c>
      <c r="J602" s="2" t="str">
        <v>Re-Contextualize Viral Markets</v>
      </c>
      <c r="K602" s="2" t="str">
        <v>Electronics</v>
      </c>
      <c r="L602" s="2" t="str">
        <v>Meadows-Barber</v>
      </c>
      <c r="M602" s="2">
        <v>177.52</v>
      </c>
      <c r="N602" s="16">
        <f t="shared" si="9"/>
        <v>0.2035819578299769</v>
      </c>
    </row>
    <row r="603" spans="2:14" ht="14.4" customHeight="1" x14ac:dyDescent="0.3">
      <c r="B603" s="2" t="s">
        <v>608</v>
      </c>
      <c r="C603" s="3">
        <v>44508</v>
      </c>
      <c r="D603" s="2" t="s">
        <v>2012</v>
      </c>
      <c r="E603" s="2" t="s">
        <v>2054</v>
      </c>
      <c r="F603" s="4">
        <v>287.3</v>
      </c>
      <c r="G603" s="5">
        <v>718.3</v>
      </c>
      <c r="H603" s="6">
        <v>15</v>
      </c>
      <c r="I603" s="2" t="s">
        <v>2118</v>
      </c>
      <c r="J603" s="2" t="str">
        <v>Empower Killer Info-Mediaries</v>
      </c>
      <c r="K603" s="2" t="str">
        <v>Furniture</v>
      </c>
      <c r="L603" s="2" t="str">
        <v>Jones Ltd</v>
      </c>
      <c r="M603" s="2">
        <v>213.24</v>
      </c>
      <c r="N603" s="16">
        <f t="shared" si="9"/>
        <v>2.5001740341106853</v>
      </c>
    </row>
    <row r="604" spans="2:14" ht="14.4" customHeight="1" x14ac:dyDescent="0.3">
      <c r="B604" s="2" t="s">
        <v>609</v>
      </c>
      <c r="C604" s="3">
        <v>44513</v>
      </c>
      <c r="D604" s="2" t="s">
        <v>2010</v>
      </c>
      <c r="E604" s="2" t="s">
        <v>2111</v>
      </c>
      <c r="F604" s="4">
        <v>4045.14</v>
      </c>
      <c r="G604" s="5">
        <v>213.25</v>
      </c>
      <c r="H604" s="6">
        <v>18</v>
      </c>
      <c r="I604" s="2" t="s">
        <v>2116</v>
      </c>
      <c r="J604" s="2" t="str">
        <v>Evolve Intuitive Bandwidth</v>
      </c>
      <c r="K604" s="2" t="str">
        <v>Office Supplies</v>
      </c>
      <c r="L604" s="2" t="str">
        <v>Rogers Group</v>
      </c>
      <c r="M604" s="2">
        <v>131.63</v>
      </c>
      <c r="N604" s="16">
        <f t="shared" si="9"/>
        <v>5.2717582086157712E-2</v>
      </c>
    </row>
    <row r="605" spans="2:14" ht="14.4" customHeight="1" x14ac:dyDescent="0.3">
      <c r="B605" s="2" t="s">
        <v>610</v>
      </c>
      <c r="C605" s="3">
        <v>45129</v>
      </c>
      <c r="D605" s="2" t="s">
        <v>2012</v>
      </c>
      <c r="E605" s="2" t="s">
        <v>2052</v>
      </c>
      <c r="F605" s="4">
        <v>4313.54</v>
      </c>
      <c r="G605" s="5">
        <v>23.04</v>
      </c>
      <c r="H605" s="6">
        <v>11</v>
      </c>
      <c r="I605" s="2" t="s">
        <v>2118</v>
      </c>
      <c r="J605" s="2" t="str">
        <v>Innovate Sticky Web Services</v>
      </c>
      <c r="K605" s="2" t="str">
        <v>Electronics</v>
      </c>
      <c r="L605" s="2" t="str">
        <v>Friedman, Sanders and Adams</v>
      </c>
      <c r="M605" s="2">
        <v>125.85</v>
      </c>
      <c r="N605" s="16">
        <f t="shared" si="9"/>
        <v>5.3413205858761012E-3</v>
      </c>
    </row>
    <row r="606" spans="2:14" ht="14.4" customHeight="1" x14ac:dyDescent="0.3">
      <c r="B606" s="2" t="s">
        <v>611</v>
      </c>
      <c r="C606" s="3">
        <v>44092</v>
      </c>
      <c r="D606" s="2" t="s">
        <v>2009</v>
      </c>
      <c r="E606" s="2" t="s">
        <v>2112</v>
      </c>
      <c r="F606" s="4">
        <v>1801.15</v>
      </c>
      <c r="G606" s="5">
        <v>452.42</v>
      </c>
      <c r="H606" s="6">
        <v>15</v>
      </c>
      <c r="I606" s="2" t="s">
        <v>2116</v>
      </c>
      <c r="J606" s="2" t="str">
        <v>Mesh B2B Platforms</v>
      </c>
      <c r="K606" s="2" t="str">
        <v>Furniture</v>
      </c>
      <c r="L606" s="2" t="str">
        <v>Stevens, Walton and Riddle</v>
      </c>
      <c r="M606" s="2">
        <v>236.57</v>
      </c>
      <c r="N606" s="16">
        <f t="shared" si="9"/>
        <v>0.25118396579962798</v>
      </c>
    </row>
    <row r="607" spans="2:14" ht="14.4" customHeight="1" x14ac:dyDescent="0.3">
      <c r="B607" s="2" t="s">
        <v>612</v>
      </c>
      <c r="C607" s="3">
        <v>45439</v>
      </c>
      <c r="D607" s="2" t="s">
        <v>2012</v>
      </c>
      <c r="E607" s="2" t="s">
        <v>2022</v>
      </c>
      <c r="F607" s="4">
        <v>328.65</v>
      </c>
      <c r="G607" s="5">
        <v>443.78</v>
      </c>
      <c r="H607" s="6">
        <v>20</v>
      </c>
      <c r="I607" s="2" t="s">
        <v>2117</v>
      </c>
      <c r="J607" s="2" t="str">
        <v>Monetize Collaborative Metrics</v>
      </c>
      <c r="K607" s="2" t="str">
        <v>Electronics</v>
      </c>
      <c r="L607" s="2" t="str">
        <v>Ramirez-Brown</v>
      </c>
      <c r="M607" s="2">
        <v>286.04000000000002</v>
      </c>
      <c r="N607" s="16">
        <f t="shared" si="9"/>
        <v>1.3503118819412749</v>
      </c>
    </row>
    <row r="608" spans="2:14" ht="14.4" customHeight="1" x14ac:dyDescent="0.3">
      <c r="B608" s="2" t="s">
        <v>613</v>
      </c>
      <c r="C608" s="3">
        <v>45209</v>
      </c>
      <c r="D608" s="2" t="s">
        <v>2011</v>
      </c>
      <c r="E608" s="2" t="s">
        <v>2039</v>
      </c>
      <c r="F608" s="4">
        <v>2109.02</v>
      </c>
      <c r="G608" s="5">
        <v>192.64</v>
      </c>
      <c r="H608" s="6">
        <v>8</v>
      </c>
      <c r="I608" s="2" t="s">
        <v>2116</v>
      </c>
      <c r="J608" s="2" t="str">
        <v>Empower Dot-Com Deliverables</v>
      </c>
      <c r="K608" s="2" t="str">
        <v>Electronics</v>
      </c>
      <c r="L608" s="2" t="str">
        <v>Davis LLC</v>
      </c>
      <c r="M608" s="2">
        <v>250.66</v>
      </c>
      <c r="N608" s="16">
        <f t="shared" si="9"/>
        <v>9.1341001981963182E-2</v>
      </c>
    </row>
    <row r="609" spans="2:14" ht="14.4" customHeight="1" x14ac:dyDescent="0.3">
      <c r="B609" s="2" t="s">
        <v>614</v>
      </c>
      <c r="C609" s="3">
        <v>44208</v>
      </c>
      <c r="D609" s="2" t="s">
        <v>2012</v>
      </c>
      <c r="E609" s="2" t="s">
        <v>2071</v>
      </c>
      <c r="F609" s="4">
        <v>236.02</v>
      </c>
      <c r="G609" s="5">
        <v>642.35</v>
      </c>
      <c r="H609" s="6">
        <v>14</v>
      </c>
      <c r="I609" s="2" t="s">
        <v>2118</v>
      </c>
      <c r="J609" s="2" t="str">
        <v>Incentivize Front-End Mindshare</v>
      </c>
      <c r="K609" s="2" t="str">
        <v>Electronics</v>
      </c>
      <c r="L609" s="2" t="str">
        <v>Phillips-Tran</v>
      </c>
      <c r="M609" s="2">
        <v>196.86</v>
      </c>
      <c r="N609" s="16">
        <f t="shared" si="9"/>
        <v>2.7215913905601221</v>
      </c>
    </row>
    <row r="610" spans="2:14" ht="14.4" customHeight="1" x14ac:dyDescent="0.3">
      <c r="B610" s="2" t="s">
        <v>615</v>
      </c>
      <c r="C610" s="3">
        <v>44035</v>
      </c>
      <c r="D610" s="2" t="s">
        <v>2012</v>
      </c>
      <c r="E610" s="2" t="s">
        <v>2043</v>
      </c>
      <c r="F610" s="4">
        <v>1601.51</v>
      </c>
      <c r="G610" s="5">
        <v>427.21</v>
      </c>
      <c r="H610" s="6">
        <v>16</v>
      </c>
      <c r="I610" s="2" t="s">
        <v>2116</v>
      </c>
      <c r="J610" s="2" t="str">
        <v>Brand Distributed Info-Mediaries</v>
      </c>
      <c r="K610" s="2" t="str">
        <v>Furniture</v>
      </c>
      <c r="L610" s="2" t="str">
        <v>Garcia Ltd</v>
      </c>
      <c r="M610" s="2">
        <v>114.48</v>
      </c>
      <c r="N610" s="16">
        <f t="shared" si="9"/>
        <v>0.26675450044020954</v>
      </c>
    </row>
    <row r="611" spans="2:14" ht="14.4" customHeight="1" x14ac:dyDescent="0.3">
      <c r="B611" s="2" t="s">
        <v>616</v>
      </c>
      <c r="C611" s="3">
        <v>44663</v>
      </c>
      <c r="D611" s="2" t="s">
        <v>2009</v>
      </c>
      <c r="E611" s="2" t="s">
        <v>2041</v>
      </c>
      <c r="F611" s="4">
        <v>637.76</v>
      </c>
      <c r="G611" s="5">
        <v>429.68</v>
      </c>
      <c r="H611" s="6">
        <v>2</v>
      </c>
      <c r="I611" s="2" t="s">
        <v>2118</v>
      </c>
      <c r="J611" s="2" t="str">
        <v>Expedite Synergistic Web-Readiness</v>
      </c>
      <c r="K611" s="2" t="str">
        <v>Electronics</v>
      </c>
      <c r="L611" s="2" t="str">
        <v>Dunlap, Carpenter and Monroe</v>
      </c>
      <c r="M611" s="2">
        <v>289.66000000000003</v>
      </c>
      <c r="N611" s="16">
        <f t="shared" si="9"/>
        <v>0.6737330657300552</v>
      </c>
    </row>
    <row r="612" spans="2:14" ht="14.4" customHeight="1" x14ac:dyDescent="0.3">
      <c r="B612" s="2" t="s">
        <v>617</v>
      </c>
      <c r="C612" s="3">
        <v>45524</v>
      </c>
      <c r="D612" s="2" t="s">
        <v>2011</v>
      </c>
      <c r="E612" s="2" t="s">
        <v>2039</v>
      </c>
      <c r="F612" s="4">
        <v>4800.43</v>
      </c>
      <c r="G612" s="5">
        <v>634.74</v>
      </c>
      <c r="H612" s="6">
        <v>9</v>
      </c>
      <c r="I612" s="2" t="s">
        <v>2116</v>
      </c>
      <c r="J612" s="2" t="str">
        <v>Empower Dot-Com Deliverables</v>
      </c>
      <c r="K612" s="2" t="str">
        <v>Electronics</v>
      </c>
      <c r="L612" s="2" t="str">
        <v>Davis LLC</v>
      </c>
      <c r="M612" s="2">
        <v>250.66</v>
      </c>
      <c r="N612" s="16">
        <f t="shared" si="9"/>
        <v>0.13222565478509216</v>
      </c>
    </row>
    <row r="613" spans="2:14" ht="14.4" customHeight="1" x14ac:dyDescent="0.3">
      <c r="B613" s="2" t="s">
        <v>618</v>
      </c>
      <c r="C613" s="3">
        <v>45022</v>
      </c>
      <c r="D613" s="2" t="s">
        <v>2011</v>
      </c>
      <c r="E613" s="2" t="s">
        <v>2061</v>
      </c>
      <c r="F613" s="4">
        <v>3875.66</v>
      </c>
      <c r="G613" s="5">
        <v>693.13</v>
      </c>
      <c r="H613" s="6">
        <v>6</v>
      </c>
      <c r="I613" s="2" t="s">
        <v>2116</v>
      </c>
      <c r="J613" s="2" t="str">
        <v>Optimize Collaborative Initiatives</v>
      </c>
      <c r="K613" s="2" t="str">
        <v>Electronics</v>
      </c>
      <c r="L613" s="2" t="str">
        <v>Adkins Ltd</v>
      </c>
      <c r="M613" s="2">
        <v>34.46</v>
      </c>
      <c r="N613" s="16">
        <f t="shared" si="9"/>
        <v>0.17884179726807822</v>
      </c>
    </row>
    <row r="614" spans="2:14" ht="14.4" customHeight="1" x14ac:dyDescent="0.3">
      <c r="B614" s="2" t="s">
        <v>619</v>
      </c>
      <c r="C614" s="3">
        <v>43912</v>
      </c>
      <c r="D614" s="2" t="s">
        <v>2012</v>
      </c>
      <c r="E614" s="2" t="s">
        <v>2020</v>
      </c>
      <c r="F614" s="4">
        <v>1068.6400000000001</v>
      </c>
      <c r="G614" s="5">
        <v>490.38</v>
      </c>
      <c r="H614" s="6">
        <v>19</v>
      </c>
      <c r="I614" s="2" t="s">
        <v>2116</v>
      </c>
      <c r="J614" s="2" t="str">
        <v>Harness Revolutionary Interfaces</v>
      </c>
      <c r="K614" s="2" t="str">
        <v>Furniture</v>
      </c>
      <c r="L614" s="2" t="str">
        <v>Davis, Short and Nguyen</v>
      </c>
      <c r="M614" s="2">
        <v>26.49</v>
      </c>
      <c r="N614" s="16">
        <f t="shared" si="9"/>
        <v>0.45888231771223231</v>
      </c>
    </row>
    <row r="615" spans="2:14" ht="14.4" customHeight="1" x14ac:dyDescent="0.3">
      <c r="B615" s="2" t="s">
        <v>620</v>
      </c>
      <c r="C615" s="3">
        <v>44083</v>
      </c>
      <c r="D615" s="2" t="s">
        <v>2011</v>
      </c>
      <c r="E615" s="2" t="s">
        <v>2111</v>
      </c>
      <c r="F615" s="4">
        <v>727.42</v>
      </c>
      <c r="G615" s="5">
        <v>775.08</v>
      </c>
      <c r="H615" s="6">
        <v>2</v>
      </c>
      <c r="I615" s="2" t="s">
        <v>2118</v>
      </c>
      <c r="J615" s="2" t="str">
        <v>Evolve Intuitive Bandwidth</v>
      </c>
      <c r="K615" s="2" t="str">
        <v>Office Supplies</v>
      </c>
      <c r="L615" s="2" t="str">
        <v>Rogers Group</v>
      </c>
      <c r="M615" s="2">
        <v>131.63</v>
      </c>
      <c r="N615" s="16">
        <f t="shared" si="9"/>
        <v>1.0655192323554481</v>
      </c>
    </row>
    <row r="616" spans="2:14" ht="14.4" customHeight="1" x14ac:dyDescent="0.3">
      <c r="B616" s="2" t="s">
        <v>621</v>
      </c>
      <c r="C616" s="3">
        <v>45132</v>
      </c>
      <c r="D616" s="2" t="s">
        <v>2009</v>
      </c>
      <c r="E616" s="2" t="s">
        <v>2072</v>
      </c>
      <c r="F616" s="4">
        <v>2114.04</v>
      </c>
      <c r="G616" s="5">
        <v>569.89</v>
      </c>
      <c r="H616" s="6">
        <v>3</v>
      </c>
      <c r="I616" s="2" t="s">
        <v>2118</v>
      </c>
      <c r="J616" s="2" t="str">
        <v>Evolve Innovative Web Services</v>
      </c>
      <c r="K616" s="2" t="str">
        <v>Furniture</v>
      </c>
      <c r="L616" s="2" t="str">
        <v>Bush Inc</v>
      </c>
      <c r="M616" s="2">
        <v>87.75</v>
      </c>
      <c r="N616" s="16">
        <f t="shared" si="9"/>
        <v>0.26957389642580082</v>
      </c>
    </row>
    <row r="617" spans="2:14" ht="14.4" customHeight="1" x14ac:dyDescent="0.3">
      <c r="B617" s="2" t="s">
        <v>622</v>
      </c>
      <c r="C617" s="3">
        <v>45106</v>
      </c>
      <c r="D617" s="2" t="s">
        <v>2011</v>
      </c>
      <c r="E617" s="2" t="s">
        <v>2045</v>
      </c>
      <c r="F617" s="4">
        <v>2303.91</v>
      </c>
      <c r="G617" s="5">
        <v>414.87</v>
      </c>
      <c r="H617" s="6">
        <v>14</v>
      </c>
      <c r="I617" s="2" t="s">
        <v>2116</v>
      </c>
      <c r="J617" s="2" t="str">
        <v>Leverage Scalable Interfaces</v>
      </c>
      <c r="K617" s="2" t="str">
        <v>Office Supplies</v>
      </c>
      <c r="L617" s="2" t="str">
        <v>Kaufman-Jones</v>
      </c>
      <c r="M617" s="2">
        <v>73.33</v>
      </c>
      <c r="N617" s="16">
        <f t="shared" si="9"/>
        <v>0.18007213823456647</v>
      </c>
    </row>
    <row r="618" spans="2:14" ht="14.4" customHeight="1" x14ac:dyDescent="0.3">
      <c r="B618" s="2" t="s">
        <v>623</v>
      </c>
      <c r="C618" s="3">
        <v>44497</v>
      </c>
      <c r="D618" s="2" t="s">
        <v>2012</v>
      </c>
      <c r="E618" s="2" t="s">
        <v>2089</v>
      </c>
      <c r="F618" s="4">
        <v>95.62</v>
      </c>
      <c r="G618" s="5">
        <v>121.01</v>
      </c>
      <c r="H618" s="6">
        <v>1</v>
      </c>
      <c r="I618" s="2" t="s">
        <v>2118</v>
      </c>
      <c r="J618" s="2" t="str">
        <v>Morph World-Class Synergies</v>
      </c>
      <c r="K618" s="2" t="str">
        <v>Electronics</v>
      </c>
      <c r="L618" s="2" t="str">
        <v>Bryant Ltd</v>
      </c>
      <c r="M618" s="2">
        <v>20.69</v>
      </c>
      <c r="N618" s="16">
        <f t="shared" si="9"/>
        <v>1.2655302238025519</v>
      </c>
    </row>
    <row r="619" spans="2:14" ht="14.4" customHeight="1" x14ac:dyDescent="0.3">
      <c r="B619" s="2" t="s">
        <v>624</v>
      </c>
      <c r="C619" s="3">
        <v>45194</v>
      </c>
      <c r="D619" s="2" t="s">
        <v>2010</v>
      </c>
      <c r="E619" s="2" t="s">
        <v>2081</v>
      </c>
      <c r="F619" s="4">
        <v>662.6</v>
      </c>
      <c r="G619" s="5">
        <v>516.82000000000005</v>
      </c>
      <c r="H619" s="6">
        <v>15</v>
      </c>
      <c r="I619" s="2" t="s">
        <v>2116</v>
      </c>
      <c r="J619" s="2" t="str">
        <v>Orchestrate User-Centric Platforms</v>
      </c>
      <c r="K619" s="2" t="str">
        <v>Furniture</v>
      </c>
      <c r="L619" s="2" t="str">
        <v>Wells Ltd</v>
      </c>
      <c r="M619" s="2">
        <v>201.87</v>
      </c>
      <c r="N619" s="16">
        <f t="shared" si="9"/>
        <v>0.77998792635073955</v>
      </c>
    </row>
    <row r="620" spans="2:14" ht="14.4" customHeight="1" x14ac:dyDescent="0.3">
      <c r="B620" s="2" t="s">
        <v>625</v>
      </c>
      <c r="C620" s="3">
        <v>44687</v>
      </c>
      <c r="D620" s="2" t="s">
        <v>2009</v>
      </c>
      <c r="E620" s="2" t="s">
        <v>2089</v>
      </c>
      <c r="F620" s="4">
        <v>3972.51</v>
      </c>
      <c r="G620" s="5">
        <v>292.95999999999998</v>
      </c>
      <c r="H620" s="6">
        <v>13</v>
      </c>
      <c r="I620" s="2" t="s">
        <v>2116</v>
      </c>
      <c r="J620" s="2" t="str">
        <v>Morph World-Class Synergies</v>
      </c>
      <c r="K620" s="2" t="str">
        <v>Electronics</v>
      </c>
      <c r="L620" s="2" t="str">
        <v>Bryant Ltd</v>
      </c>
      <c r="M620" s="2">
        <v>20.69</v>
      </c>
      <c r="N620" s="16">
        <f t="shared" si="9"/>
        <v>7.3746825055191798E-2</v>
      </c>
    </row>
    <row r="621" spans="2:14" ht="14.4" customHeight="1" x14ac:dyDescent="0.3">
      <c r="B621" s="2" t="s">
        <v>626</v>
      </c>
      <c r="C621" s="3">
        <v>45116</v>
      </c>
      <c r="D621" s="2" t="s">
        <v>2012</v>
      </c>
      <c r="E621" s="2" t="s">
        <v>2112</v>
      </c>
      <c r="F621" s="4">
        <v>4365.45</v>
      </c>
      <c r="G621" s="5">
        <v>748.75</v>
      </c>
      <c r="H621" s="6">
        <v>12</v>
      </c>
      <c r="I621" s="2" t="s">
        <v>2117</v>
      </c>
      <c r="J621" s="2" t="str">
        <v>Mesh B2B Platforms</v>
      </c>
      <c r="K621" s="2" t="str">
        <v>Furniture</v>
      </c>
      <c r="L621" s="2" t="str">
        <v>Stevens, Walton and Riddle</v>
      </c>
      <c r="M621" s="2">
        <v>236.57</v>
      </c>
      <c r="N621" s="16">
        <f t="shared" si="9"/>
        <v>0.17151725480763724</v>
      </c>
    </row>
    <row r="622" spans="2:14" ht="14.4" customHeight="1" x14ac:dyDescent="0.3">
      <c r="B622" s="2" t="s">
        <v>627</v>
      </c>
      <c r="C622" s="3">
        <v>44030</v>
      </c>
      <c r="D622" s="2" t="s">
        <v>2010</v>
      </c>
      <c r="E622" s="2" t="s">
        <v>2051</v>
      </c>
      <c r="F622" s="4">
        <v>1066.98</v>
      </c>
      <c r="G622" s="5">
        <v>305.08999999999997</v>
      </c>
      <c r="H622" s="6">
        <v>2</v>
      </c>
      <c r="I622" s="2" t="s">
        <v>2117</v>
      </c>
      <c r="J622" s="2" t="str">
        <v>Generate Front-End Functionalities</v>
      </c>
      <c r="K622" s="2" t="str">
        <v>Office Supplies</v>
      </c>
      <c r="L622" s="2" t="str">
        <v>Morales-Brown</v>
      </c>
      <c r="M622" s="2">
        <v>299.77</v>
      </c>
      <c r="N622" s="16">
        <f t="shared" si="9"/>
        <v>0.2859378807475304</v>
      </c>
    </row>
    <row r="623" spans="2:14" ht="14.4" customHeight="1" x14ac:dyDescent="0.3">
      <c r="B623" s="2" t="s">
        <v>628</v>
      </c>
      <c r="C623" s="3">
        <v>44927</v>
      </c>
      <c r="D623" s="2" t="s">
        <v>2011</v>
      </c>
      <c r="E623" s="2" t="s">
        <v>2032</v>
      </c>
      <c r="F623" s="4">
        <v>2198.77</v>
      </c>
      <c r="G623" s="5">
        <v>378.52</v>
      </c>
      <c r="H623" s="6">
        <v>5</v>
      </c>
      <c r="I623" s="2" t="s">
        <v>2117</v>
      </c>
      <c r="J623" s="2" t="str">
        <v>Reinvent Frictionless Roi</v>
      </c>
      <c r="K623" s="2" t="str">
        <v>Furniture</v>
      </c>
      <c r="L623" s="2" t="str">
        <v>Bridges, Castillo and Rodriguez</v>
      </c>
      <c r="M623" s="2">
        <v>253.89</v>
      </c>
      <c r="N623" s="16">
        <f t="shared" si="9"/>
        <v>0.17215079339812714</v>
      </c>
    </row>
    <row r="624" spans="2:14" ht="14.4" customHeight="1" x14ac:dyDescent="0.3">
      <c r="B624" s="2" t="s">
        <v>629</v>
      </c>
      <c r="C624" s="3">
        <v>45231</v>
      </c>
      <c r="D624" s="2" t="s">
        <v>2010</v>
      </c>
      <c r="E624" s="2" t="s">
        <v>2050</v>
      </c>
      <c r="F624" s="4">
        <v>4203.51</v>
      </c>
      <c r="G624" s="5">
        <v>999.06</v>
      </c>
      <c r="H624" s="6">
        <v>12</v>
      </c>
      <c r="I624" s="2" t="s">
        <v>2116</v>
      </c>
      <c r="J624" s="2" t="str">
        <v>Extend Bricks-And-Clicks Architectures</v>
      </c>
      <c r="K624" s="2" t="str">
        <v>Furniture</v>
      </c>
      <c r="L624" s="2" t="str">
        <v>Fuller PLC</v>
      </c>
      <c r="M624" s="2">
        <v>202.99</v>
      </c>
      <c r="N624" s="16">
        <f t="shared" si="9"/>
        <v>0.23767280201545848</v>
      </c>
    </row>
    <row r="625" spans="2:14" ht="14.4" customHeight="1" x14ac:dyDescent="0.3">
      <c r="B625" s="2" t="s">
        <v>630</v>
      </c>
      <c r="C625" s="3">
        <v>44427</v>
      </c>
      <c r="D625" s="2" t="s">
        <v>2011</v>
      </c>
      <c r="E625" s="2" t="s">
        <v>2027</v>
      </c>
      <c r="F625" s="4">
        <v>1527.03</v>
      </c>
      <c r="G625" s="5">
        <v>546.91</v>
      </c>
      <c r="H625" s="6">
        <v>20</v>
      </c>
      <c r="I625" s="2" t="s">
        <v>2117</v>
      </c>
      <c r="J625" s="2" t="str">
        <v>Monetize Value-Added Niches</v>
      </c>
      <c r="K625" s="2" t="str">
        <v>Office Supplies</v>
      </c>
      <c r="L625" s="2" t="str">
        <v>Foster, Velazquez and Lee</v>
      </c>
      <c r="M625" s="2">
        <v>171.51</v>
      </c>
      <c r="N625" s="16">
        <f t="shared" si="9"/>
        <v>0.35815275403888591</v>
      </c>
    </row>
    <row r="626" spans="2:14" ht="14.4" customHeight="1" x14ac:dyDescent="0.3">
      <c r="B626" s="2" t="s">
        <v>631</v>
      </c>
      <c r="C626" s="3">
        <v>44669</v>
      </c>
      <c r="D626" s="2" t="s">
        <v>2009</v>
      </c>
      <c r="E626" s="2" t="s">
        <v>2046</v>
      </c>
      <c r="F626" s="4">
        <v>2819.58</v>
      </c>
      <c r="G626" s="5">
        <v>935.52</v>
      </c>
      <c r="H626" s="6">
        <v>2</v>
      </c>
      <c r="I626" s="2" t="s">
        <v>2116</v>
      </c>
      <c r="J626" s="2" t="str">
        <v>Facilitate End-To-End Experiences</v>
      </c>
      <c r="K626" s="2" t="str">
        <v>Office Supplies</v>
      </c>
      <c r="L626" s="2" t="str">
        <v>Pierce-Goodwin</v>
      </c>
      <c r="M626" s="2">
        <v>260.52999999999997</v>
      </c>
      <c r="N626" s="16">
        <f t="shared" si="9"/>
        <v>0.3317940969931692</v>
      </c>
    </row>
    <row r="627" spans="2:14" ht="14.4" customHeight="1" x14ac:dyDescent="0.3">
      <c r="B627" s="2" t="s">
        <v>632</v>
      </c>
      <c r="C627" s="3">
        <v>45571</v>
      </c>
      <c r="D627" s="2" t="s">
        <v>2010</v>
      </c>
      <c r="E627" s="2" t="s">
        <v>2033</v>
      </c>
      <c r="F627" s="4">
        <v>3753.85</v>
      </c>
      <c r="G627" s="5">
        <v>106.15</v>
      </c>
      <c r="H627" s="6">
        <v>6</v>
      </c>
      <c r="I627" s="2" t="s">
        <v>2117</v>
      </c>
      <c r="J627" s="2" t="str">
        <v>Leverage Rich Portals</v>
      </c>
      <c r="K627" s="2" t="str">
        <v>Office Supplies</v>
      </c>
      <c r="L627" s="2" t="str">
        <v>Wilson PLC</v>
      </c>
      <c r="M627" s="2">
        <v>46.35</v>
      </c>
      <c r="N627" s="16">
        <f t="shared" si="9"/>
        <v>2.8277634961439591E-2</v>
      </c>
    </row>
    <row r="628" spans="2:14" ht="14.4" customHeight="1" x14ac:dyDescent="0.3">
      <c r="B628" s="2" t="s">
        <v>633</v>
      </c>
      <c r="C628" s="3">
        <v>44045</v>
      </c>
      <c r="D628" s="2" t="s">
        <v>2012</v>
      </c>
      <c r="E628" s="2" t="s">
        <v>2075</v>
      </c>
      <c r="F628" s="4">
        <v>62.1</v>
      </c>
      <c r="G628" s="5">
        <v>632.02</v>
      </c>
      <c r="H628" s="6">
        <v>6</v>
      </c>
      <c r="I628" s="2" t="s">
        <v>2118</v>
      </c>
      <c r="J628" s="2" t="str">
        <v>Reinvent Visionary Niches</v>
      </c>
      <c r="K628" s="2" t="str">
        <v>Furniture</v>
      </c>
      <c r="L628" s="2" t="str">
        <v>Huber-Richmond</v>
      </c>
      <c r="M628" s="2">
        <v>219.81</v>
      </c>
      <c r="N628" s="16">
        <f t="shared" si="9"/>
        <v>10.177455716586151</v>
      </c>
    </row>
    <row r="629" spans="2:14" ht="14.4" customHeight="1" x14ac:dyDescent="0.3">
      <c r="B629" s="2" t="s">
        <v>634</v>
      </c>
      <c r="C629" s="3">
        <v>44551</v>
      </c>
      <c r="D629" s="2" t="s">
        <v>2010</v>
      </c>
      <c r="E629" s="2" t="s">
        <v>2028</v>
      </c>
      <c r="F629" s="4">
        <v>3818.08</v>
      </c>
      <c r="G629" s="5">
        <v>575.74</v>
      </c>
      <c r="H629" s="6">
        <v>2</v>
      </c>
      <c r="I629" s="2" t="s">
        <v>2118</v>
      </c>
      <c r="J629" s="2" t="str">
        <v>Synergize World-Class Networks</v>
      </c>
      <c r="K629" s="2" t="str">
        <v>Electronics</v>
      </c>
      <c r="L629" s="2" t="str">
        <v>Gomez-Lawrence</v>
      </c>
      <c r="M629" s="2">
        <v>72.37</v>
      </c>
      <c r="N629" s="16">
        <f t="shared" si="9"/>
        <v>0.15079306876754808</v>
      </c>
    </row>
    <row r="630" spans="2:14" ht="14.4" customHeight="1" x14ac:dyDescent="0.3">
      <c r="B630" s="2" t="s">
        <v>635</v>
      </c>
      <c r="C630" s="3">
        <v>44380</v>
      </c>
      <c r="D630" s="2" t="s">
        <v>2012</v>
      </c>
      <c r="E630" s="2" t="s">
        <v>2107</v>
      </c>
      <c r="F630" s="4">
        <v>660.69</v>
      </c>
      <c r="G630" s="5">
        <v>998.42</v>
      </c>
      <c r="H630" s="6">
        <v>14</v>
      </c>
      <c r="I630" s="2" t="s">
        <v>2117</v>
      </c>
      <c r="J630" s="2" t="str">
        <v>Extend Bricks-And-Clicks Niches</v>
      </c>
      <c r="K630" s="2" t="str">
        <v>Office Supplies</v>
      </c>
      <c r="L630" s="2" t="str">
        <v>Hernandez-Rios</v>
      </c>
      <c r="M630" s="2">
        <v>65.989999999999995</v>
      </c>
      <c r="N630" s="16">
        <f t="shared" si="9"/>
        <v>1.5111777081535969</v>
      </c>
    </row>
    <row r="631" spans="2:14" ht="14.4" customHeight="1" x14ac:dyDescent="0.3">
      <c r="B631" s="2" t="s">
        <v>636</v>
      </c>
      <c r="C631" s="3">
        <v>44328</v>
      </c>
      <c r="D631" s="2" t="s">
        <v>2010</v>
      </c>
      <c r="E631" s="2" t="s">
        <v>2019</v>
      </c>
      <c r="F631" s="4">
        <v>3568.08</v>
      </c>
      <c r="G631" s="5">
        <v>660.24</v>
      </c>
      <c r="H631" s="6">
        <v>7</v>
      </c>
      <c r="I631" s="2" t="s">
        <v>2118</v>
      </c>
      <c r="J631" s="2" t="str">
        <v>Implement Clicks-And-Mortar Partnerships</v>
      </c>
      <c r="K631" s="2" t="str">
        <v>Electronics</v>
      </c>
      <c r="L631" s="2" t="str">
        <v>Smith Inc</v>
      </c>
      <c r="M631" s="2">
        <v>195.53</v>
      </c>
      <c r="N631" s="16">
        <f t="shared" si="9"/>
        <v>0.18504069415483959</v>
      </c>
    </row>
    <row r="632" spans="2:14" ht="14.4" customHeight="1" x14ac:dyDescent="0.3">
      <c r="B632" s="2" t="s">
        <v>637</v>
      </c>
      <c r="C632" s="3">
        <v>45555</v>
      </c>
      <c r="D632" s="2" t="s">
        <v>2010</v>
      </c>
      <c r="E632" s="2" t="s">
        <v>2054</v>
      </c>
      <c r="F632" s="4">
        <v>2586.6999999999998</v>
      </c>
      <c r="G632" s="5">
        <v>189.02</v>
      </c>
      <c r="H632" s="6">
        <v>9</v>
      </c>
      <c r="I632" s="2" t="s">
        <v>2117</v>
      </c>
      <c r="J632" s="2" t="str">
        <v>Empower Killer Info-Mediaries</v>
      </c>
      <c r="K632" s="2" t="str">
        <v>Furniture</v>
      </c>
      <c r="L632" s="2" t="str">
        <v>Jones Ltd</v>
      </c>
      <c r="M632" s="2">
        <v>213.24</v>
      </c>
      <c r="N632" s="16">
        <f t="shared" si="9"/>
        <v>7.3073800595353164E-2</v>
      </c>
    </row>
    <row r="633" spans="2:14" ht="14.4" customHeight="1" x14ac:dyDescent="0.3">
      <c r="B633" s="2" t="s">
        <v>638</v>
      </c>
      <c r="C633" s="3">
        <v>45487</v>
      </c>
      <c r="D633" s="2" t="s">
        <v>2011</v>
      </c>
      <c r="E633" s="2" t="s">
        <v>2054</v>
      </c>
      <c r="F633" s="4">
        <v>4704.6899999999996</v>
      </c>
      <c r="G633" s="5">
        <v>885.35</v>
      </c>
      <c r="H633" s="6">
        <v>18</v>
      </c>
      <c r="I633" s="2" t="s">
        <v>2118</v>
      </c>
      <c r="J633" s="2" t="str">
        <v>Empower Killer Info-Mediaries</v>
      </c>
      <c r="K633" s="2" t="str">
        <v>Furniture</v>
      </c>
      <c r="L633" s="2" t="str">
        <v>Jones Ltd</v>
      </c>
      <c r="M633" s="2">
        <v>213.24</v>
      </c>
      <c r="N633" s="16">
        <f t="shared" si="9"/>
        <v>0.18818455626194289</v>
      </c>
    </row>
    <row r="634" spans="2:14" ht="14.4" customHeight="1" x14ac:dyDescent="0.3">
      <c r="B634" s="2" t="s">
        <v>639</v>
      </c>
      <c r="C634" s="3">
        <v>44686</v>
      </c>
      <c r="D634" s="2" t="s">
        <v>2010</v>
      </c>
      <c r="E634" s="2" t="s">
        <v>2105</v>
      </c>
      <c r="F634" s="4">
        <v>2433.44</v>
      </c>
      <c r="G634" s="5">
        <v>648.05999999999995</v>
      </c>
      <c r="H634" s="6">
        <v>9</v>
      </c>
      <c r="I634" s="2" t="s">
        <v>2116</v>
      </c>
      <c r="J634" s="2" t="str">
        <v>Brand B2C Info-Mediaries</v>
      </c>
      <c r="K634" s="2" t="str">
        <v>Office Supplies</v>
      </c>
      <c r="L634" s="2" t="str">
        <v>Preston Ltd</v>
      </c>
      <c r="M634" s="2">
        <v>13.46</v>
      </c>
      <c r="N634" s="16">
        <f t="shared" si="9"/>
        <v>0.26631435334341508</v>
      </c>
    </row>
    <row r="635" spans="2:14" ht="14.4" customHeight="1" x14ac:dyDescent="0.3">
      <c r="B635" s="2" t="s">
        <v>640</v>
      </c>
      <c r="C635" s="3">
        <v>45108</v>
      </c>
      <c r="D635" s="2" t="s">
        <v>2011</v>
      </c>
      <c r="E635" s="2" t="s">
        <v>2041</v>
      </c>
      <c r="F635" s="4">
        <v>3171.74</v>
      </c>
      <c r="G635" s="5">
        <v>221.78</v>
      </c>
      <c r="H635" s="6">
        <v>6</v>
      </c>
      <c r="I635" s="2" t="s">
        <v>2118</v>
      </c>
      <c r="J635" s="2" t="str">
        <v>Expedite Synergistic Web-Readiness</v>
      </c>
      <c r="K635" s="2" t="str">
        <v>Electronics</v>
      </c>
      <c r="L635" s="2" t="str">
        <v>Dunlap, Carpenter and Monroe</v>
      </c>
      <c r="M635" s="2">
        <v>289.66000000000003</v>
      </c>
      <c r="N635" s="16">
        <f t="shared" si="9"/>
        <v>6.992376424297074E-2</v>
      </c>
    </row>
    <row r="636" spans="2:14" ht="14.4" customHeight="1" x14ac:dyDescent="0.3">
      <c r="B636" s="2" t="s">
        <v>641</v>
      </c>
      <c r="C636" s="3">
        <v>45334</v>
      </c>
      <c r="D636" s="2" t="s">
        <v>2011</v>
      </c>
      <c r="E636" s="2" t="s">
        <v>2018</v>
      </c>
      <c r="F636" s="4">
        <v>3265.74</v>
      </c>
      <c r="G636" s="5">
        <v>315.07</v>
      </c>
      <c r="H636" s="6">
        <v>11</v>
      </c>
      <c r="I636" s="2" t="s">
        <v>2117</v>
      </c>
      <c r="J636" s="2" t="str">
        <v>Deliver Sticky Networks</v>
      </c>
      <c r="K636" s="2" t="str">
        <v>Furniture</v>
      </c>
      <c r="L636" s="2" t="str">
        <v>Massey LLC</v>
      </c>
      <c r="M636" s="2">
        <v>272.33</v>
      </c>
      <c r="N636" s="16">
        <f t="shared" si="9"/>
        <v>9.6477368069717739E-2</v>
      </c>
    </row>
    <row r="637" spans="2:14" ht="14.4" customHeight="1" x14ac:dyDescent="0.3">
      <c r="B637" s="2" t="s">
        <v>642</v>
      </c>
      <c r="C637" s="3">
        <v>43948</v>
      </c>
      <c r="D637" s="2" t="s">
        <v>2009</v>
      </c>
      <c r="E637" s="2" t="s">
        <v>2095</v>
      </c>
      <c r="F637" s="4">
        <v>1329.92</v>
      </c>
      <c r="G637" s="5">
        <v>250.97</v>
      </c>
      <c r="H637" s="6">
        <v>20</v>
      </c>
      <c r="I637" s="2" t="s">
        <v>2117</v>
      </c>
      <c r="J637" s="2" t="str">
        <v>Envisioneer B2B Users</v>
      </c>
      <c r="K637" s="2" t="str">
        <v>Office Supplies</v>
      </c>
      <c r="L637" s="2" t="str">
        <v>Rogers Group</v>
      </c>
      <c r="M637" s="2">
        <v>239.16</v>
      </c>
      <c r="N637" s="16">
        <f t="shared" si="9"/>
        <v>0.18871059913378246</v>
      </c>
    </row>
    <row r="638" spans="2:14" ht="14.4" customHeight="1" x14ac:dyDescent="0.3">
      <c r="B638" s="2" t="s">
        <v>643</v>
      </c>
      <c r="C638" s="3">
        <v>44201</v>
      </c>
      <c r="D638" s="2" t="s">
        <v>2011</v>
      </c>
      <c r="E638" s="2" t="s">
        <v>2082</v>
      </c>
      <c r="F638" s="4">
        <v>3131.85</v>
      </c>
      <c r="G638" s="5">
        <v>408.14</v>
      </c>
      <c r="H638" s="6">
        <v>16</v>
      </c>
      <c r="I638" s="2" t="s">
        <v>2117</v>
      </c>
      <c r="J638" s="2" t="str">
        <v>Re-Contextualize Viral Markets</v>
      </c>
      <c r="K638" s="2" t="str">
        <v>Electronics</v>
      </c>
      <c r="L638" s="2" t="str">
        <v>Meadows-Barber</v>
      </c>
      <c r="M638" s="2">
        <v>177.52</v>
      </c>
      <c r="N638" s="16">
        <f t="shared" si="9"/>
        <v>0.13031914044414644</v>
      </c>
    </row>
    <row r="639" spans="2:14" ht="14.4" customHeight="1" x14ac:dyDescent="0.3">
      <c r="B639" s="2" t="s">
        <v>644</v>
      </c>
      <c r="C639" s="3">
        <v>44093</v>
      </c>
      <c r="D639" s="2" t="s">
        <v>2010</v>
      </c>
      <c r="E639" s="2" t="s">
        <v>2085</v>
      </c>
      <c r="F639" s="4">
        <v>2258.59</v>
      </c>
      <c r="G639" s="5">
        <v>118.86</v>
      </c>
      <c r="H639" s="6">
        <v>12</v>
      </c>
      <c r="I639" s="2" t="s">
        <v>2117</v>
      </c>
      <c r="J639" s="2" t="str">
        <v>Incentivize User-Centric Mindshare</v>
      </c>
      <c r="K639" s="2" t="str">
        <v>Electronics</v>
      </c>
      <c r="L639" s="2" t="str">
        <v>Becker, Wright and Wong</v>
      </c>
      <c r="M639" s="2">
        <v>38.51</v>
      </c>
      <c r="N639" s="16">
        <f t="shared" si="9"/>
        <v>5.2625753235425635E-2</v>
      </c>
    </row>
    <row r="640" spans="2:14" ht="14.4" customHeight="1" x14ac:dyDescent="0.3">
      <c r="B640" s="2" t="s">
        <v>645</v>
      </c>
      <c r="C640" s="3">
        <v>44183</v>
      </c>
      <c r="D640" s="2" t="s">
        <v>2009</v>
      </c>
      <c r="E640" s="2" t="s">
        <v>2024</v>
      </c>
      <c r="F640" s="4">
        <v>3208.93</v>
      </c>
      <c r="G640" s="5">
        <v>572.61</v>
      </c>
      <c r="H640" s="6">
        <v>12</v>
      </c>
      <c r="I640" s="2" t="s">
        <v>2118</v>
      </c>
      <c r="J640" s="2" t="str">
        <v>Target Viral Methodologies</v>
      </c>
      <c r="K640" s="2" t="str">
        <v>Electronics</v>
      </c>
      <c r="L640" s="2" t="str">
        <v>Alvarez, Myers and Walter</v>
      </c>
      <c r="M640" s="2">
        <v>149.26</v>
      </c>
      <c r="N640" s="16">
        <f t="shared" si="9"/>
        <v>0.17844265845624555</v>
      </c>
    </row>
    <row r="641" spans="2:14" ht="14.4" customHeight="1" x14ac:dyDescent="0.3">
      <c r="B641" s="2" t="s">
        <v>646</v>
      </c>
      <c r="C641" s="3">
        <v>45330</v>
      </c>
      <c r="D641" s="2" t="s">
        <v>2012</v>
      </c>
      <c r="E641" s="2" t="s">
        <v>2013</v>
      </c>
      <c r="F641" s="4">
        <v>906.01</v>
      </c>
      <c r="G641" s="5">
        <v>863.11</v>
      </c>
      <c r="H641" s="6">
        <v>10</v>
      </c>
      <c r="I641" s="2" t="s">
        <v>2116</v>
      </c>
      <c r="J641" s="2" t="str">
        <v>Re-Intermediate Seamless Applications</v>
      </c>
      <c r="K641" s="2" t="str">
        <v>Office Supplies</v>
      </c>
      <c r="L641" s="2" t="str">
        <v>Welch-Reed</v>
      </c>
      <c r="M641" s="2">
        <v>45.82</v>
      </c>
      <c r="N641" s="16">
        <f t="shared" si="9"/>
        <v>0.95264952925464397</v>
      </c>
    </row>
    <row r="642" spans="2:14" ht="14.4" customHeight="1" x14ac:dyDescent="0.3">
      <c r="B642" s="2" t="s">
        <v>647</v>
      </c>
      <c r="C642" s="3">
        <v>44035</v>
      </c>
      <c r="D642" s="2" t="s">
        <v>2012</v>
      </c>
      <c r="E642" s="2" t="s">
        <v>2076</v>
      </c>
      <c r="F642" s="4">
        <v>4612.95</v>
      </c>
      <c r="G642" s="5">
        <v>346.65</v>
      </c>
      <c r="H642" s="6">
        <v>12</v>
      </c>
      <c r="I642" s="2" t="s">
        <v>2116</v>
      </c>
      <c r="J642" s="2" t="str">
        <v>Deliver Extensible Partnerships</v>
      </c>
      <c r="K642" s="2" t="str">
        <v>Furniture</v>
      </c>
      <c r="L642" s="2" t="str">
        <v>Martin, Paul and Salazar</v>
      </c>
      <c r="M642" s="2">
        <v>43.76</v>
      </c>
      <c r="N642" s="16">
        <f t="shared" si="9"/>
        <v>7.5147140116411409E-2</v>
      </c>
    </row>
    <row r="643" spans="2:14" ht="14.4" customHeight="1" x14ac:dyDescent="0.3">
      <c r="B643" s="2" t="s">
        <v>648</v>
      </c>
      <c r="C643" s="3">
        <v>45596</v>
      </c>
      <c r="D643" s="2" t="s">
        <v>2010</v>
      </c>
      <c r="E643" s="2" t="s">
        <v>2092</v>
      </c>
      <c r="F643" s="4">
        <v>3321.94</v>
      </c>
      <c r="G643" s="5">
        <v>121.01</v>
      </c>
      <c r="H643" s="6">
        <v>10</v>
      </c>
      <c r="I643" s="2" t="s">
        <v>2116</v>
      </c>
      <c r="J643" s="2" t="str">
        <v>Seize Clicks-And-Mortar Platforms</v>
      </c>
      <c r="K643" s="2" t="str">
        <v>Office Supplies</v>
      </c>
      <c r="L643" s="2" t="str">
        <v>Owens, Campos and Wood</v>
      </c>
      <c r="M643" s="2">
        <v>271.16000000000003</v>
      </c>
      <c r="N643" s="16">
        <f t="shared" si="9"/>
        <v>3.64275092265363E-2</v>
      </c>
    </row>
    <row r="644" spans="2:14" ht="14.4" customHeight="1" x14ac:dyDescent="0.3">
      <c r="B644" s="2" t="s">
        <v>649</v>
      </c>
      <c r="C644" s="3">
        <v>44725</v>
      </c>
      <c r="D644" s="2" t="s">
        <v>2012</v>
      </c>
      <c r="E644" s="2" t="s">
        <v>2018</v>
      </c>
      <c r="F644" s="4">
        <v>955.36</v>
      </c>
      <c r="G644" s="5">
        <v>34.200000000000003</v>
      </c>
      <c r="H644" s="6">
        <v>15</v>
      </c>
      <c r="I644" s="2" t="s">
        <v>2116</v>
      </c>
      <c r="J644" s="2" t="str">
        <v>Deliver Sticky Networks</v>
      </c>
      <c r="K644" s="2" t="str">
        <v>Furniture</v>
      </c>
      <c r="L644" s="2" t="str">
        <v>Massey LLC</v>
      </c>
      <c r="M644" s="2">
        <v>272.33</v>
      </c>
      <c r="N644" s="16">
        <f t="shared" si="9"/>
        <v>3.5798023781611121E-2</v>
      </c>
    </row>
    <row r="645" spans="2:14" ht="14.4" customHeight="1" x14ac:dyDescent="0.3">
      <c r="B645" s="2" t="s">
        <v>650</v>
      </c>
      <c r="C645" s="3">
        <v>45162</v>
      </c>
      <c r="D645" s="2" t="s">
        <v>2012</v>
      </c>
      <c r="E645" s="2" t="s">
        <v>2037</v>
      </c>
      <c r="F645" s="4">
        <v>2899.87</v>
      </c>
      <c r="G645" s="5">
        <v>569.58000000000004</v>
      </c>
      <c r="H645" s="6">
        <v>6</v>
      </c>
      <c r="I645" s="2" t="s">
        <v>2117</v>
      </c>
      <c r="J645" s="2" t="str">
        <v>Utilize Back-End Models</v>
      </c>
      <c r="K645" s="2" t="str">
        <v>Furniture</v>
      </c>
      <c r="L645" s="2" t="str">
        <v>Lewis-Holden</v>
      </c>
      <c r="M645" s="2">
        <v>241.53</v>
      </c>
      <c r="N645" s="16">
        <f t="shared" ref="N645:N708" si="10">(G645/F645)</f>
        <v>0.19641570139351078</v>
      </c>
    </row>
    <row r="646" spans="2:14" ht="14.4" customHeight="1" x14ac:dyDescent="0.3">
      <c r="B646" s="2" t="s">
        <v>651</v>
      </c>
      <c r="C646" s="3">
        <v>44403</v>
      </c>
      <c r="D646" s="2" t="s">
        <v>2010</v>
      </c>
      <c r="E646" s="2" t="s">
        <v>2070</v>
      </c>
      <c r="F646" s="4">
        <v>4026.72</v>
      </c>
      <c r="G646" s="5">
        <v>472.74</v>
      </c>
      <c r="H646" s="6">
        <v>7</v>
      </c>
      <c r="I646" s="2" t="s">
        <v>2117</v>
      </c>
      <c r="J646" s="2" t="str">
        <v>Seize Plug-And-Play Web-Readiness</v>
      </c>
      <c r="K646" s="2" t="str">
        <v>Electronics</v>
      </c>
      <c r="L646" s="2" t="str">
        <v>Joseph, Mayer and Carr</v>
      </c>
      <c r="M646" s="2">
        <v>102.73</v>
      </c>
      <c r="N646" s="16">
        <f t="shared" si="10"/>
        <v>0.11740076290380261</v>
      </c>
    </row>
    <row r="647" spans="2:14" ht="14.4" customHeight="1" x14ac:dyDescent="0.3">
      <c r="B647" s="2" t="s">
        <v>652</v>
      </c>
      <c r="C647" s="3">
        <v>45101</v>
      </c>
      <c r="D647" s="2" t="s">
        <v>2009</v>
      </c>
      <c r="E647" s="2" t="s">
        <v>2073</v>
      </c>
      <c r="F647" s="4">
        <v>1956.1</v>
      </c>
      <c r="G647" s="5">
        <v>93.46</v>
      </c>
      <c r="H647" s="6">
        <v>13</v>
      </c>
      <c r="I647" s="2" t="s">
        <v>2116</v>
      </c>
      <c r="J647" s="2" t="str">
        <v>Visualize Dynamic E-Commerce</v>
      </c>
      <c r="K647" s="2" t="str">
        <v>Furniture</v>
      </c>
      <c r="L647" s="2" t="str">
        <v>Jones LLC</v>
      </c>
      <c r="M647" s="2">
        <v>92.61</v>
      </c>
      <c r="N647" s="16">
        <f t="shared" si="10"/>
        <v>4.7778743418025661E-2</v>
      </c>
    </row>
    <row r="648" spans="2:14" ht="14.4" customHeight="1" x14ac:dyDescent="0.3">
      <c r="B648" s="2" t="s">
        <v>653</v>
      </c>
      <c r="C648" s="3">
        <v>45483</v>
      </c>
      <c r="D648" s="2" t="s">
        <v>2011</v>
      </c>
      <c r="E648" s="2" t="s">
        <v>2044</v>
      </c>
      <c r="F648" s="4">
        <v>3794.62</v>
      </c>
      <c r="G648" s="5">
        <v>890.21</v>
      </c>
      <c r="H648" s="6">
        <v>8</v>
      </c>
      <c r="I648" s="2" t="s">
        <v>2118</v>
      </c>
      <c r="J648" s="2" t="str">
        <v>Grow Back-End Supply-Chains</v>
      </c>
      <c r="K648" s="2" t="str">
        <v>Electronics</v>
      </c>
      <c r="L648" s="2" t="str">
        <v>Green LLC</v>
      </c>
      <c r="M648" s="2">
        <v>140.08000000000001</v>
      </c>
      <c r="N648" s="16">
        <f t="shared" si="10"/>
        <v>0.23459793075459467</v>
      </c>
    </row>
    <row r="649" spans="2:14" ht="14.4" customHeight="1" x14ac:dyDescent="0.3">
      <c r="B649" s="2" t="s">
        <v>654</v>
      </c>
      <c r="C649" s="3">
        <v>44868</v>
      </c>
      <c r="D649" s="2" t="s">
        <v>2009</v>
      </c>
      <c r="E649" s="2" t="s">
        <v>2039</v>
      </c>
      <c r="F649" s="4">
        <v>3518.97</v>
      </c>
      <c r="G649" s="5">
        <v>649.17999999999995</v>
      </c>
      <c r="H649" s="6">
        <v>5</v>
      </c>
      <c r="I649" s="2" t="s">
        <v>2118</v>
      </c>
      <c r="J649" s="2" t="str">
        <v>Empower Dot-Com Deliverables</v>
      </c>
      <c r="K649" s="2" t="str">
        <v>Electronics</v>
      </c>
      <c r="L649" s="2" t="str">
        <v>Davis LLC</v>
      </c>
      <c r="M649" s="2">
        <v>250.66</v>
      </c>
      <c r="N649" s="16">
        <f t="shared" si="10"/>
        <v>0.1844801177617314</v>
      </c>
    </row>
    <row r="650" spans="2:14" ht="14.4" customHeight="1" x14ac:dyDescent="0.3">
      <c r="B650" s="2" t="s">
        <v>655</v>
      </c>
      <c r="C650" s="3">
        <v>43955</v>
      </c>
      <c r="D650" s="2" t="s">
        <v>2010</v>
      </c>
      <c r="E650" s="2" t="s">
        <v>2079</v>
      </c>
      <c r="F650" s="4">
        <v>764.08</v>
      </c>
      <c r="G650" s="5">
        <v>572.27</v>
      </c>
      <c r="H650" s="6">
        <v>2</v>
      </c>
      <c r="I650" s="2" t="s">
        <v>2116</v>
      </c>
      <c r="J650" s="2" t="str">
        <v>Iterate Extensible Roi</v>
      </c>
      <c r="K650" s="2" t="str">
        <v>Office Supplies</v>
      </c>
      <c r="L650" s="2" t="str">
        <v>Hill-Kelly</v>
      </c>
      <c r="M650" s="2">
        <v>180</v>
      </c>
      <c r="N650" s="16">
        <f t="shared" si="10"/>
        <v>0.74896607685059147</v>
      </c>
    </row>
    <row r="651" spans="2:14" ht="14.4" customHeight="1" x14ac:dyDescent="0.3">
      <c r="B651" s="2" t="s">
        <v>656</v>
      </c>
      <c r="C651" s="3">
        <v>44816</v>
      </c>
      <c r="D651" s="2" t="s">
        <v>2012</v>
      </c>
      <c r="E651" s="2" t="s">
        <v>2036</v>
      </c>
      <c r="F651" s="4">
        <v>2594.17</v>
      </c>
      <c r="G651" s="5">
        <v>123.31</v>
      </c>
      <c r="H651" s="6">
        <v>13</v>
      </c>
      <c r="I651" s="2" t="s">
        <v>2118</v>
      </c>
      <c r="J651" s="2" t="str">
        <v>Innovate Strategic Systems</v>
      </c>
      <c r="K651" s="2" t="str">
        <v>Office Supplies</v>
      </c>
      <c r="L651" s="2" t="str">
        <v>Mcfarland, Parker and Armstrong</v>
      </c>
      <c r="M651" s="2">
        <v>70.239999999999995</v>
      </c>
      <c r="N651" s="16">
        <f t="shared" si="10"/>
        <v>4.7533507827166296E-2</v>
      </c>
    </row>
    <row r="652" spans="2:14" ht="14.4" customHeight="1" x14ac:dyDescent="0.3">
      <c r="B652" s="2" t="s">
        <v>657</v>
      </c>
      <c r="C652" s="3">
        <v>45003</v>
      </c>
      <c r="D652" s="2" t="s">
        <v>2011</v>
      </c>
      <c r="E652" s="2" t="s">
        <v>2020</v>
      </c>
      <c r="F652" s="4">
        <v>848.36</v>
      </c>
      <c r="G652" s="5">
        <v>752.49</v>
      </c>
      <c r="H652" s="6">
        <v>2</v>
      </c>
      <c r="I652" s="2" t="s">
        <v>2116</v>
      </c>
      <c r="J652" s="2" t="str">
        <v>Harness Revolutionary Interfaces</v>
      </c>
      <c r="K652" s="2" t="str">
        <v>Furniture</v>
      </c>
      <c r="L652" s="2" t="str">
        <v>Davis, Short and Nguyen</v>
      </c>
      <c r="M652" s="2">
        <v>26.49</v>
      </c>
      <c r="N652" s="16">
        <f t="shared" si="10"/>
        <v>0.88699372907727847</v>
      </c>
    </row>
    <row r="653" spans="2:14" ht="14.4" customHeight="1" x14ac:dyDescent="0.3">
      <c r="B653" s="2" t="s">
        <v>658</v>
      </c>
      <c r="C653" s="3">
        <v>45447</v>
      </c>
      <c r="D653" s="2" t="s">
        <v>2012</v>
      </c>
      <c r="E653" s="2" t="s">
        <v>2026</v>
      </c>
      <c r="F653" s="4">
        <v>1010.7</v>
      </c>
      <c r="G653" s="5">
        <v>447.47</v>
      </c>
      <c r="H653" s="6">
        <v>15</v>
      </c>
      <c r="I653" s="2" t="s">
        <v>2117</v>
      </c>
      <c r="J653" s="2" t="str">
        <v>Monetize Wireless Functionalities</v>
      </c>
      <c r="K653" s="2" t="str">
        <v>Furniture</v>
      </c>
      <c r="L653" s="2" t="str">
        <v>Robinson, Rodriguez and Hernandez</v>
      </c>
      <c r="M653" s="2">
        <v>162.22</v>
      </c>
      <c r="N653" s="16">
        <f t="shared" si="10"/>
        <v>0.44273275947363216</v>
      </c>
    </row>
    <row r="654" spans="2:14" ht="14.4" customHeight="1" x14ac:dyDescent="0.3">
      <c r="B654" s="2" t="s">
        <v>659</v>
      </c>
      <c r="C654" s="3">
        <v>44383</v>
      </c>
      <c r="D654" s="2" t="s">
        <v>2009</v>
      </c>
      <c r="E654" s="2" t="s">
        <v>2095</v>
      </c>
      <c r="F654" s="4">
        <v>379.93</v>
      </c>
      <c r="G654" s="5">
        <v>429.04</v>
      </c>
      <c r="H654" s="6">
        <v>20</v>
      </c>
      <c r="I654" s="2" t="s">
        <v>2116</v>
      </c>
      <c r="J654" s="2" t="str">
        <v>Envisioneer B2B Users</v>
      </c>
      <c r="K654" s="2" t="str">
        <v>Office Supplies</v>
      </c>
      <c r="L654" s="2" t="str">
        <v>Rogers Group</v>
      </c>
      <c r="M654" s="2">
        <v>239.16</v>
      </c>
      <c r="N654" s="16">
        <f t="shared" si="10"/>
        <v>1.1292606532782354</v>
      </c>
    </row>
    <row r="655" spans="2:14" ht="14.4" customHeight="1" x14ac:dyDescent="0.3">
      <c r="B655" s="2" t="s">
        <v>660</v>
      </c>
      <c r="C655" s="3">
        <v>45243</v>
      </c>
      <c r="D655" s="2" t="s">
        <v>2010</v>
      </c>
      <c r="E655" s="2" t="s">
        <v>2110</v>
      </c>
      <c r="F655" s="4">
        <v>3360.46</v>
      </c>
      <c r="G655" s="5">
        <v>785.79</v>
      </c>
      <c r="H655" s="6">
        <v>16</v>
      </c>
      <c r="I655" s="2" t="s">
        <v>2118</v>
      </c>
      <c r="J655" s="2" t="str">
        <v>Repurpose End-To-End Networks</v>
      </c>
      <c r="K655" s="2" t="str">
        <v>Office Supplies</v>
      </c>
      <c r="L655" s="2" t="str">
        <v>Torres-Rush</v>
      </c>
      <c r="M655" s="2">
        <v>97.02</v>
      </c>
      <c r="N655" s="16">
        <f t="shared" si="10"/>
        <v>0.23383405843247648</v>
      </c>
    </row>
    <row r="656" spans="2:14" ht="14.4" customHeight="1" x14ac:dyDescent="0.3">
      <c r="B656" s="2" t="s">
        <v>661</v>
      </c>
      <c r="C656" s="3">
        <v>44557</v>
      </c>
      <c r="D656" s="2" t="s">
        <v>2011</v>
      </c>
      <c r="E656" s="2" t="s">
        <v>2074</v>
      </c>
      <c r="F656" s="4">
        <v>2636.97</v>
      </c>
      <c r="G656" s="5">
        <v>610.47</v>
      </c>
      <c r="H656" s="6">
        <v>13</v>
      </c>
      <c r="I656" s="2" t="s">
        <v>2117</v>
      </c>
      <c r="J656" s="2" t="str">
        <v>Utilize Ubiquitous Synergies</v>
      </c>
      <c r="K656" s="2" t="str">
        <v>Electronics</v>
      </c>
      <c r="L656" s="2" t="str">
        <v>Kramer, Huang and Shaw</v>
      </c>
      <c r="M656" s="2">
        <v>295.89999999999998</v>
      </c>
      <c r="N656" s="16">
        <f t="shared" si="10"/>
        <v>0.2315043402086486</v>
      </c>
    </row>
    <row r="657" spans="2:14" ht="14.4" customHeight="1" x14ac:dyDescent="0.3">
      <c r="B657" s="2" t="s">
        <v>662</v>
      </c>
      <c r="C657" s="3">
        <v>44631</v>
      </c>
      <c r="D657" s="2" t="s">
        <v>2009</v>
      </c>
      <c r="E657" s="2" t="s">
        <v>2044</v>
      </c>
      <c r="F657" s="4">
        <v>2465.17</v>
      </c>
      <c r="G657" s="5">
        <v>496.9</v>
      </c>
      <c r="H657" s="6">
        <v>11</v>
      </c>
      <c r="I657" s="2" t="s">
        <v>2117</v>
      </c>
      <c r="J657" s="2" t="str">
        <v>Grow Back-End Supply-Chains</v>
      </c>
      <c r="K657" s="2" t="str">
        <v>Electronics</v>
      </c>
      <c r="L657" s="2" t="str">
        <v>Green LLC</v>
      </c>
      <c r="M657" s="2">
        <v>140.08000000000001</v>
      </c>
      <c r="N657" s="16">
        <f t="shared" si="10"/>
        <v>0.20156824884287897</v>
      </c>
    </row>
    <row r="658" spans="2:14" ht="14.4" customHeight="1" x14ac:dyDescent="0.3">
      <c r="B658" s="2" t="s">
        <v>663</v>
      </c>
      <c r="C658" s="3">
        <v>45424</v>
      </c>
      <c r="D658" s="2" t="s">
        <v>2010</v>
      </c>
      <c r="E658" s="2" t="s">
        <v>2051</v>
      </c>
      <c r="F658" s="4">
        <v>3584.06</v>
      </c>
      <c r="G658" s="5">
        <v>39.36</v>
      </c>
      <c r="H658" s="6">
        <v>12</v>
      </c>
      <c r="I658" s="2" t="s">
        <v>2117</v>
      </c>
      <c r="J658" s="2" t="str">
        <v>Generate Front-End Functionalities</v>
      </c>
      <c r="K658" s="2" t="str">
        <v>Office Supplies</v>
      </c>
      <c r="L658" s="2" t="str">
        <v>Morales-Brown</v>
      </c>
      <c r="M658" s="2">
        <v>299.77</v>
      </c>
      <c r="N658" s="16">
        <f t="shared" si="10"/>
        <v>1.0981959007382689E-2</v>
      </c>
    </row>
    <row r="659" spans="2:14" ht="14.4" customHeight="1" x14ac:dyDescent="0.3">
      <c r="B659" s="2" t="s">
        <v>664</v>
      </c>
      <c r="C659" s="3">
        <v>45368</v>
      </c>
      <c r="D659" s="2" t="s">
        <v>2010</v>
      </c>
      <c r="E659" s="2" t="s">
        <v>2024</v>
      </c>
      <c r="F659" s="4">
        <v>2531.98</v>
      </c>
      <c r="G659" s="5">
        <v>359.35</v>
      </c>
      <c r="H659" s="6">
        <v>2</v>
      </c>
      <c r="I659" s="2" t="s">
        <v>2116</v>
      </c>
      <c r="J659" s="2" t="str">
        <v>Target Viral Methodologies</v>
      </c>
      <c r="K659" s="2" t="str">
        <v>Electronics</v>
      </c>
      <c r="L659" s="2" t="str">
        <v>Alvarez, Myers and Walter</v>
      </c>
      <c r="M659" s="2">
        <v>149.26</v>
      </c>
      <c r="N659" s="16">
        <f t="shared" si="10"/>
        <v>0.14192450177331575</v>
      </c>
    </row>
    <row r="660" spans="2:14" ht="14.4" customHeight="1" x14ac:dyDescent="0.3">
      <c r="B660" s="2" t="s">
        <v>665</v>
      </c>
      <c r="C660" s="3">
        <v>45430</v>
      </c>
      <c r="D660" s="2" t="s">
        <v>2011</v>
      </c>
      <c r="E660" s="2" t="s">
        <v>2021</v>
      </c>
      <c r="F660" s="4">
        <v>4087.68</v>
      </c>
      <c r="G660" s="5">
        <v>87.66</v>
      </c>
      <c r="H660" s="6">
        <v>13</v>
      </c>
      <c r="I660" s="2" t="s">
        <v>2116</v>
      </c>
      <c r="J660" s="2" t="str">
        <v>Whiteboard Compelling Experiences</v>
      </c>
      <c r="K660" s="2" t="str">
        <v>Furniture</v>
      </c>
      <c r="L660" s="2" t="str">
        <v>Carrillo, Carr and Ball</v>
      </c>
      <c r="M660" s="2">
        <v>206.54</v>
      </c>
      <c r="N660" s="16">
        <f t="shared" si="10"/>
        <v>2.1444927195866603E-2</v>
      </c>
    </row>
    <row r="661" spans="2:14" ht="14.4" customHeight="1" x14ac:dyDescent="0.3">
      <c r="B661" s="2" t="s">
        <v>666</v>
      </c>
      <c r="C661" s="3">
        <v>44902</v>
      </c>
      <c r="D661" s="2" t="s">
        <v>2009</v>
      </c>
      <c r="E661" s="2" t="s">
        <v>2028</v>
      </c>
      <c r="F661" s="4">
        <v>2353.42</v>
      </c>
      <c r="G661" s="5">
        <v>25.95</v>
      </c>
      <c r="H661" s="6">
        <v>11</v>
      </c>
      <c r="I661" s="2" t="s">
        <v>2116</v>
      </c>
      <c r="J661" s="2" t="str">
        <v>Synergize World-Class Networks</v>
      </c>
      <c r="K661" s="2" t="str">
        <v>Electronics</v>
      </c>
      <c r="L661" s="2" t="str">
        <v>Gomez-Lawrence</v>
      </c>
      <c r="M661" s="2">
        <v>72.37</v>
      </c>
      <c r="N661" s="16">
        <f t="shared" si="10"/>
        <v>1.1026506106007427E-2</v>
      </c>
    </row>
    <row r="662" spans="2:14" ht="14.4" customHeight="1" x14ac:dyDescent="0.3">
      <c r="B662" s="2" t="s">
        <v>667</v>
      </c>
      <c r="C662" s="3">
        <v>45381</v>
      </c>
      <c r="D662" s="2" t="s">
        <v>2010</v>
      </c>
      <c r="E662" s="2" t="s">
        <v>2111</v>
      </c>
      <c r="F662" s="4">
        <v>3682.57</v>
      </c>
      <c r="G662" s="5">
        <v>727.23</v>
      </c>
      <c r="H662" s="6">
        <v>8</v>
      </c>
      <c r="I662" s="2" t="s">
        <v>2116</v>
      </c>
      <c r="J662" s="2" t="str">
        <v>Evolve Intuitive Bandwidth</v>
      </c>
      <c r="K662" s="2" t="str">
        <v>Office Supplies</v>
      </c>
      <c r="L662" s="2" t="str">
        <v>Rogers Group</v>
      </c>
      <c r="M662" s="2">
        <v>131.63</v>
      </c>
      <c r="N662" s="16">
        <f t="shared" si="10"/>
        <v>0.19747893454842677</v>
      </c>
    </row>
    <row r="663" spans="2:14" ht="14.4" customHeight="1" x14ac:dyDescent="0.3">
      <c r="B663" s="2" t="s">
        <v>668</v>
      </c>
      <c r="C663" s="3">
        <v>45087</v>
      </c>
      <c r="D663" s="2" t="s">
        <v>2012</v>
      </c>
      <c r="E663" s="2" t="s">
        <v>2030</v>
      </c>
      <c r="F663" s="4">
        <v>273.37</v>
      </c>
      <c r="G663" s="5">
        <v>838.54</v>
      </c>
      <c r="H663" s="6">
        <v>5</v>
      </c>
      <c r="I663" s="2" t="s">
        <v>2118</v>
      </c>
      <c r="J663" s="2" t="str">
        <v>Engage Rich Web-Readiness</v>
      </c>
      <c r="K663" s="2" t="str">
        <v>Office Supplies</v>
      </c>
      <c r="L663" s="2" t="str">
        <v>Turner Inc</v>
      </c>
      <c r="M663" s="2">
        <v>81.069999999999993</v>
      </c>
      <c r="N663" s="16">
        <f t="shared" si="10"/>
        <v>3.0674177854190288</v>
      </c>
    </row>
    <row r="664" spans="2:14" ht="14.4" customHeight="1" x14ac:dyDescent="0.3">
      <c r="B664" s="2" t="s">
        <v>669</v>
      </c>
      <c r="C664" s="3">
        <v>44746</v>
      </c>
      <c r="D664" s="2" t="s">
        <v>2010</v>
      </c>
      <c r="E664" s="2" t="s">
        <v>2060</v>
      </c>
      <c r="F664" s="4">
        <v>4462.6499999999996</v>
      </c>
      <c r="G664" s="5">
        <v>693.98</v>
      </c>
      <c r="H664" s="6">
        <v>2</v>
      </c>
      <c r="I664" s="2" t="s">
        <v>2116</v>
      </c>
      <c r="J664" s="2" t="str">
        <v>Synergize End-To-End Roi</v>
      </c>
      <c r="K664" s="2" t="str">
        <v>Electronics</v>
      </c>
      <c r="L664" s="2" t="str">
        <v>Evans-Smith</v>
      </c>
      <c r="M664" s="2">
        <v>159.85</v>
      </c>
      <c r="N664" s="16">
        <f t="shared" si="10"/>
        <v>0.15550849831378219</v>
      </c>
    </row>
    <row r="665" spans="2:14" ht="14.4" customHeight="1" x14ac:dyDescent="0.3">
      <c r="B665" s="2" t="s">
        <v>670</v>
      </c>
      <c r="C665" s="3">
        <v>44493</v>
      </c>
      <c r="D665" s="2" t="s">
        <v>2011</v>
      </c>
      <c r="E665" s="2" t="s">
        <v>2042</v>
      </c>
      <c r="F665" s="4">
        <v>2524.98</v>
      </c>
      <c r="G665" s="5">
        <v>349.39</v>
      </c>
      <c r="H665" s="6">
        <v>20</v>
      </c>
      <c r="I665" s="2" t="s">
        <v>2117</v>
      </c>
      <c r="J665" s="2" t="str">
        <v>Orchestrate E-Business Niches</v>
      </c>
      <c r="K665" s="2" t="str">
        <v>Furniture</v>
      </c>
      <c r="L665" s="2" t="str">
        <v>Johnson LLC</v>
      </c>
      <c r="M665" s="2">
        <v>198.99</v>
      </c>
      <c r="N665" s="16">
        <f t="shared" si="10"/>
        <v>0.1383733732544416</v>
      </c>
    </row>
    <row r="666" spans="2:14" ht="14.4" customHeight="1" x14ac:dyDescent="0.3">
      <c r="B666" s="2" t="s">
        <v>671</v>
      </c>
      <c r="C666" s="3">
        <v>44281</v>
      </c>
      <c r="D666" s="2" t="s">
        <v>2011</v>
      </c>
      <c r="E666" s="2" t="s">
        <v>2065</v>
      </c>
      <c r="F666" s="4">
        <v>4603.8599999999997</v>
      </c>
      <c r="G666" s="5">
        <v>983.79</v>
      </c>
      <c r="H666" s="6">
        <v>11</v>
      </c>
      <c r="I666" s="2" t="s">
        <v>2118</v>
      </c>
      <c r="J666" s="2" t="str">
        <v>Re-Contextualize Integrated Info-Mediaries</v>
      </c>
      <c r="K666" s="2" t="str">
        <v>Electronics</v>
      </c>
      <c r="L666" s="2" t="str">
        <v>Jones-Schroeder</v>
      </c>
      <c r="M666" s="2">
        <v>26.02</v>
      </c>
      <c r="N666" s="16">
        <f t="shared" si="10"/>
        <v>0.21368807913359661</v>
      </c>
    </row>
    <row r="667" spans="2:14" ht="14.4" customHeight="1" x14ac:dyDescent="0.3">
      <c r="B667" s="2" t="s">
        <v>672</v>
      </c>
      <c r="C667" s="3">
        <v>44110</v>
      </c>
      <c r="D667" s="2" t="s">
        <v>2011</v>
      </c>
      <c r="E667" s="2" t="s">
        <v>2083</v>
      </c>
      <c r="F667" s="4">
        <v>1877.16</v>
      </c>
      <c r="G667" s="5">
        <v>140.26</v>
      </c>
      <c r="H667" s="6">
        <v>7</v>
      </c>
      <c r="I667" s="2" t="s">
        <v>2118</v>
      </c>
      <c r="J667" s="2" t="str">
        <v>Whiteboard Sticky Content</v>
      </c>
      <c r="K667" s="2" t="str">
        <v>Furniture</v>
      </c>
      <c r="L667" s="2" t="str">
        <v>Wolfe Group</v>
      </c>
      <c r="M667" s="2">
        <v>82.16</v>
      </c>
      <c r="N667" s="16">
        <f t="shared" si="10"/>
        <v>7.471925674955783E-2</v>
      </c>
    </row>
    <row r="668" spans="2:14" ht="14.4" customHeight="1" x14ac:dyDescent="0.3">
      <c r="B668" s="2" t="s">
        <v>673</v>
      </c>
      <c r="C668" s="3">
        <v>45137</v>
      </c>
      <c r="D668" s="2" t="s">
        <v>2012</v>
      </c>
      <c r="E668" s="2" t="s">
        <v>2016</v>
      </c>
      <c r="F668" s="4">
        <v>3914.18</v>
      </c>
      <c r="G668" s="5">
        <v>921.84</v>
      </c>
      <c r="H668" s="6">
        <v>2</v>
      </c>
      <c r="I668" s="2" t="s">
        <v>2118</v>
      </c>
      <c r="J668" s="2" t="str">
        <v>Revolutionize Efficient Niches</v>
      </c>
      <c r="K668" s="2" t="str">
        <v>Electronics</v>
      </c>
      <c r="L668" s="2" t="str">
        <v>Lopez-Torres</v>
      </c>
      <c r="M668" s="2">
        <v>23.02</v>
      </c>
      <c r="N668" s="16">
        <f t="shared" si="10"/>
        <v>0.23551292991124578</v>
      </c>
    </row>
    <row r="669" spans="2:14" ht="14.4" customHeight="1" x14ac:dyDescent="0.3">
      <c r="B669" s="2" t="s">
        <v>674</v>
      </c>
      <c r="C669" s="3">
        <v>44478</v>
      </c>
      <c r="D669" s="2" t="s">
        <v>2009</v>
      </c>
      <c r="E669" s="2" t="s">
        <v>2087</v>
      </c>
      <c r="F669" s="4">
        <v>4042.52</v>
      </c>
      <c r="G669" s="5">
        <v>92.13</v>
      </c>
      <c r="H669" s="6">
        <v>10</v>
      </c>
      <c r="I669" s="2" t="s">
        <v>2118</v>
      </c>
      <c r="J669" s="2" t="str">
        <v>Empower Seamless Roi</v>
      </c>
      <c r="K669" s="2" t="str">
        <v>Office Supplies</v>
      </c>
      <c r="L669" s="2" t="str">
        <v>Proctor Group</v>
      </c>
      <c r="M669" s="2">
        <v>266.64999999999998</v>
      </c>
      <c r="N669" s="16">
        <f t="shared" si="10"/>
        <v>2.2790239751442169E-2</v>
      </c>
    </row>
    <row r="670" spans="2:14" ht="14.4" customHeight="1" x14ac:dyDescent="0.3">
      <c r="B670" s="2" t="s">
        <v>675</v>
      </c>
      <c r="C670" s="3">
        <v>44187</v>
      </c>
      <c r="D670" s="2" t="s">
        <v>2011</v>
      </c>
      <c r="E670" s="2" t="s">
        <v>2096</v>
      </c>
      <c r="F670" s="4">
        <v>3051.99</v>
      </c>
      <c r="G670" s="5">
        <v>39.57</v>
      </c>
      <c r="H670" s="6">
        <v>17</v>
      </c>
      <c r="I670" s="2" t="s">
        <v>2116</v>
      </c>
      <c r="J670" s="2" t="str">
        <v>Disintermediate Scalable Bandwidth</v>
      </c>
      <c r="K670" s="2" t="str">
        <v>Electronics</v>
      </c>
      <c r="L670" s="2" t="str">
        <v>Levy PLC</v>
      </c>
      <c r="M670" s="2">
        <v>19.86</v>
      </c>
      <c r="N670" s="16">
        <f t="shared" si="10"/>
        <v>1.2965311157638132E-2</v>
      </c>
    </row>
    <row r="671" spans="2:14" ht="14.4" customHeight="1" x14ac:dyDescent="0.3">
      <c r="B671" s="2" t="s">
        <v>676</v>
      </c>
      <c r="C671" s="3">
        <v>44817</v>
      </c>
      <c r="D671" s="2" t="s">
        <v>2009</v>
      </c>
      <c r="E671" s="2" t="s">
        <v>2016</v>
      </c>
      <c r="F671" s="4">
        <v>2453.5100000000002</v>
      </c>
      <c r="G671" s="5">
        <v>276.8</v>
      </c>
      <c r="H671" s="6">
        <v>1</v>
      </c>
      <c r="I671" s="2" t="s">
        <v>2118</v>
      </c>
      <c r="J671" s="2" t="str">
        <v>Revolutionize Efficient Niches</v>
      </c>
      <c r="K671" s="2" t="str">
        <v>Electronics</v>
      </c>
      <c r="L671" s="2" t="str">
        <v>Lopez-Torres</v>
      </c>
      <c r="M671" s="2">
        <v>23.02</v>
      </c>
      <c r="N671" s="16">
        <f t="shared" si="10"/>
        <v>0.11281796283691527</v>
      </c>
    </row>
    <row r="672" spans="2:14" ht="14.4" customHeight="1" x14ac:dyDescent="0.3">
      <c r="B672" s="2" t="s">
        <v>677</v>
      </c>
      <c r="C672" s="3">
        <v>45026</v>
      </c>
      <c r="D672" s="2" t="s">
        <v>2009</v>
      </c>
      <c r="E672" s="2" t="s">
        <v>2096</v>
      </c>
      <c r="F672" s="4">
        <v>3715.86</v>
      </c>
      <c r="G672" s="5">
        <v>76.2</v>
      </c>
      <c r="H672" s="6">
        <v>16</v>
      </c>
      <c r="I672" s="2" t="s">
        <v>2116</v>
      </c>
      <c r="J672" s="2" t="str">
        <v>Disintermediate Scalable Bandwidth</v>
      </c>
      <c r="K672" s="2" t="str">
        <v>Electronics</v>
      </c>
      <c r="L672" s="2" t="str">
        <v>Levy PLC</v>
      </c>
      <c r="M672" s="2">
        <v>19.86</v>
      </c>
      <c r="N672" s="16">
        <f t="shared" si="10"/>
        <v>2.0506692932457091E-2</v>
      </c>
    </row>
    <row r="673" spans="2:14" ht="14.4" customHeight="1" x14ac:dyDescent="0.3">
      <c r="B673" s="2" t="s">
        <v>678</v>
      </c>
      <c r="C673" s="3">
        <v>43956</v>
      </c>
      <c r="D673" s="2" t="s">
        <v>2010</v>
      </c>
      <c r="E673" s="2" t="s">
        <v>2104</v>
      </c>
      <c r="F673" s="4">
        <v>2841.27</v>
      </c>
      <c r="G673" s="5">
        <v>549.57000000000005</v>
      </c>
      <c r="H673" s="6">
        <v>4</v>
      </c>
      <c r="I673" s="2" t="s">
        <v>2116</v>
      </c>
      <c r="J673" s="2" t="str">
        <v>Scale Cross-Platform Web Services</v>
      </c>
      <c r="K673" s="2" t="str">
        <v>Furniture</v>
      </c>
      <c r="L673" s="2" t="str">
        <v>Morrow, Brock and Lewis</v>
      </c>
      <c r="M673" s="2">
        <v>115.21</v>
      </c>
      <c r="N673" s="16">
        <f t="shared" si="10"/>
        <v>0.19342406740647669</v>
      </c>
    </row>
    <row r="674" spans="2:14" ht="14.4" customHeight="1" x14ac:dyDescent="0.3">
      <c r="B674" s="2" t="s">
        <v>679</v>
      </c>
      <c r="C674" s="3">
        <v>44338</v>
      </c>
      <c r="D674" s="2" t="s">
        <v>2009</v>
      </c>
      <c r="E674" s="2" t="s">
        <v>2077</v>
      </c>
      <c r="F674" s="4">
        <v>1515.53</v>
      </c>
      <c r="G674" s="5">
        <v>256.55</v>
      </c>
      <c r="H674" s="6">
        <v>13</v>
      </c>
      <c r="I674" s="2" t="s">
        <v>2116</v>
      </c>
      <c r="J674" s="2" t="str">
        <v>Synthesize Wireless Initiatives</v>
      </c>
      <c r="K674" s="2" t="str">
        <v>Electronics</v>
      </c>
      <c r="L674" s="2" t="str">
        <v>Mosley Ltd</v>
      </c>
      <c r="M674" s="2">
        <v>162.69999999999999</v>
      </c>
      <c r="N674" s="16">
        <f t="shared" si="10"/>
        <v>0.16928071367772332</v>
      </c>
    </row>
    <row r="675" spans="2:14" ht="14.4" customHeight="1" x14ac:dyDescent="0.3">
      <c r="B675" s="2" t="s">
        <v>680</v>
      </c>
      <c r="C675" s="3">
        <v>44612</v>
      </c>
      <c r="D675" s="2" t="s">
        <v>2011</v>
      </c>
      <c r="E675" s="2" t="s">
        <v>2065</v>
      </c>
      <c r="F675" s="4">
        <v>4030.19</v>
      </c>
      <c r="G675" s="5">
        <v>315.62</v>
      </c>
      <c r="H675" s="6">
        <v>10</v>
      </c>
      <c r="I675" s="2" t="s">
        <v>2117</v>
      </c>
      <c r="J675" s="2" t="str">
        <v>Re-Contextualize Integrated Info-Mediaries</v>
      </c>
      <c r="K675" s="2" t="str">
        <v>Electronics</v>
      </c>
      <c r="L675" s="2" t="str">
        <v>Jones-Schroeder</v>
      </c>
      <c r="M675" s="2">
        <v>26.02</v>
      </c>
      <c r="N675" s="16">
        <f t="shared" si="10"/>
        <v>7.8313925646185417E-2</v>
      </c>
    </row>
    <row r="676" spans="2:14" ht="14.4" customHeight="1" x14ac:dyDescent="0.3">
      <c r="B676" s="2" t="s">
        <v>681</v>
      </c>
      <c r="C676" s="3">
        <v>44459</v>
      </c>
      <c r="D676" s="2" t="s">
        <v>2011</v>
      </c>
      <c r="E676" s="2" t="s">
        <v>2105</v>
      </c>
      <c r="F676" s="4">
        <v>303.58</v>
      </c>
      <c r="G676" s="5">
        <v>727.97</v>
      </c>
      <c r="H676" s="6">
        <v>4</v>
      </c>
      <c r="I676" s="2" t="s">
        <v>2117</v>
      </c>
      <c r="J676" s="2" t="str">
        <v>Brand B2C Info-Mediaries</v>
      </c>
      <c r="K676" s="2" t="str">
        <v>Office Supplies</v>
      </c>
      <c r="L676" s="2" t="str">
        <v>Preston Ltd</v>
      </c>
      <c r="M676" s="2">
        <v>13.46</v>
      </c>
      <c r="N676" s="16">
        <f t="shared" si="10"/>
        <v>2.3979511166743528</v>
      </c>
    </row>
    <row r="677" spans="2:14" ht="14.4" customHeight="1" x14ac:dyDescent="0.3">
      <c r="B677" s="2" t="s">
        <v>682</v>
      </c>
      <c r="C677" s="3">
        <v>44734</v>
      </c>
      <c r="D677" s="2" t="s">
        <v>2012</v>
      </c>
      <c r="E677" s="2" t="s">
        <v>2074</v>
      </c>
      <c r="F677" s="4">
        <v>4350.83</v>
      </c>
      <c r="G677" s="5">
        <v>775.83</v>
      </c>
      <c r="H677" s="6">
        <v>18</v>
      </c>
      <c r="I677" s="2" t="s">
        <v>2116</v>
      </c>
      <c r="J677" s="2" t="str">
        <v>Utilize Ubiquitous Synergies</v>
      </c>
      <c r="K677" s="2" t="str">
        <v>Electronics</v>
      </c>
      <c r="L677" s="2" t="str">
        <v>Kramer, Huang and Shaw</v>
      </c>
      <c r="M677" s="2">
        <v>295.89999999999998</v>
      </c>
      <c r="N677" s="16">
        <f t="shared" si="10"/>
        <v>0.17831770030086214</v>
      </c>
    </row>
    <row r="678" spans="2:14" ht="14.4" customHeight="1" x14ac:dyDescent="0.3">
      <c r="B678" s="2" t="s">
        <v>683</v>
      </c>
      <c r="C678" s="3">
        <v>45249</v>
      </c>
      <c r="D678" s="2" t="s">
        <v>2011</v>
      </c>
      <c r="E678" s="2" t="s">
        <v>2063</v>
      </c>
      <c r="F678" s="4">
        <v>4334.7</v>
      </c>
      <c r="G678" s="5">
        <v>429.71</v>
      </c>
      <c r="H678" s="6">
        <v>19</v>
      </c>
      <c r="I678" s="2" t="s">
        <v>2118</v>
      </c>
      <c r="J678" s="2" t="str">
        <v>Unleash End-To-End Web Services</v>
      </c>
      <c r="K678" s="2" t="str">
        <v>Office Supplies</v>
      </c>
      <c r="L678" s="2" t="str">
        <v>Jones Ltd</v>
      </c>
      <c r="M678" s="2">
        <v>188.02</v>
      </c>
      <c r="N678" s="16">
        <f t="shared" si="10"/>
        <v>9.9132581262832489E-2</v>
      </c>
    </row>
    <row r="679" spans="2:14" ht="14.4" customHeight="1" x14ac:dyDescent="0.3">
      <c r="B679" s="2" t="s">
        <v>684</v>
      </c>
      <c r="C679" s="3">
        <v>44619</v>
      </c>
      <c r="D679" s="2" t="s">
        <v>2009</v>
      </c>
      <c r="E679" s="2" t="s">
        <v>2084</v>
      </c>
      <c r="F679" s="4">
        <v>79.11</v>
      </c>
      <c r="G679" s="5">
        <v>562.98</v>
      </c>
      <c r="H679" s="6">
        <v>13</v>
      </c>
      <c r="I679" s="2" t="s">
        <v>2117</v>
      </c>
      <c r="J679" s="2" t="str">
        <v>Grow Synergistic Infrastructures</v>
      </c>
      <c r="K679" s="2" t="str">
        <v>Furniture</v>
      </c>
      <c r="L679" s="2" t="str">
        <v>Adams-Carter</v>
      </c>
      <c r="M679" s="2">
        <v>113.17</v>
      </c>
      <c r="N679" s="16">
        <f t="shared" si="10"/>
        <v>7.1164201744406528</v>
      </c>
    </row>
    <row r="680" spans="2:14" ht="14.4" customHeight="1" x14ac:dyDescent="0.3">
      <c r="B680" s="2" t="s">
        <v>685</v>
      </c>
      <c r="C680" s="3">
        <v>43944</v>
      </c>
      <c r="D680" s="2" t="s">
        <v>2011</v>
      </c>
      <c r="E680" s="2" t="s">
        <v>2104</v>
      </c>
      <c r="F680" s="4">
        <v>3247.11</v>
      </c>
      <c r="G680" s="5">
        <v>62.28</v>
      </c>
      <c r="H680" s="6">
        <v>4</v>
      </c>
      <c r="I680" s="2" t="s">
        <v>2117</v>
      </c>
      <c r="J680" s="2" t="str">
        <v>Scale Cross-Platform Web Services</v>
      </c>
      <c r="K680" s="2" t="str">
        <v>Furniture</v>
      </c>
      <c r="L680" s="2" t="str">
        <v>Morrow, Brock and Lewis</v>
      </c>
      <c r="M680" s="2">
        <v>115.21</v>
      </c>
      <c r="N680" s="16">
        <f t="shared" si="10"/>
        <v>1.9180132487042322E-2</v>
      </c>
    </row>
    <row r="681" spans="2:14" ht="14.4" customHeight="1" x14ac:dyDescent="0.3">
      <c r="B681" s="2" t="s">
        <v>686</v>
      </c>
      <c r="C681" s="3">
        <v>44016</v>
      </c>
      <c r="D681" s="2" t="s">
        <v>2012</v>
      </c>
      <c r="E681" s="2" t="s">
        <v>2055</v>
      </c>
      <c r="F681" s="4">
        <v>1045.97</v>
      </c>
      <c r="G681" s="5">
        <v>680.45</v>
      </c>
      <c r="H681" s="6">
        <v>12</v>
      </c>
      <c r="I681" s="2" t="s">
        <v>2117</v>
      </c>
      <c r="J681" s="2" t="str">
        <v>Engineer Real-Time Architectures</v>
      </c>
      <c r="K681" s="2" t="str">
        <v>Furniture</v>
      </c>
      <c r="L681" s="2" t="str">
        <v>James and Sons</v>
      </c>
      <c r="M681" s="2">
        <v>127.23</v>
      </c>
      <c r="N681" s="16">
        <f t="shared" si="10"/>
        <v>0.65054447068271559</v>
      </c>
    </row>
    <row r="682" spans="2:14" ht="14.4" customHeight="1" x14ac:dyDescent="0.3">
      <c r="B682" s="2" t="s">
        <v>687</v>
      </c>
      <c r="C682" s="3">
        <v>44017</v>
      </c>
      <c r="D682" s="2" t="s">
        <v>2009</v>
      </c>
      <c r="E682" s="2" t="s">
        <v>2078</v>
      </c>
      <c r="F682" s="4">
        <v>4825.6499999999996</v>
      </c>
      <c r="G682" s="5">
        <v>533.19000000000005</v>
      </c>
      <c r="H682" s="6">
        <v>1</v>
      </c>
      <c r="I682" s="2" t="s">
        <v>2118</v>
      </c>
      <c r="J682" s="2" t="str">
        <v>Strategize E-Business Content</v>
      </c>
      <c r="K682" s="2" t="str">
        <v>Electronics</v>
      </c>
      <c r="L682" s="2" t="str">
        <v>Patterson LLC</v>
      </c>
      <c r="M682" s="2">
        <v>294.02</v>
      </c>
      <c r="N682" s="16">
        <f t="shared" si="10"/>
        <v>0.11049081470889933</v>
      </c>
    </row>
    <row r="683" spans="2:14" ht="14.4" customHeight="1" x14ac:dyDescent="0.3">
      <c r="B683" s="2" t="s">
        <v>688</v>
      </c>
      <c r="C683" s="3">
        <v>44416</v>
      </c>
      <c r="D683" s="2" t="s">
        <v>2012</v>
      </c>
      <c r="E683" s="2" t="s">
        <v>2073</v>
      </c>
      <c r="F683" s="4">
        <v>4614.75</v>
      </c>
      <c r="G683" s="5">
        <v>628.09</v>
      </c>
      <c r="H683" s="6">
        <v>18</v>
      </c>
      <c r="I683" s="2" t="s">
        <v>2117</v>
      </c>
      <c r="J683" s="2" t="str">
        <v>Visualize Dynamic E-Commerce</v>
      </c>
      <c r="K683" s="2" t="str">
        <v>Furniture</v>
      </c>
      <c r="L683" s="2" t="str">
        <v>Jones LLC</v>
      </c>
      <c r="M683" s="2">
        <v>92.61</v>
      </c>
      <c r="N683" s="16">
        <f t="shared" si="10"/>
        <v>0.13610488108781624</v>
      </c>
    </row>
    <row r="684" spans="2:14" ht="14.4" customHeight="1" x14ac:dyDescent="0.3">
      <c r="B684" s="2" t="s">
        <v>689</v>
      </c>
      <c r="C684" s="3">
        <v>44504</v>
      </c>
      <c r="D684" s="2" t="s">
        <v>2009</v>
      </c>
      <c r="E684" s="2" t="s">
        <v>2083</v>
      </c>
      <c r="F684" s="4">
        <v>4496.4799999999996</v>
      </c>
      <c r="G684" s="5">
        <v>833.34</v>
      </c>
      <c r="H684" s="6">
        <v>8</v>
      </c>
      <c r="I684" s="2" t="s">
        <v>2117</v>
      </c>
      <c r="J684" s="2" t="str">
        <v>Whiteboard Sticky Content</v>
      </c>
      <c r="K684" s="2" t="str">
        <v>Furniture</v>
      </c>
      <c r="L684" s="2" t="str">
        <v>Wolfe Group</v>
      </c>
      <c r="M684" s="2">
        <v>82.16</v>
      </c>
      <c r="N684" s="16">
        <f t="shared" si="10"/>
        <v>0.18533163719175891</v>
      </c>
    </row>
    <row r="685" spans="2:14" ht="14.4" customHeight="1" x14ac:dyDescent="0.3">
      <c r="B685" s="2" t="s">
        <v>690</v>
      </c>
      <c r="C685" s="3">
        <v>45501</v>
      </c>
      <c r="D685" s="2" t="s">
        <v>2010</v>
      </c>
      <c r="E685" s="2" t="s">
        <v>2060</v>
      </c>
      <c r="F685" s="4">
        <v>1576.7</v>
      </c>
      <c r="G685" s="5">
        <v>478.58</v>
      </c>
      <c r="H685" s="6">
        <v>3</v>
      </c>
      <c r="I685" s="2" t="s">
        <v>2118</v>
      </c>
      <c r="J685" s="2" t="str">
        <v>Synergize End-To-End Roi</v>
      </c>
      <c r="K685" s="2" t="str">
        <v>Electronics</v>
      </c>
      <c r="L685" s="2" t="str">
        <v>Evans-Smith</v>
      </c>
      <c r="M685" s="2">
        <v>159.85</v>
      </c>
      <c r="N685" s="16">
        <f t="shared" si="10"/>
        <v>0.30353269486903023</v>
      </c>
    </row>
    <row r="686" spans="2:14" ht="14.4" customHeight="1" x14ac:dyDescent="0.3">
      <c r="B686" s="2" t="s">
        <v>691</v>
      </c>
      <c r="C686" s="3">
        <v>45547</v>
      </c>
      <c r="D686" s="2" t="s">
        <v>2010</v>
      </c>
      <c r="E686" s="2" t="s">
        <v>2089</v>
      </c>
      <c r="F686" s="4">
        <v>1510.44</v>
      </c>
      <c r="G686" s="5">
        <v>416.19</v>
      </c>
      <c r="H686" s="6">
        <v>2</v>
      </c>
      <c r="I686" s="2" t="s">
        <v>2118</v>
      </c>
      <c r="J686" s="2" t="str">
        <v>Morph World-Class Synergies</v>
      </c>
      <c r="K686" s="2" t="str">
        <v>Electronics</v>
      </c>
      <c r="L686" s="2" t="str">
        <v>Bryant Ltd</v>
      </c>
      <c r="M686" s="2">
        <v>20.69</v>
      </c>
      <c r="N686" s="16">
        <f t="shared" si="10"/>
        <v>0.27554222610630014</v>
      </c>
    </row>
    <row r="687" spans="2:14" ht="14.4" customHeight="1" x14ac:dyDescent="0.3">
      <c r="B687" s="2" t="s">
        <v>692</v>
      </c>
      <c r="C687" s="3">
        <v>44844</v>
      </c>
      <c r="D687" s="2" t="s">
        <v>2011</v>
      </c>
      <c r="E687" s="2" t="s">
        <v>2093</v>
      </c>
      <c r="F687" s="4">
        <v>230.27</v>
      </c>
      <c r="G687" s="5">
        <v>131.77000000000001</v>
      </c>
      <c r="H687" s="6">
        <v>16</v>
      </c>
      <c r="I687" s="2" t="s">
        <v>2118</v>
      </c>
      <c r="J687" s="2" t="str">
        <v>Synergize Frictionless Synergies</v>
      </c>
      <c r="K687" s="2" t="str">
        <v>Furniture</v>
      </c>
      <c r="L687" s="2" t="str">
        <v>Hester and Sons</v>
      </c>
      <c r="M687" s="2">
        <v>289.06</v>
      </c>
      <c r="N687" s="16">
        <f t="shared" si="10"/>
        <v>0.57224128197333568</v>
      </c>
    </row>
    <row r="688" spans="2:14" ht="14.4" customHeight="1" x14ac:dyDescent="0.3">
      <c r="B688" s="2" t="s">
        <v>693</v>
      </c>
      <c r="C688" s="3">
        <v>45048</v>
      </c>
      <c r="D688" s="2" t="s">
        <v>2009</v>
      </c>
      <c r="E688" s="2" t="s">
        <v>2066</v>
      </c>
      <c r="F688" s="4">
        <v>1320.37</v>
      </c>
      <c r="G688" s="5">
        <v>135.44999999999999</v>
      </c>
      <c r="H688" s="6">
        <v>15</v>
      </c>
      <c r="I688" s="2" t="s">
        <v>2118</v>
      </c>
      <c r="J688" s="2" t="str">
        <v>Facilitate Integrated E-Business</v>
      </c>
      <c r="K688" s="2" t="str">
        <v>Office Supplies</v>
      </c>
      <c r="L688" s="2" t="str">
        <v>Chang-Vargas</v>
      </c>
      <c r="M688" s="2">
        <v>130.33000000000001</v>
      </c>
      <c r="N688" s="16">
        <f t="shared" si="10"/>
        <v>0.1025848815104857</v>
      </c>
    </row>
    <row r="689" spans="2:14" ht="14.4" customHeight="1" x14ac:dyDescent="0.3">
      <c r="B689" s="2" t="s">
        <v>694</v>
      </c>
      <c r="C689" s="3">
        <v>44189</v>
      </c>
      <c r="D689" s="2" t="s">
        <v>2011</v>
      </c>
      <c r="E689" s="2" t="s">
        <v>2025</v>
      </c>
      <c r="F689" s="4">
        <v>1521.42</v>
      </c>
      <c r="G689" s="5">
        <v>680.21</v>
      </c>
      <c r="H689" s="6">
        <v>5</v>
      </c>
      <c r="I689" s="2" t="s">
        <v>2116</v>
      </c>
      <c r="J689" s="2" t="str">
        <v>Streamline Innovative Architectures</v>
      </c>
      <c r="K689" s="2" t="str">
        <v>Furniture</v>
      </c>
      <c r="L689" s="2" t="str">
        <v>Price, Valentine and Lutz</v>
      </c>
      <c r="M689" s="2">
        <v>291.14999999999998</v>
      </c>
      <c r="N689" s="16">
        <f t="shared" si="10"/>
        <v>0.44708890378725141</v>
      </c>
    </row>
    <row r="690" spans="2:14" ht="14.4" customHeight="1" x14ac:dyDescent="0.3">
      <c r="B690" s="2" t="s">
        <v>695</v>
      </c>
      <c r="C690" s="3">
        <v>43948</v>
      </c>
      <c r="D690" s="2" t="s">
        <v>2010</v>
      </c>
      <c r="E690" s="2" t="s">
        <v>2014</v>
      </c>
      <c r="F690" s="4">
        <v>1451.34</v>
      </c>
      <c r="G690" s="5">
        <v>57.44</v>
      </c>
      <c r="H690" s="6">
        <v>14</v>
      </c>
      <c r="I690" s="2" t="s">
        <v>2116</v>
      </c>
      <c r="J690" s="2" t="str">
        <v>E-Enable Synergistic Vortals</v>
      </c>
      <c r="K690" s="2" t="str">
        <v>Electronics</v>
      </c>
      <c r="L690" s="2" t="str">
        <v>Guzman Group</v>
      </c>
      <c r="M690" s="2">
        <v>278.43</v>
      </c>
      <c r="N690" s="16">
        <f t="shared" si="10"/>
        <v>3.9577218294817203E-2</v>
      </c>
    </row>
    <row r="691" spans="2:14" ht="14.4" customHeight="1" x14ac:dyDescent="0.3">
      <c r="B691" s="2" t="s">
        <v>696</v>
      </c>
      <c r="C691" s="3">
        <v>45137</v>
      </c>
      <c r="D691" s="2" t="s">
        <v>2011</v>
      </c>
      <c r="E691" s="2" t="s">
        <v>2095</v>
      </c>
      <c r="F691" s="4">
        <v>3348.49</v>
      </c>
      <c r="G691" s="5">
        <v>873.81</v>
      </c>
      <c r="H691" s="6">
        <v>2</v>
      </c>
      <c r="I691" s="2" t="s">
        <v>2118</v>
      </c>
      <c r="J691" s="2" t="str">
        <v>Envisioneer B2B Users</v>
      </c>
      <c r="K691" s="2" t="str">
        <v>Office Supplies</v>
      </c>
      <c r="L691" s="2" t="str">
        <v>Rogers Group</v>
      </c>
      <c r="M691" s="2">
        <v>239.16</v>
      </c>
      <c r="N691" s="16">
        <f t="shared" si="10"/>
        <v>0.26095643110775307</v>
      </c>
    </row>
    <row r="692" spans="2:14" ht="14.4" customHeight="1" x14ac:dyDescent="0.3">
      <c r="B692" s="2" t="s">
        <v>697</v>
      </c>
      <c r="C692" s="3">
        <v>43939</v>
      </c>
      <c r="D692" s="2" t="s">
        <v>2010</v>
      </c>
      <c r="E692" s="2" t="s">
        <v>2033</v>
      </c>
      <c r="F692" s="4">
        <v>3444.24</v>
      </c>
      <c r="G692" s="5">
        <v>137.13999999999999</v>
      </c>
      <c r="H692" s="6">
        <v>9</v>
      </c>
      <c r="I692" s="2" t="s">
        <v>2118</v>
      </c>
      <c r="J692" s="2" t="str">
        <v>Leverage Rich Portals</v>
      </c>
      <c r="K692" s="2" t="str">
        <v>Office Supplies</v>
      </c>
      <c r="L692" s="2" t="str">
        <v>Wilson PLC</v>
      </c>
      <c r="M692" s="2">
        <v>46.35</v>
      </c>
      <c r="N692" s="16">
        <f t="shared" si="10"/>
        <v>3.9817202053283159E-2</v>
      </c>
    </row>
    <row r="693" spans="2:14" ht="14.4" customHeight="1" x14ac:dyDescent="0.3">
      <c r="B693" s="2" t="s">
        <v>698</v>
      </c>
      <c r="C693" s="3">
        <v>44852</v>
      </c>
      <c r="D693" s="2" t="s">
        <v>2010</v>
      </c>
      <c r="E693" s="2" t="s">
        <v>2097</v>
      </c>
      <c r="F693" s="4">
        <v>2456.92</v>
      </c>
      <c r="G693" s="5">
        <v>817.5</v>
      </c>
      <c r="H693" s="6">
        <v>6</v>
      </c>
      <c r="I693" s="2" t="s">
        <v>2118</v>
      </c>
      <c r="J693" s="2" t="str">
        <v>Generate End-To-End Functionalities</v>
      </c>
      <c r="K693" s="2" t="str">
        <v>Electronics</v>
      </c>
      <c r="L693" s="2" t="str">
        <v>Sanchez-Stewart</v>
      </c>
      <c r="M693" s="2">
        <v>196.15</v>
      </c>
      <c r="N693" s="16">
        <f t="shared" si="10"/>
        <v>0.33273366654184916</v>
      </c>
    </row>
    <row r="694" spans="2:14" ht="14.4" customHeight="1" x14ac:dyDescent="0.3">
      <c r="B694" s="2" t="s">
        <v>699</v>
      </c>
      <c r="C694" s="3">
        <v>43975</v>
      </c>
      <c r="D694" s="2" t="s">
        <v>2011</v>
      </c>
      <c r="E694" s="2" t="s">
        <v>2026</v>
      </c>
      <c r="F694" s="4">
        <v>587.16</v>
      </c>
      <c r="G694" s="5">
        <v>839.46</v>
      </c>
      <c r="H694" s="6">
        <v>13</v>
      </c>
      <c r="I694" s="2" t="s">
        <v>2118</v>
      </c>
      <c r="J694" s="2" t="str">
        <v>Monetize Wireless Functionalities</v>
      </c>
      <c r="K694" s="2" t="str">
        <v>Furniture</v>
      </c>
      <c r="L694" s="2" t="str">
        <v>Robinson, Rodriguez and Hernandez</v>
      </c>
      <c r="M694" s="2">
        <v>162.22</v>
      </c>
      <c r="N694" s="16">
        <f t="shared" si="10"/>
        <v>1.4296954833435522</v>
      </c>
    </row>
    <row r="695" spans="2:14" ht="14.4" customHeight="1" x14ac:dyDescent="0.3">
      <c r="B695" s="2" t="s">
        <v>700</v>
      </c>
      <c r="C695" s="3">
        <v>44580</v>
      </c>
      <c r="D695" s="2" t="s">
        <v>2011</v>
      </c>
      <c r="E695" s="2" t="s">
        <v>2020</v>
      </c>
      <c r="F695" s="4">
        <v>4298.62</v>
      </c>
      <c r="G695" s="5">
        <v>694.33</v>
      </c>
      <c r="H695" s="6">
        <v>18</v>
      </c>
      <c r="I695" s="2" t="s">
        <v>2118</v>
      </c>
      <c r="J695" s="2" t="str">
        <v>Harness Revolutionary Interfaces</v>
      </c>
      <c r="K695" s="2" t="str">
        <v>Furniture</v>
      </c>
      <c r="L695" s="2" t="str">
        <v>Davis, Short and Nguyen</v>
      </c>
      <c r="M695" s="2">
        <v>26.49</v>
      </c>
      <c r="N695" s="16">
        <f t="shared" si="10"/>
        <v>0.16152393093597481</v>
      </c>
    </row>
    <row r="696" spans="2:14" ht="14.4" customHeight="1" x14ac:dyDescent="0.3">
      <c r="B696" s="2" t="s">
        <v>701</v>
      </c>
      <c r="C696" s="3">
        <v>44955</v>
      </c>
      <c r="D696" s="2" t="s">
        <v>2012</v>
      </c>
      <c r="E696" s="2" t="s">
        <v>2056</v>
      </c>
      <c r="F696" s="4">
        <v>4770.45</v>
      </c>
      <c r="G696" s="5">
        <v>950.31</v>
      </c>
      <c r="H696" s="6">
        <v>5</v>
      </c>
      <c r="I696" s="2" t="s">
        <v>2117</v>
      </c>
      <c r="J696" s="2" t="str">
        <v>Mesh Intuitive Supply-Chains</v>
      </c>
      <c r="K696" s="2" t="str">
        <v>Electronics</v>
      </c>
      <c r="L696" s="2" t="str">
        <v>Soto, Barnett and Heath</v>
      </c>
      <c r="M696" s="2">
        <v>281</v>
      </c>
      <c r="N696" s="16">
        <f t="shared" si="10"/>
        <v>0.19920762192246014</v>
      </c>
    </row>
    <row r="697" spans="2:14" ht="14.4" customHeight="1" x14ac:dyDescent="0.3">
      <c r="B697" s="2" t="s">
        <v>702</v>
      </c>
      <c r="C697" s="3">
        <v>43915</v>
      </c>
      <c r="D697" s="2" t="s">
        <v>2009</v>
      </c>
      <c r="E697" s="2" t="s">
        <v>2093</v>
      </c>
      <c r="F697" s="4">
        <v>438.84</v>
      </c>
      <c r="G697" s="5">
        <v>154.66</v>
      </c>
      <c r="H697" s="6">
        <v>10</v>
      </c>
      <c r="I697" s="2" t="s">
        <v>2116</v>
      </c>
      <c r="J697" s="2" t="str">
        <v>Synergize Frictionless Synergies</v>
      </c>
      <c r="K697" s="2" t="str">
        <v>Furniture</v>
      </c>
      <c r="L697" s="2" t="str">
        <v>Hester and Sons</v>
      </c>
      <c r="M697" s="2">
        <v>289.06</v>
      </c>
      <c r="N697" s="16">
        <f t="shared" si="10"/>
        <v>0.35242913134627657</v>
      </c>
    </row>
    <row r="698" spans="2:14" ht="14.4" customHeight="1" x14ac:dyDescent="0.3">
      <c r="B698" s="2" t="s">
        <v>703</v>
      </c>
      <c r="C698" s="3">
        <v>44028</v>
      </c>
      <c r="D698" s="2" t="s">
        <v>2010</v>
      </c>
      <c r="E698" s="2" t="s">
        <v>2098</v>
      </c>
      <c r="F698" s="4">
        <v>2508.4</v>
      </c>
      <c r="G698" s="5">
        <v>276.45</v>
      </c>
      <c r="H698" s="6">
        <v>3</v>
      </c>
      <c r="I698" s="2" t="s">
        <v>2116</v>
      </c>
      <c r="J698" s="2" t="str">
        <v>Deliver Viral Channels</v>
      </c>
      <c r="K698" s="2" t="str">
        <v>Furniture</v>
      </c>
      <c r="L698" s="2" t="str">
        <v>Parker LLC</v>
      </c>
      <c r="M698" s="2">
        <v>45.41</v>
      </c>
      <c r="N698" s="16">
        <f t="shared" si="10"/>
        <v>0.11020969542337744</v>
      </c>
    </row>
    <row r="699" spans="2:14" ht="14.4" customHeight="1" x14ac:dyDescent="0.3">
      <c r="B699" s="2" t="s">
        <v>704</v>
      </c>
      <c r="C699" s="3">
        <v>44097</v>
      </c>
      <c r="D699" s="2" t="s">
        <v>2011</v>
      </c>
      <c r="E699" s="2" t="s">
        <v>2035</v>
      </c>
      <c r="F699" s="4">
        <v>548.38</v>
      </c>
      <c r="G699" s="5">
        <v>342.07</v>
      </c>
      <c r="H699" s="6">
        <v>19</v>
      </c>
      <c r="I699" s="2" t="s">
        <v>2116</v>
      </c>
      <c r="J699" s="2" t="str">
        <v>Optimize 24/365 E-Services</v>
      </c>
      <c r="K699" s="2" t="str">
        <v>Office Supplies</v>
      </c>
      <c r="L699" s="2" t="str">
        <v>Chase Ltd</v>
      </c>
      <c r="M699" s="2">
        <v>100.35</v>
      </c>
      <c r="N699" s="16">
        <f t="shared" si="10"/>
        <v>0.62378277836536711</v>
      </c>
    </row>
    <row r="700" spans="2:14" ht="14.4" customHeight="1" x14ac:dyDescent="0.3">
      <c r="B700" s="2" t="s">
        <v>705</v>
      </c>
      <c r="C700" s="3">
        <v>45523</v>
      </c>
      <c r="D700" s="2" t="s">
        <v>2009</v>
      </c>
      <c r="E700" s="2" t="s">
        <v>2056</v>
      </c>
      <c r="F700" s="4">
        <v>85.51</v>
      </c>
      <c r="G700" s="5">
        <v>179.7</v>
      </c>
      <c r="H700" s="6">
        <v>17</v>
      </c>
      <c r="I700" s="2" t="s">
        <v>2117</v>
      </c>
      <c r="J700" s="2" t="str">
        <v>Mesh Intuitive Supply-Chains</v>
      </c>
      <c r="K700" s="2" t="str">
        <v>Electronics</v>
      </c>
      <c r="L700" s="2" t="str">
        <v>Soto, Barnett and Heath</v>
      </c>
      <c r="M700" s="2">
        <v>281</v>
      </c>
      <c r="N700" s="16">
        <f t="shared" si="10"/>
        <v>2.1015085954859076</v>
      </c>
    </row>
    <row r="701" spans="2:14" ht="14.4" customHeight="1" x14ac:dyDescent="0.3">
      <c r="B701" s="2" t="s">
        <v>706</v>
      </c>
      <c r="C701" s="3">
        <v>44025</v>
      </c>
      <c r="D701" s="2" t="s">
        <v>2010</v>
      </c>
      <c r="E701" s="2" t="s">
        <v>2015</v>
      </c>
      <c r="F701" s="4">
        <v>2372.9299999999998</v>
      </c>
      <c r="G701" s="5">
        <v>503.41</v>
      </c>
      <c r="H701" s="6">
        <v>6</v>
      </c>
      <c r="I701" s="2" t="s">
        <v>2116</v>
      </c>
      <c r="J701" s="2" t="str">
        <v>Brand Web-Enabled Solutions</v>
      </c>
      <c r="K701" s="2" t="str">
        <v>Electronics</v>
      </c>
      <c r="L701" s="2" t="str">
        <v>Russell Group</v>
      </c>
      <c r="M701" s="2">
        <v>51.67</v>
      </c>
      <c r="N701" s="16">
        <f t="shared" si="10"/>
        <v>0.21214700812919052</v>
      </c>
    </row>
    <row r="702" spans="2:14" ht="14.4" customHeight="1" x14ac:dyDescent="0.3">
      <c r="B702" s="2" t="s">
        <v>707</v>
      </c>
      <c r="C702" s="3">
        <v>44451</v>
      </c>
      <c r="D702" s="2" t="s">
        <v>2011</v>
      </c>
      <c r="E702" s="2" t="s">
        <v>2092</v>
      </c>
      <c r="F702" s="4">
        <v>1866.34</v>
      </c>
      <c r="G702" s="5">
        <v>755.46</v>
      </c>
      <c r="H702" s="6">
        <v>5</v>
      </c>
      <c r="I702" s="2" t="s">
        <v>2117</v>
      </c>
      <c r="J702" s="2" t="str">
        <v>Seize Clicks-And-Mortar Platforms</v>
      </c>
      <c r="K702" s="2" t="str">
        <v>Office Supplies</v>
      </c>
      <c r="L702" s="2" t="str">
        <v>Owens, Campos and Wood</v>
      </c>
      <c r="M702" s="2">
        <v>271.16000000000003</v>
      </c>
      <c r="N702" s="16">
        <f t="shared" si="10"/>
        <v>0.4047815510571493</v>
      </c>
    </row>
    <row r="703" spans="2:14" ht="14.4" customHeight="1" x14ac:dyDescent="0.3">
      <c r="B703" s="2" t="s">
        <v>708</v>
      </c>
      <c r="C703" s="3">
        <v>45036</v>
      </c>
      <c r="D703" s="2" t="s">
        <v>2011</v>
      </c>
      <c r="E703" s="2" t="s">
        <v>2086</v>
      </c>
      <c r="F703" s="4">
        <v>2272.9299999999998</v>
      </c>
      <c r="G703" s="5">
        <v>771.19</v>
      </c>
      <c r="H703" s="6">
        <v>17</v>
      </c>
      <c r="I703" s="2" t="s">
        <v>2116</v>
      </c>
      <c r="J703" s="2" t="str">
        <v>Harness Proactive Eyeballs</v>
      </c>
      <c r="K703" s="2" t="str">
        <v>Electronics</v>
      </c>
      <c r="L703" s="2" t="str">
        <v>Moran and Sons</v>
      </c>
      <c r="M703" s="2">
        <v>58.01</v>
      </c>
      <c r="N703" s="16">
        <f t="shared" si="10"/>
        <v>0.33929333503451498</v>
      </c>
    </row>
    <row r="704" spans="2:14" ht="14.4" customHeight="1" x14ac:dyDescent="0.3">
      <c r="B704" s="2" t="s">
        <v>709</v>
      </c>
      <c r="C704" s="3">
        <v>44055</v>
      </c>
      <c r="D704" s="2" t="s">
        <v>2009</v>
      </c>
      <c r="E704" s="2" t="s">
        <v>2037</v>
      </c>
      <c r="F704" s="4">
        <v>660.27</v>
      </c>
      <c r="G704" s="5">
        <v>415.28</v>
      </c>
      <c r="H704" s="6">
        <v>20</v>
      </c>
      <c r="I704" s="2" t="s">
        <v>2117</v>
      </c>
      <c r="J704" s="2" t="str">
        <v>Utilize Back-End Models</v>
      </c>
      <c r="K704" s="2" t="str">
        <v>Furniture</v>
      </c>
      <c r="L704" s="2" t="str">
        <v>Lewis-Holden</v>
      </c>
      <c r="M704" s="2">
        <v>241.53</v>
      </c>
      <c r="N704" s="16">
        <f t="shared" si="10"/>
        <v>0.62895482151241155</v>
      </c>
    </row>
    <row r="705" spans="2:14" ht="14.4" customHeight="1" x14ac:dyDescent="0.3">
      <c r="B705" s="2" t="s">
        <v>710</v>
      </c>
      <c r="C705" s="3">
        <v>44268</v>
      </c>
      <c r="D705" s="2" t="s">
        <v>2009</v>
      </c>
      <c r="E705" s="2" t="s">
        <v>2063</v>
      </c>
      <c r="F705" s="4">
        <v>4618.4399999999996</v>
      </c>
      <c r="G705" s="5">
        <v>671.56</v>
      </c>
      <c r="H705" s="6">
        <v>18</v>
      </c>
      <c r="I705" s="2" t="s">
        <v>2116</v>
      </c>
      <c r="J705" s="2" t="str">
        <v>Unleash End-To-End Web Services</v>
      </c>
      <c r="K705" s="2" t="str">
        <v>Office Supplies</v>
      </c>
      <c r="L705" s="2" t="str">
        <v>Jones Ltd</v>
      </c>
      <c r="M705" s="2">
        <v>188.02</v>
      </c>
      <c r="N705" s="16">
        <f t="shared" si="10"/>
        <v>0.14540840630169494</v>
      </c>
    </row>
    <row r="706" spans="2:14" ht="14.4" customHeight="1" x14ac:dyDescent="0.3">
      <c r="B706" s="2" t="s">
        <v>711</v>
      </c>
      <c r="C706" s="3">
        <v>45003</v>
      </c>
      <c r="D706" s="2" t="s">
        <v>2010</v>
      </c>
      <c r="E706" s="2" t="s">
        <v>2085</v>
      </c>
      <c r="F706" s="4">
        <v>283.02999999999997</v>
      </c>
      <c r="G706" s="5">
        <v>632.17999999999995</v>
      </c>
      <c r="H706" s="6">
        <v>4</v>
      </c>
      <c r="I706" s="2" t="s">
        <v>2116</v>
      </c>
      <c r="J706" s="2" t="str">
        <v>Incentivize User-Centric Mindshare</v>
      </c>
      <c r="K706" s="2" t="str">
        <v>Electronics</v>
      </c>
      <c r="L706" s="2" t="str">
        <v>Becker, Wright and Wong</v>
      </c>
      <c r="M706" s="2">
        <v>38.51</v>
      </c>
      <c r="N706" s="16">
        <f t="shared" si="10"/>
        <v>2.2336148111507614</v>
      </c>
    </row>
    <row r="707" spans="2:14" ht="14.4" customHeight="1" x14ac:dyDescent="0.3">
      <c r="B707" s="2" t="s">
        <v>712</v>
      </c>
      <c r="C707" s="3">
        <v>44962</v>
      </c>
      <c r="D707" s="2" t="s">
        <v>2010</v>
      </c>
      <c r="E707" s="2" t="s">
        <v>2087</v>
      </c>
      <c r="F707" s="4">
        <v>2132.98</v>
      </c>
      <c r="G707" s="5">
        <v>262.43</v>
      </c>
      <c r="H707" s="6">
        <v>3</v>
      </c>
      <c r="I707" s="2" t="s">
        <v>2117</v>
      </c>
      <c r="J707" s="2" t="str">
        <v>Empower Seamless Roi</v>
      </c>
      <c r="K707" s="2" t="str">
        <v>Office Supplies</v>
      </c>
      <c r="L707" s="2" t="str">
        <v>Proctor Group</v>
      </c>
      <c r="M707" s="2">
        <v>266.64999999999998</v>
      </c>
      <c r="N707" s="16">
        <f t="shared" si="10"/>
        <v>0.12303444007913811</v>
      </c>
    </row>
    <row r="708" spans="2:14" ht="14.4" customHeight="1" x14ac:dyDescent="0.3">
      <c r="B708" s="2" t="s">
        <v>713</v>
      </c>
      <c r="C708" s="3">
        <v>43851</v>
      </c>
      <c r="D708" s="2" t="s">
        <v>2009</v>
      </c>
      <c r="E708" s="2" t="s">
        <v>2039</v>
      </c>
      <c r="F708" s="4">
        <v>4258.38</v>
      </c>
      <c r="G708" s="5">
        <v>118.55</v>
      </c>
      <c r="H708" s="6">
        <v>17</v>
      </c>
      <c r="I708" s="2" t="s">
        <v>2118</v>
      </c>
      <c r="J708" s="2" t="str">
        <v>Empower Dot-Com Deliverables</v>
      </c>
      <c r="K708" s="2" t="str">
        <v>Electronics</v>
      </c>
      <c r="L708" s="2" t="str">
        <v>Davis LLC</v>
      </c>
      <c r="M708" s="2">
        <v>250.66</v>
      </c>
      <c r="N708" s="16">
        <f t="shared" si="10"/>
        <v>2.7839225245281068E-2</v>
      </c>
    </row>
    <row r="709" spans="2:14" ht="14.4" customHeight="1" x14ac:dyDescent="0.3">
      <c r="B709" s="2" t="s">
        <v>714</v>
      </c>
      <c r="C709" s="3">
        <v>44028</v>
      </c>
      <c r="D709" s="2" t="s">
        <v>2010</v>
      </c>
      <c r="E709" s="2" t="s">
        <v>2103</v>
      </c>
      <c r="F709" s="4">
        <v>741.44</v>
      </c>
      <c r="G709" s="5">
        <v>91.21</v>
      </c>
      <c r="H709" s="6">
        <v>16</v>
      </c>
      <c r="I709" s="2" t="s">
        <v>2116</v>
      </c>
      <c r="J709" s="2" t="str">
        <v>Benchmark Cross-Platform Markets</v>
      </c>
      <c r="K709" s="2" t="str">
        <v>Furniture</v>
      </c>
      <c r="L709" s="2" t="str">
        <v>Murphy, Mathews and Wilson</v>
      </c>
      <c r="M709" s="2">
        <v>78.88</v>
      </c>
      <c r="N709" s="16">
        <f t="shared" ref="N709:N772" si="11">(G709/F709)</f>
        <v>0.12301737160120844</v>
      </c>
    </row>
    <row r="710" spans="2:14" ht="14.4" customHeight="1" x14ac:dyDescent="0.3">
      <c r="B710" s="2" t="s">
        <v>715</v>
      </c>
      <c r="C710" s="3">
        <v>45181</v>
      </c>
      <c r="D710" s="2" t="s">
        <v>2011</v>
      </c>
      <c r="E710" s="2" t="s">
        <v>2109</v>
      </c>
      <c r="F710" s="4">
        <v>3601.03</v>
      </c>
      <c r="G710" s="5">
        <v>862.97</v>
      </c>
      <c r="H710" s="6">
        <v>4</v>
      </c>
      <c r="I710" s="2" t="s">
        <v>2116</v>
      </c>
      <c r="J710" s="2" t="str">
        <v>Deliver Viral Eyeballs</v>
      </c>
      <c r="K710" s="2" t="str">
        <v>Office Supplies</v>
      </c>
      <c r="L710" s="2" t="str">
        <v>Estes, Chan and Thomas</v>
      </c>
      <c r="M710" s="2">
        <v>16.89</v>
      </c>
      <c r="N710" s="16">
        <f t="shared" si="11"/>
        <v>0.23964532369905275</v>
      </c>
    </row>
    <row r="711" spans="2:14" ht="14.4" customHeight="1" x14ac:dyDescent="0.3">
      <c r="B711" s="2" t="s">
        <v>716</v>
      </c>
      <c r="C711" s="3">
        <v>44449</v>
      </c>
      <c r="D711" s="2" t="s">
        <v>2011</v>
      </c>
      <c r="E711" s="2" t="s">
        <v>2065</v>
      </c>
      <c r="F711" s="4">
        <v>4838.8999999999996</v>
      </c>
      <c r="G711" s="5">
        <v>356.01</v>
      </c>
      <c r="H711" s="6">
        <v>11</v>
      </c>
      <c r="I711" s="2" t="s">
        <v>2117</v>
      </c>
      <c r="J711" s="2" t="str">
        <v>Re-Contextualize Integrated Info-Mediaries</v>
      </c>
      <c r="K711" s="2" t="str">
        <v>Electronics</v>
      </c>
      <c r="L711" s="2" t="str">
        <v>Jones-Schroeder</v>
      </c>
      <c r="M711" s="2">
        <v>26.02</v>
      </c>
      <c r="N711" s="16">
        <f t="shared" si="11"/>
        <v>7.3572506148091507E-2</v>
      </c>
    </row>
    <row r="712" spans="2:14" ht="14.4" customHeight="1" x14ac:dyDescent="0.3">
      <c r="B712" s="2" t="s">
        <v>717</v>
      </c>
      <c r="C712" s="3">
        <v>44694</v>
      </c>
      <c r="D712" s="2" t="s">
        <v>2011</v>
      </c>
      <c r="E712" s="2" t="s">
        <v>2025</v>
      </c>
      <c r="F712" s="4">
        <v>53.73</v>
      </c>
      <c r="G712" s="5">
        <v>964.56</v>
      </c>
      <c r="H712" s="6">
        <v>4</v>
      </c>
      <c r="I712" s="2" t="s">
        <v>2116</v>
      </c>
      <c r="J712" s="2" t="str">
        <v>Streamline Innovative Architectures</v>
      </c>
      <c r="K712" s="2" t="str">
        <v>Furniture</v>
      </c>
      <c r="L712" s="2" t="str">
        <v>Price, Valentine and Lutz</v>
      </c>
      <c r="M712" s="2">
        <v>291.14999999999998</v>
      </c>
      <c r="N712" s="16">
        <f t="shared" si="11"/>
        <v>17.951982132886656</v>
      </c>
    </row>
    <row r="713" spans="2:14" ht="14.4" customHeight="1" x14ac:dyDescent="0.3">
      <c r="B713" s="2" t="s">
        <v>718</v>
      </c>
      <c r="C713" s="3">
        <v>45046</v>
      </c>
      <c r="D713" s="2" t="s">
        <v>2010</v>
      </c>
      <c r="E713" s="2" t="s">
        <v>2025</v>
      </c>
      <c r="F713" s="4">
        <v>3212.65</v>
      </c>
      <c r="G713" s="5">
        <v>88.87</v>
      </c>
      <c r="H713" s="6">
        <v>20</v>
      </c>
      <c r="I713" s="2" t="s">
        <v>2117</v>
      </c>
      <c r="J713" s="2" t="str">
        <v>Streamline Innovative Architectures</v>
      </c>
      <c r="K713" s="2" t="str">
        <v>Furniture</v>
      </c>
      <c r="L713" s="2" t="str">
        <v>Price, Valentine and Lutz</v>
      </c>
      <c r="M713" s="2">
        <v>291.14999999999998</v>
      </c>
      <c r="N713" s="16">
        <f t="shared" si="11"/>
        <v>2.7662521594322444E-2</v>
      </c>
    </row>
    <row r="714" spans="2:14" ht="14.4" customHeight="1" x14ac:dyDescent="0.3">
      <c r="B714" s="2" t="s">
        <v>719</v>
      </c>
      <c r="C714" s="3">
        <v>43944</v>
      </c>
      <c r="D714" s="2" t="s">
        <v>2009</v>
      </c>
      <c r="E714" s="2" t="s">
        <v>2049</v>
      </c>
      <c r="F714" s="4">
        <v>2770.66</v>
      </c>
      <c r="G714" s="5">
        <v>807.78</v>
      </c>
      <c r="H714" s="6">
        <v>12</v>
      </c>
      <c r="I714" s="2" t="s">
        <v>2117</v>
      </c>
      <c r="J714" s="2" t="str">
        <v>Scale 24/365 Networks</v>
      </c>
      <c r="K714" s="2" t="str">
        <v>Furniture</v>
      </c>
      <c r="L714" s="2" t="str">
        <v>Kim-Hamilton</v>
      </c>
      <c r="M714" s="2">
        <v>157.55000000000001</v>
      </c>
      <c r="N714" s="16">
        <f t="shared" si="11"/>
        <v>0.29154786224220947</v>
      </c>
    </row>
    <row r="715" spans="2:14" ht="14.4" customHeight="1" x14ac:dyDescent="0.3">
      <c r="B715" s="2" t="s">
        <v>720</v>
      </c>
      <c r="C715" s="3">
        <v>44874</v>
      </c>
      <c r="D715" s="2" t="s">
        <v>2010</v>
      </c>
      <c r="E715" s="2" t="s">
        <v>2098</v>
      </c>
      <c r="F715" s="4">
        <v>4575.7700000000004</v>
      </c>
      <c r="G715" s="5">
        <v>477.28</v>
      </c>
      <c r="H715" s="6">
        <v>2</v>
      </c>
      <c r="I715" s="2" t="s">
        <v>2117</v>
      </c>
      <c r="J715" s="2" t="str">
        <v>Deliver Viral Channels</v>
      </c>
      <c r="K715" s="2" t="str">
        <v>Furniture</v>
      </c>
      <c r="L715" s="2" t="str">
        <v>Parker LLC</v>
      </c>
      <c r="M715" s="2">
        <v>45.41</v>
      </c>
      <c r="N715" s="16">
        <f t="shared" si="11"/>
        <v>0.10430594195075363</v>
      </c>
    </row>
    <row r="716" spans="2:14" ht="14.4" customHeight="1" x14ac:dyDescent="0.3">
      <c r="B716" s="2" t="s">
        <v>721</v>
      </c>
      <c r="C716" s="3">
        <v>44667</v>
      </c>
      <c r="D716" s="2" t="s">
        <v>2012</v>
      </c>
      <c r="E716" s="2" t="s">
        <v>2045</v>
      </c>
      <c r="F716" s="4">
        <v>99.11</v>
      </c>
      <c r="G716" s="5">
        <v>782.72</v>
      </c>
      <c r="H716" s="6">
        <v>8</v>
      </c>
      <c r="I716" s="2" t="s">
        <v>2117</v>
      </c>
      <c r="J716" s="2" t="str">
        <v>Leverage Scalable Interfaces</v>
      </c>
      <c r="K716" s="2" t="str">
        <v>Office Supplies</v>
      </c>
      <c r="L716" s="2" t="str">
        <v>Kaufman-Jones</v>
      </c>
      <c r="M716" s="2">
        <v>73.33</v>
      </c>
      <c r="N716" s="16">
        <f t="shared" si="11"/>
        <v>7.8974876399959646</v>
      </c>
    </row>
    <row r="717" spans="2:14" ht="14.4" customHeight="1" x14ac:dyDescent="0.3">
      <c r="B717" s="2" t="s">
        <v>722</v>
      </c>
      <c r="C717" s="3">
        <v>44058</v>
      </c>
      <c r="D717" s="2" t="s">
        <v>2009</v>
      </c>
      <c r="E717" s="2" t="s">
        <v>2096</v>
      </c>
      <c r="F717" s="4">
        <v>2835.81</v>
      </c>
      <c r="G717" s="5">
        <v>452.9</v>
      </c>
      <c r="H717" s="6">
        <v>3</v>
      </c>
      <c r="I717" s="2" t="s">
        <v>2116</v>
      </c>
      <c r="J717" s="2" t="str">
        <v>Disintermediate Scalable Bandwidth</v>
      </c>
      <c r="K717" s="2" t="str">
        <v>Electronics</v>
      </c>
      <c r="L717" s="2" t="str">
        <v>Levy PLC</v>
      </c>
      <c r="M717" s="2">
        <v>19.86</v>
      </c>
      <c r="N717" s="16">
        <f t="shared" si="11"/>
        <v>0.15970745571811934</v>
      </c>
    </row>
    <row r="718" spans="2:14" ht="14.4" customHeight="1" x14ac:dyDescent="0.3">
      <c r="B718" s="2" t="s">
        <v>723</v>
      </c>
      <c r="C718" s="3">
        <v>45355</v>
      </c>
      <c r="D718" s="2" t="s">
        <v>2009</v>
      </c>
      <c r="E718" s="2" t="s">
        <v>2061</v>
      </c>
      <c r="F718" s="4">
        <v>494.19</v>
      </c>
      <c r="G718" s="5">
        <v>659.66</v>
      </c>
      <c r="H718" s="6">
        <v>19</v>
      </c>
      <c r="I718" s="2" t="s">
        <v>2117</v>
      </c>
      <c r="J718" s="2" t="str">
        <v>Optimize Collaborative Initiatives</v>
      </c>
      <c r="K718" s="2" t="str">
        <v>Electronics</v>
      </c>
      <c r="L718" s="2" t="str">
        <v>Adkins Ltd</v>
      </c>
      <c r="M718" s="2">
        <v>34.46</v>
      </c>
      <c r="N718" s="16">
        <f t="shared" si="11"/>
        <v>1.3348307331188409</v>
      </c>
    </row>
    <row r="719" spans="2:14" ht="14.4" customHeight="1" x14ac:dyDescent="0.3">
      <c r="B719" s="2" t="s">
        <v>724</v>
      </c>
      <c r="C719" s="3">
        <v>44480</v>
      </c>
      <c r="D719" s="2" t="s">
        <v>2009</v>
      </c>
      <c r="E719" s="2" t="s">
        <v>2085</v>
      </c>
      <c r="F719" s="4">
        <v>4875.84</v>
      </c>
      <c r="G719" s="5">
        <v>640.54</v>
      </c>
      <c r="H719" s="6">
        <v>2</v>
      </c>
      <c r="I719" s="2" t="s">
        <v>2117</v>
      </c>
      <c r="J719" s="2" t="str">
        <v>Incentivize User-Centric Mindshare</v>
      </c>
      <c r="K719" s="2" t="str">
        <v>Electronics</v>
      </c>
      <c r="L719" s="2" t="str">
        <v>Becker, Wright and Wong</v>
      </c>
      <c r="M719" s="2">
        <v>38.51</v>
      </c>
      <c r="N719" s="16">
        <f t="shared" si="11"/>
        <v>0.13137018441950515</v>
      </c>
    </row>
    <row r="720" spans="2:14" ht="14.4" customHeight="1" x14ac:dyDescent="0.3">
      <c r="B720" s="2" t="s">
        <v>725</v>
      </c>
      <c r="C720" s="3">
        <v>44818</v>
      </c>
      <c r="D720" s="2" t="s">
        <v>2011</v>
      </c>
      <c r="E720" s="2" t="s">
        <v>2059</v>
      </c>
      <c r="F720" s="4">
        <v>218.81</v>
      </c>
      <c r="G720" s="5">
        <v>146.32</v>
      </c>
      <c r="H720" s="6">
        <v>1</v>
      </c>
      <c r="I720" s="2" t="s">
        <v>2118</v>
      </c>
      <c r="J720" s="2" t="str">
        <v>Redefine Real-Time Convergence</v>
      </c>
      <c r="K720" s="2" t="str">
        <v>Electronics</v>
      </c>
      <c r="L720" s="2" t="str">
        <v>Hayes, Peters and Douglas</v>
      </c>
      <c r="M720" s="2">
        <v>78.260000000000005</v>
      </c>
      <c r="N720" s="16">
        <f t="shared" si="11"/>
        <v>0.66870801151684101</v>
      </c>
    </row>
    <row r="721" spans="2:14" ht="14.4" customHeight="1" x14ac:dyDescent="0.3">
      <c r="B721" s="2" t="s">
        <v>726</v>
      </c>
      <c r="C721" s="3">
        <v>44143</v>
      </c>
      <c r="D721" s="2" t="s">
        <v>2009</v>
      </c>
      <c r="E721" s="2" t="s">
        <v>2097</v>
      </c>
      <c r="F721" s="4">
        <v>2316.48</v>
      </c>
      <c r="G721" s="5">
        <v>186.02</v>
      </c>
      <c r="H721" s="6">
        <v>15</v>
      </c>
      <c r="I721" s="2" t="s">
        <v>2117</v>
      </c>
      <c r="J721" s="2" t="str">
        <v>Generate End-To-End Functionalities</v>
      </c>
      <c r="K721" s="2" t="str">
        <v>Electronics</v>
      </c>
      <c r="L721" s="2" t="str">
        <v>Sanchez-Stewart</v>
      </c>
      <c r="M721" s="2">
        <v>196.15</v>
      </c>
      <c r="N721" s="16">
        <f t="shared" si="11"/>
        <v>8.0302873325044904E-2</v>
      </c>
    </row>
    <row r="722" spans="2:14" ht="14.4" customHeight="1" x14ac:dyDescent="0.3">
      <c r="B722" s="2" t="s">
        <v>727</v>
      </c>
      <c r="C722" s="3">
        <v>45024</v>
      </c>
      <c r="D722" s="2" t="s">
        <v>2012</v>
      </c>
      <c r="E722" s="2" t="s">
        <v>2039</v>
      </c>
      <c r="F722" s="4">
        <v>4630.67</v>
      </c>
      <c r="G722" s="5">
        <v>122.53</v>
      </c>
      <c r="H722" s="6">
        <v>3</v>
      </c>
      <c r="I722" s="2" t="s">
        <v>2117</v>
      </c>
      <c r="J722" s="2" t="str">
        <v>Empower Dot-Com Deliverables</v>
      </c>
      <c r="K722" s="2" t="str">
        <v>Electronics</v>
      </c>
      <c r="L722" s="2" t="str">
        <v>Davis LLC</v>
      </c>
      <c r="M722" s="2">
        <v>250.66</v>
      </c>
      <c r="N722" s="16">
        <f t="shared" si="11"/>
        <v>2.6460533788846972E-2</v>
      </c>
    </row>
    <row r="723" spans="2:14" ht="14.4" customHeight="1" x14ac:dyDescent="0.3">
      <c r="B723" s="2" t="s">
        <v>728</v>
      </c>
      <c r="C723" s="3">
        <v>44651</v>
      </c>
      <c r="D723" s="2" t="s">
        <v>2009</v>
      </c>
      <c r="E723" s="2" t="s">
        <v>2063</v>
      </c>
      <c r="F723" s="4">
        <v>3890.14</v>
      </c>
      <c r="G723" s="5">
        <v>848.66</v>
      </c>
      <c r="H723" s="6">
        <v>14</v>
      </c>
      <c r="I723" s="2" t="s">
        <v>2118</v>
      </c>
      <c r="J723" s="2" t="str">
        <v>Unleash End-To-End Web Services</v>
      </c>
      <c r="K723" s="2" t="str">
        <v>Office Supplies</v>
      </c>
      <c r="L723" s="2" t="str">
        <v>Jones Ltd</v>
      </c>
      <c r="M723" s="2">
        <v>188.02</v>
      </c>
      <c r="N723" s="16">
        <f t="shared" si="11"/>
        <v>0.21815667302462122</v>
      </c>
    </row>
    <row r="724" spans="2:14" ht="14.4" customHeight="1" x14ac:dyDescent="0.3">
      <c r="B724" s="2" t="s">
        <v>729</v>
      </c>
      <c r="C724" s="3">
        <v>43869</v>
      </c>
      <c r="D724" s="2" t="s">
        <v>2012</v>
      </c>
      <c r="E724" s="2" t="s">
        <v>2076</v>
      </c>
      <c r="F724" s="4">
        <v>1577.72</v>
      </c>
      <c r="G724" s="5">
        <v>487.45</v>
      </c>
      <c r="H724" s="6">
        <v>2</v>
      </c>
      <c r="I724" s="2" t="s">
        <v>2117</v>
      </c>
      <c r="J724" s="2" t="str">
        <v>Deliver Extensible Partnerships</v>
      </c>
      <c r="K724" s="2" t="str">
        <v>Furniture</v>
      </c>
      <c r="L724" s="2" t="str">
        <v>Martin, Paul and Salazar</v>
      </c>
      <c r="M724" s="2">
        <v>43.76</v>
      </c>
      <c r="N724" s="16">
        <f t="shared" si="11"/>
        <v>0.30895849707172374</v>
      </c>
    </row>
    <row r="725" spans="2:14" ht="14.4" customHeight="1" x14ac:dyDescent="0.3">
      <c r="B725" s="2" t="s">
        <v>730</v>
      </c>
      <c r="C725" s="3">
        <v>44656</v>
      </c>
      <c r="D725" s="2" t="s">
        <v>2010</v>
      </c>
      <c r="E725" s="2" t="s">
        <v>2058</v>
      </c>
      <c r="F725" s="4">
        <v>2904.6</v>
      </c>
      <c r="G725" s="5">
        <v>631.1</v>
      </c>
      <c r="H725" s="6">
        <v>13</v>
      </c>
      <c r="I725" s="2" t="s">
        <v>2118</v>
      </c>
      <c r="J725" s="2" t="str">
        <v>Envisioneer B2C Web-Readiness</v>
      </c>
      <c r="K725" s="2" t="str">
        <v>Electronics</v>
      </c>
      <c r="L725" s="2" t="str">
        <v>Kemp Group</v>
      </c>
      <c r="M725" s="2">
        <v>97.23</v>
      </c>
      <c r="N725" s="16">
        <f t="shared" si="11"/>
        <v>0.2172760448943056</v>
      </c>
    </row>
    <row r="726" spans="2:14" ht="14.4" customHeight="1" x14ac:dyDescent="0.3">
      <c r="B726" s="2" t="s">
        <v>731</v>
      </c>
      <c r="C726" s="3">
        <v>44425</v>
      </c>
      <c r="D726" s="2" t="s">
        <v>2010</v>
      </c>
      <c r="E726" s="2" t="s">
        <v>2103</v>
      </c>
      <c r="F726" s="4">
        <v>4452.8900000000003</v>
      </c>
      <c r="G726" s="5">
        <v>106.54</v>
      </c>
      <c r="H726" s="6">
        <v>18</v>
      </c>
      <c r="I726" s="2" t="s">
        <v>2117</v>
      </c>
      <c r="J726" s="2" t="str">
        <v>Benchmark Cross-Platform Markets</v>
      </c>
      <c r="K726" s="2" t="str">
        <v>Furniture</v>
      </c>
      <c r="L726" s="2" t="str">
        <v>Murphy, Mathews and Wilson</v>
      </c>
      <c r="M726" s="2">
        <v>78.88</v>
      </c>
      <c r="N726" s="16">
        <f t="shared" si="11"/>
        <v>2.3926034552840963E-2</v>
      </c>
    </row>
    <row r="727" spans="2:14" ht="14.4" customHeight="1" x14ac:dyDescent="0.3">
      <c r="B727" s="2" t="s">
        <v>732</v>
      </c>
      <c r="C727" s="3">
        <v>44066</v>
      </c>
      <c r="D727" s="2" t="s">
        <v>2010</v>
      </c>
      <c r="E727" s="2" t="s">
        <v>2061</v>
      </c>
      <c r="F727" s="4">
        <v>2186.7600000000002</v>
      </c>
      <c r="G727" s="5">
        <v>613.91</v>
      </c>
      <c r="H727" s="6">
        <v>15</v>
      </c>
      <c r="I727" s="2" t="s">
        <v>2118</v>
      </c>
      <c r="J727" s="2" t="str">
        <v>Optimize Collaborative Initiatives</v>
      </c>
      <c r="K727" s="2" t="str">
        <v>Electronics</v>
      </c>
      <c r="L727" s="2" t="str">
        <v>Adkins Ltd</v>
      </c>
      <c r="M727" s="2">
        <v>34.46</v>
      </c>
      <c r="N727" s="16">
        <f t="shared" si="11"/>
        <v>0.28073954160493148</v>
      </c>
    </row>
    <row r="728" spans="2:14" ht="14.4" customHeight="1" x14ac:dyDescent="0.3">
      <c r="B728" s="2" t="s">
        <v>733</v>
      </c>
      <c r="C728" s="3">
        <v>45404</v>
      </c>
      <c r="D728" s="2" t="s">
        <v>2012</v>
      </c>
      <c r="E728" s="2" t="s">
        <v>2096</v>
      </c>
      <c r="F728" s="4">
        <v>4527.54</v>
      </c>
      <c r="G728" s="5">
        <v>68.209999999999994</v>
      </c>
      <c r="H728" s="6">
        <v>19</v>
      </c>
      <c r="I728" s="2" t="s">
        <v>2116</v>
      </c>
      <c r="J728" s="2" t="str">
        <v>Disintermediate Scalable Bandwidth</v>
      </c>
      <c r="K728" s="2" t="str">
        <v>Electronics</v>
      </c>
      <c r="L728" s="2" t="str">
        <v>Levy PLC</v>
      </c>
      <c r="M728" s="2">
        <v>19.86</v>
      </c>
      <c r="N728" s="16">
        <f t="shared" si="11"/>
        <v>1.5065576449904361E-2</v>
      </c>
    </row>
    <row r="729" spans="2:14" ht="14.4" customHeight="1" x14ac:dyDescent="0.3">
      <c r="B729" s="2" t="s">
        <v>734</v>
      </c>
      <c r="C729" s="3">
        <v>44050</v>
      </c>
      <c r="D729" s="2" t="s">
        <v>2009</v>
      </c>
      <c r="E729" s="2" t="s">
        <v>2084</v>
      </c>
      <c r="F729" s="4">
        <v>3420.6</v>
      </c>
      <c r="G729" s="5">
        <v>834.25</v>
      </c>
      <c r="H729" s="6">
        <v>14</v>
      </c>
      <c r="I729" s="2" t="s">
        <v>2117</v>
      </c>
      <c r="J729" s="2" t="str">
        <v>Grow Synergistic Infrastructures</v>
      </c>
      <c r="K729" s="2" t="str">
        <v>Furniture</v>
      </c>
      <c r="L729" s="2" t="str">
        <v>Adams-Carter</v>
      </c>
      <c r="M729" s="2">
        <v>113.17</v>
      </c>
      <c r="N729" s="16">
        <f t="shared" si="11"/>
        <v>0.24388996082558617</v>
      </c>
    </row>
    <row r="730" spans="2:14" ht="14.4" customHeight="1" x14ac:dyDescent="0.3">
      <c r="B730" s="2" t="s">
        <v>735</v>
      </c>
      <c r="C730" s="3">
        <v>45507</v>
      </c>
      <c r="D730" s="2" t="s">
        <v>2009</v>
      </c>
      <c r="E730" s="2" t="s">
        <v>2061</v>
      </c>
      <c r="F730" s="4">
        <v>3734.92</v>
      </c>
      <c r="G730" s="5">
        <v>718.15</v>
      </c>
      <c r="H730" s="6">
        <v>16</v>
      </c>
      <c r="I730" s="2" t="s">
        <v>2118</v>
      </c>
      <c r="J730" s="2" t="str">
        <v>Optimize Collaborative Initiatives</v>
      </c>
      <c r="K730" s="2" t="str">
        <v>Electronics</v>
      </c>
      <c r="L730" s="2" t="str">
        <v>Adkins Ltd</v>
      </c>
      <c r="M730" s="2">
        <v>34.46</v>
      </c>
      <c r="N730" s="16">
        <f t="shared" si="11"/>
        <v>0.19227988819037622</v>
      </c>
    </row>
    <row r="731" spans="2:14" ht="14.4" customHeight="1" x14ac:dyDescent="0.3">
      <c r="B731" s="2" t="s">
        <v>736</v>
      </c>
      <c r="C731" s="3">
        <v>44876</v>
      </c>
      <c r="D731" s="2" t="s">
        <v>2012</v>
      </c>
      <c r="E731" s="2" t="s">
        <v>2065</v>
      </c>
      <c r="F731" s="4">
        <v>4631.2299999999996</v>
      </c>
      <c r="G731" s="5">
        <v>445.61</v>
      </c>
      <c r="H731" s="6">
        <v>3</v>
      </c>
      <c r="I731" s="2" t="s">
        <v>2116</v>
      </c>
      <c r="J731" s="2" t="str">
        <v>Re-Contextualize Integrated Info-Mediaries</v>
      </c>
      <c r="K731" s="2" t="str">
        <v>Electronics</v>
      </c>
      <c r="L731" s="2" t="str">
        <v>Jones-Schroeder</v>
      </c>
      <c r="M731" s="2">
        <v>26.02</v>
      </c>
      <c r="N731" s="16">
        <f t="shared" si="11"/>
        <v>9.6218499189200293E-2</v>
      </c>
    </row>
    <row r="732" spans="2:14" ht="14.4" customHeight="1" x14ac:dyDescent="0.3">
      <c r="B732" s="2" t="s">
        <v>737</v>
      </c>
      <c r="C732" s="3">
        <v>44826</v>
      </c>
      <c r="D732" s="2" t="s">
        <v>2010</v>
      </c>
      <c r="E732" s="2" t="s">
        <v>2034</v>
      </c>
      <c r="F732" s="4">
        <v>2500.27</v>
      </c>
      <c r="G732" s="5">
        <v>693.82</v>
      </c>
      <c r="H732" s="6">
        <v>16</v>
      </c>
      <c r="I732" s="2" t="s">
        <v>2118</v>
      </c>
      <c r="J732" s="2" t="str">
        <v>Utilize Virtual Partnerships</v>
      </c>
      <c r="K732" s="2" t="str">
        <v>Furniture</v>
      </c>
      <c r="L732" s="2" t="str">
        <v>Smith, Diaz and Heath</v>
      </c>
      <c r="M732" s="2">
        <v>193.02</v>
      </c>
      <c r="N732" s="16">
        <f t="shared" si="11"/>
        <v>0.27749803021273706</v>
      </c>
    </row>
    <row r="733" spans="2:14" ht="14.4" customHeight="1" x14ac:dyDescent="0.3">
      <c r="B733" s="2" t="s">
        <v>738</v>
      </c>
      <c r="C733" s="3">
        <v>44304</v>
      </c>
      <c r="D733" s="2" t="s">
        <v>2012</v>
      </c>
      <c r="E733" s="2" t="s">
        <v>2054</v>
      </c>
      <c r="F733" s="4">
        <v>402.16</v>
      </c>
      <c r="G733" s="5">
        <v>344.04</v>
      </c>
      <c r="H733" s="6">
        <v>1</v>
      </c>
      <c r="I733" s="2" t="s">
        <v>2118</v>
      </c>
      <c r="J733" s="2" t="str">
        <v>Empower Killer Info-Mediaries</v>
      </c>
      <c r="K733" s="2" t="str">
        <v>Furniture</v>
      </c>
      <c r="L733" s="2" t="str">
        <v>Jones Ltd</v>
      </c>
      <c r="M733" s="2">
        <v>213.24</v>
      </c>
      <c r="N733" s="16">
        <f t="shared" si="11"/>
        <v>0.85548040580863338</v>
      </c>
    </row>
    <row r="734" spans="2:14" ht="14.4" customHeight="1" x14ac:dyDescent="0.3">
      <c r="B734" s="2" t="s">
        <v>739</v>
      </c>
      <c r="C734" s="3">
        <v>44997</v>
      </c>
      <c r="D734" s="2" t="s">
        <v>2011</v>
      </c>
      <c r="E734" s="2" t="s">
        <v>2060</v>
      </c>
      <c r="F734" s="4">
        <v>3914.57</v>
      </c>
      <c r="G734" s="5">
        <v>613.87</v>
      </c>
      <c r="H734" s="6">
        <v>3</v>
      </c>
      <c r="I734" s="2" t="s">
        <v>2116</v>
      </c>
      <c r="J734" s="2" t="str">
        <v>Synergize End-To-End Roi</v>
      </c>
      <c r="K734" s="2" t="str">
        <v>Electronics</v>
      </c>
      <c r="L734" s="2" t="str">
        <v>Evans-Smith</v>
      </c>
      <c r="M734" s="2">
        <v>159.85</v>
      </c>
      <c r="N734" s="16">
        <f t="shared" si="11"/>
        <v>0.15681671294676042</v>
      </c>
    </row>
    <row r="735" spans="2:14" ht="14.4" customHeight="1" x14ac:dyDescent="0.3">
      <c r="B735" s="2" t="s">
        <v>740</v>
      </c>
      <c r="C735" s="3">
        <v>45232</v>
      </c>
      <c r="D735" s="2" t="s">
        <v>2009</v>
      </c>
      <c r="E735" s="2" t="s">
        <v>2021</v>
      </c>
      <c r="F735" s="4">
        <v>3668.56</v>
      </c>
      <c r="G735" s="5">
        <v>176.38</v>
      </c>
      <c r="H735" s="6">
        <v>2</v>
      </c>
      <c r="I735" s="2" t="s">
        <v>2118</v>
      </c>
      <c r="J735" s="2" t="str">
        <v>Whiteboard Compelling Experiences</v>
      </c>
      <c r="K735" s="2" t="str">
        <v>Furniture</v>
      </c>
      <c r="L735" s="2" t="str">
        <v>Carrillo, Carr and Ball</v>
      </c>
      <c r="M735" s="2">
        <v>206.54</v>
      </c>
      <c r="N735" s="16">
        <f t="shared" si="11"/>
        <v>4.8078810214362035E-2</v>
      </c>
    </row>
    <row r="736" spans="2:14" ht="14.4" customHeight="1" x14ac:dyDescent="0.3">
      <c r="B736" s="2" t="s">
        <v>741</v>
      </c>
      <c r="C736" s="3">
        <v>45347</v>
      </c>
      <c r="D736" s="2" t="s">
        <v>2010</v>
      </c>
      <c r="E736" s="2" t="s">
        <v>2028</v>
      </c>
      <c r="F736" s="4">
        <v>2502.42</v>
      </c>
      <c r="G736" s="5">
        <v>871.38</v>
      </c>
      <c r="H736" s="6">
        <v>16</v>
      </c>
      <c r="I736" s="2" t="s">
        <v>2116</v>
      </c>
      <c r="J736" s="2" t="str">
        <v>Synergize World-Class Networks</v>
      </c>
      <c r="K736" s="2" t="str">
        <v>Electronics</v>
      </c>
      <c r="L736" s="2" t="str">
        <v>Gomez-Lawrence</v>
      </c>
      <c r="M736" s="2">
        <v>72.37</v>
      </c>
      <c r="N736" s="16">
        <f t="shared" si="11"/>
        <v>0.34821492794974462</v>
      </c>
    </row>
    <row r="737" spans="2:14" ht="14.4" customHeight="1" x14ac:dyDescent="0.3">
      <c r="B737" s="2" t="s">
        <v>742</v>
      </c>
      <c r="C737" s="3">
        <v>44533</v>
      </c>
      <c r="D737" s="2" t="s">
        <v>2009</v>
      </c>
      <c r="E737" s="2" t="s">
        <v>2032</v>
      </c>
      <c r="F737" s="4">
        <v>3640.92</v>
      </c>
      <c r="G737" s="5">
        <v>956.47</v>
      </c>
      <c r="H737" s="6">
        <v>20</v>
      </c>
      <c r="I737" s="2" t="s">
        <v>2118</v>
      </c>
      <c r="J737" s="2" t="str">
        <v>Reinvent Frictionless Roi</v>
      </c>
      <c r="K737" s="2" t="str">
        <v>Furniture</v>
      </c>
      <c r="L737" s="2" t="str">
        <v>Bridges, Castillo and Rodriguez</v>
      </c>
      <c r="M737" s="2">
        <v>253.89</v>
      </c>
      <c r="N737" s="16">
        <f t="shared" si="11"/>
        <v>0.26270008679125056</v>
      </c>
    </row>
    <row r="738" spans="2:14" ht="14.4" customHeight="1" x14ac:dyDescent="0.3">
      <c r="B738" s="2" t="s">
        <v>743</v>
      </c>
      <c r="C738" s="3">
        <v>45167</v>
      </c>
      <c r="D738" s="2" t="s">
        <v>2009</v>
      </c>
      <c r="E738" s="2" t="s">
        <v>2095</v>
      </c>
      <c r="F738" s="4">
        <v>2394.58</v>
      </c>
      <c r="G738" s="5">
        <v>696.63</v>
      </c>
      <c r="H738" s="6">
        <v>5</v>
      </c>
      <c r="I738" s="2" t="s">
        <v>2118</v>
      </c>
      <c r="J738" s="2" t="str">
        <v>Envisioneer B2B Users</v>
      </c>
      <c r="K738" s="2" t="str">
        <v>Office Supplies</v>
      </c>
      <c r="L738" s="2" t="str">
        <v>Rogers Group</v>
      </c>
      <c r="M738" s="2">
        <v>239.16</v>
      </c>
      <c r="N738" s="16">
        <f t="shared" si="11"/>
        <v>0.29091949318878468</v>
      </c>
    </row>
    <row r="739" spans="2:14" ht="14.4" customHeight="1" x14ac:dyDescent="0.3">
      <c r="B739" s="2" t="s">
        <v>744</v>
      </c>
      <c r="C739" s="3">
        <v>44861</v>
      </c>
      <c r="D739" s="2" t="s">
        <v>2009</v>
      </c>
      <c r="E739" s="2" t="s">
        <v>2071</v>
      </c>
      <c r="F739" s="4">
        <v>626.36</v>
      </c>
      <c r="G739" s="5">
        <v>229.15</v>
      </c>
      <c r="H739" s="6">
        <v>16</v>
      </c>
      <c r="I739" s="2" t="s">
        <v>2117</v>
      </c>
      <c r="J739" s="2" t="str">
        <v>Incentivize Front-End Mindshare</v>
      </c>
      <c r="K739" s="2" t="str">
        <v>Electronics</v>
      </c>
      <c r="L739" s="2" t="str">
        <v>Phillips-Tran</v>
      </c>
      <c r="M739" s="2">
        <v>196.86</v>
      </c>
      <c r="N739" s="16">
        <f t="shared" si="11"/>
        <v>0.36584392362219809</v>
      </c>
    </row>
    <row r="740" spans="2:14" ht="14.4" customHeight="1" x14ac:dyDescent="0.3">
      <c r="B740" s="2" t="s">
        <v>745</v>
      </c>
      <c r="C740" s="3">
        <v>44720</v>
      </c>
      <c r="D740" s="2" t="s">
        <v>2012</v>
      </c>
      <c r="E740" s="2" t="s">
        <v>2093</v>
      </c>
      <c r="F740" s="4">
        <v>2644.34</v>
      </c>
      <c r="G740" s="5">
        <v>46.81</v>
      </c>
      <c r="H740" s="6">
        <v>7</v>
      </c>
      <c r="I740" s="2" t="s">
        <v>2116</v>
      </c>
      <c r="J740" s="2" t="str">
        <v>Synergize Frictionless Synergies</v>
      </c>
      <c r="K740" s="2" t="str">
        <v>Furniture</v>
      </c>
      <c r="L740" s="2" t="str">
        <v>Hester and Sons</v>
      </c>
      <c r="M740" s="2">
        <v>289.06</v>
      </c>
      <c r="N740" s="16">
        <f t="shared" si="11"/>
        <v>1.7701959657230159E-2</v>
      </c>
    </row>
    <row r="741" spans="2:14" ht="14.4" customHeight="1" x14ac:dyDescent="0.3">
      <c r="B741" s="2" t="s">
        <v>746</v>
      </c>
      <c r="C741" s="3">
        <v>45378</v>
      </c>
      <c r="D741" s="2" t="s">
        <v>2011</v>
      </c>
      <c r="E741" s="2" t="s">
        <v>2105</v>
      </c>
      <c r="F741" s="4">
        <v>2902.72</v>
      </c>
      <c r="G741" s="5">
        <v>79.16</v>
      </c>
      <c r="H741" s="6">
        <v>12</v>
      </c>
      <c r="I741" s="2" t="s">
        <v>2117</v>
      </c>
      <c r="J741" s="2" t="str">
        <v>Brand B2C Info-Mediaries</v>
      </c>
      <c r="K741" s="2" t="str">
        <v>Office Supplies</v>
      </c>
      <c r="L741" s="2" t="str">
        <v>Preston Ltd</v>
      </c>
      <c r="M741" s="2">
        <v>13.46</v>
      </c>
      <c r="N741" s="16">
        <f t="shared" si="11"/>
        <v>2.7270973431815677E-2</v>
      </c>
    </row>
    <row r="742" spans="2:14" ht="14.4" customHeight="1" x14ac:dyDescent="0.3">
      <c r="B742" s="2" t="s">
        <v>747</v>
      </c>
      <c r="C742" s="3">
        <v>44028</v>
      </c>
      <c r="D742" s="2" t="s">
        <v>2009</v>
      </c>
      <c r="E742" s="2" t="s">
        <v>2036</v>
      </c>
      <c r="F742" s="4">
        <v>3823.95</v>
      </c>
      <c r="G742" s="5">
        <v>680.63</v>
      </c>
      <c r="H742" s="6">
        <v>4</v>
      </c>
      <c r="I742" s="2" t="s">
        <v>2117</v>
      </c>
      <c r="J742" s="2" t="str">
        <v>Innovate Strategic Systems</v>
      </c>
      <c r="K742" s="2" t="str">
        <v>Office Supplies</v>
      </c>
      <c r="L742" s="2" t="str">
        <v>Mcfarland, Parker and Armstrong</v>
      </c>
      <c r="M742" s="2">
        <v>70.239999999999995</v>
      </c>
      <c r="N742" s="16">
        <f t="shared" si="11"/>
        <v>0.17799134402907987</v>
      </c>
    </row>
    <row r="743" spans="2:14" ht="14.4" customHeight="1" x14ac:dyDescent="0.3">
      <c r="B743" s="2" t="s">
        <v>748</v>
      </c>
      <c r="C743" s="3">
        <v>45538</v>
      </c>
      <c r="D743" s="2" t="s">
        <v>2012</v>
      </c>
      <c r="E743" s="2" t="s">
        <v>2036</v>
      </c>
      <c r="F743" s="4">
        <v>1021.55</v>
      </c>
      <c r="G743" s="5">
        <v>29.98</v>
      </c>
      <c r="H743" s="6">
        <v>13</v>
      </c>
      <c r="I743" s="2" t="s">
        <v>2116</v>
      </c>
      <c r="J743" s="2" t="str">
        <v>Innovate Strategic Systems</v>
      </c>
      <c r="K743" s="2" t="str">
        <v>Office Supplies</v>
      </c>
      <c r="L743" s="2" t="str">
        <v>Mcfarland, Parker and Armstrong</v>
      </c>
      <c r="M743" s="2">
        <v>70.239999999999995</v>
      </c>
      <c r="N743" s="16">
        <f t="shared" si="11"/>
        <v>2.9347560080270181E-2</v>
      </c>
    </row>
    <row r="744" spans="2:14" ht="14.4" customHeight="1" x14ac:dyDescent="0.3">
      <c r="B744" s="2" t="s">
        <v>749</v>
      </c>
      <c r="C744" s="3">
        <v>43989</v>
      </c>
      <c r="D744" s="2" t="s">
        <v>2011</v>
      </c>
      <c r="E744" s="2" t="s">
        <v>2037</v>
      </c>
      <c r="F744" s="4">
        <v>4720.78</v>
      </c>
      <c r="G744" s="5">
        <v>213.92</v>
      </c>
      <c r="H744" s="6">
        <v>9</v>
      </c>
      <c r="I744" s="2" t="s">
        <v>2118</v>
      </c>
      <c r="J744" s="2" t="str">
        <v>Utilize Back-End Models</v>
      </c>
      <c r="K744" s="2" t="str">
        <v>Furniture</v>
      </c>
      <c r="L744" s="2" t="str">
        <v>Lewis-Holden</v>
      </c>
      <c r="M744" s="2">
        <v>241.53</v>
      </c>
      <c r="N744" s="16">
        <f t="shared" si="11"/>
        <v>4.5314545477654115E-2</v>
      </c>
    </row>
    <row r="745" spans="2:14" ht="14.4" customHeight="1" x14ac:dyDescent="0.3">
      <c r="B745" s="2" t="s">
        <v>750</v>
      </c>
      <c r="C745" s="3">
        <v>45485</v>
      </c>
      <c r="D745" s="2" t="s">
        <v>2010</v>
      </c>
      <c r="E745" s="2" t="s">
        <v>2058</v>
      </c>
      <c r="F745" s="4">
        <v>2246.85</v>
      </c>
      <c r="G745" s="5">
        <v>22.86</v>
      </c>
      <c r="H745" s="6">
        <v>14</v>
      </c>
      <c r="I745" s="2" t="s">
        <v>2117</v>
      </c>
      <c r="J745" s="2" t="str">
        <v>Envisioneer B2C Web-Readiness</v>
      </c>
      <c r="K745" s="2" t="str">
        <v>Electronics</v>
      </c>
      <c r="L745" s="2" t="str">
        <v>Kemp Group</v>
      </c>
      <c r="M745" s="2">
        <v>97.23</v>
      </c>
      <c r="N745" s="16">
        <f t="shared" si="11"/>
        <v>1.0174243941518125E-2</v>
      </c>
    </row>
    <row r="746" spans="2:14" ht="14.4" customHeight="1" x14ac:dyDescent="0.3">
      <c r="B746" s="2" t="s">
        <v>751</v>
      </c>
      <c r="C746" s="3">
        <v>44832</v>
      </c>
      <c r="D746" s="2" t="s">
        <v>2012</v>
      </c>
      <c r="E746" s="2" t="s">
        <v>2109</v>
      </c>
      <c r="F746" s="4">
        <v>2034.14</v>
      </c>
      <c r="G746" s="5">
        <v>850.08</v>
      </c>
      <c r="H746" s="6">
        <v>13</v>
      </c>
      <c r="I746" s="2" t="s">
        <v>2116</v>
      </c>
      <c r="J746" s="2" t="str">
        <v>Deliver Viral Eyeballs</v>
      </c>
      <c r="K746" s="2" t="str">
        <v>Office Supplies</v>
      </c>
      <c r="L746" s="2" t="str">
        <v>Estes, Chan and Thomas</v>
      </c>
      <c r="M746" s="2">
        <v>16.89</v>
      </c>
      <c r="N746" s="16">
        <f t="shared" si="11"/>
        <v>0.41790633879673966</v>
      </c>
    </row>
    <row r="747" spans="2:14" ht="14.4" customHeight="1" x14ac:dyDescent="0.3">
      <c r="B747" s="2" t="s">
        <v>752</v>
      </c>
      <c r="C747" s="3">
        <v>43877</v>
      </c>
      <c r="D747" s="2" t="s">
        <v>2011</v>
      </c>
      <c r="E747" s="2" t="s">
        <v>2026</v>
      </c>
      <c r="F747" s="4">
        <v>202.76</v>
      </c>
      <c r="G747" s="5">
        <v>563.79999999999995</v>
      </c>
      <c r="H747" s="6">
        <v>1</v>
      </c>
      <c r="I747" s="2" t="s">
        <v>2118</v>
      </c>
      <c r="J747" s="2" t="str">
        <v>Monetize Wireless Functionalities</v>
      </c>
      <c r="K747" s="2" t="str">
        <v>Furniture</v>
      </c>
      <c r="L747" s="2" t="str">
        <v>Robinson, Rodriguez and Hernandez</v>
      </c>
      <c r="M747" s="2">
        <v>162.22</v>
      </c>
      <c r="N747" s="16">
        <f t="shared" si="11"/>
        <v>2.7806273426711381</v>
      </c>
    </row>
    <row r="748" spans="2:14" ht="14.4" customHeight="1" x14ac:dyDescent="0.3">
      <c r="B748" s="2" t="s">
        <v>753</v>
      </c>
      <c r="C748" s="3">
        <v>43876</v>
      </c>
      <c r="D748" s="2" t="s">
        <v>2011</v>
      </c>
      <c r="E748" s="2" t="s">
        <v>2041</v>
      </c>
      <c r="F748" s="4">
        <v>1644.71</v>
      </c>
      <c r="G748" s="5">
        <v>132.03</v>
      </c>
      <c r="H748" s="6">
        <v>1</v>
      </c>
      <c r="I748" s="2" t="s">
        <v>2116</v>
      </c>
      <c r="J748" s="2" t="str">
        <v>Expedite Synergistic Web-Readiness</v>
      </c>
      <c r="K748" s="2" t="str">
        <v>Electronics</v>
      </c>
      <c r="L748" s="2" t="str">
        <v>Dunlap, Carpenter and Monroe</v>
      </c>
      <c r="M748" s="2">
        <v>289.66000000000003</v>
      </c>
      <c r="N748" s="16">
        <f t="shared" si="11"/>
        <v>8.027555009697758E-2</v>
      </c>
    </row>
    <row r="749" spans="2:14" ht="14.4" customHeight="1" x14ac:dyDescent="0.3">
      <c r="B749" s="2" t="s">
        <v>754</v>
      </c>
      <c r="C749" s="3">
        <v>44203</v>
      </c>
      <c r="D749" s="2" t="s">
        <v>2010</v>
      </c>
      <c r="E749" s="2" t="s">
        <v>2016</v>
      </c>
      <c r="F749" s="4">
        <v>222.39</v>
      </c>
      <c r="G749" s="5">
        <v>182.75</v>
      </c>
      <c r="H749" s="6">
        <v>12</v>
      </c>
      <c r="I749" s="2" t="s">
        <v>2117</v>
      </c>
      <c r="J749" s="2" t="str">
        <v>Revolutionize Efficient Niches</v>
      </c>
      <c r="K749" s="2" t="str">
        <v>Electronics</v>
      </c>
      <c r="L749" s="2" t="str">
        <v>Lopez-Torres</v>
      </c>
      <c r="M749" s="2">
        <v>23.02</v>
      </c>
      <c r="N749" s="16">
        <f t="shared" si="11"/>
        <v>0.82175457529565188</v>
      </c>
    </row>
    <row r="750" spans="2:14" ht="14.4" customHeight="1" x14ac:dyDescent="0.3">
      <c r="B750" s="2" t="s">
        <v>755</v>
      </c>
      <c r="C750" s="3">
        <v>44871</v>
      </c>
      <c r="D750" s="2" t="s">
        <v>2010</v>
      </c>
      <c r="E750" s="2" t="s">
        <v>2030</v>
      </c>
      <c r="F750" s="4">
        <v>392.01</v>
      </c>
      <c r="G750" s="5">
        <v>995.03</v>
      </c>
      <c r="H750" s="6">
        <v>12</v>
      </c>
      <c r="I750" s="2" t="s">
        <v>2118</v>
      </c>
      <c r="J750" s="2" t="str">
        <v>Engage Rich Web-Readiness</v>
      </c>
      <c r="K750" s="2" t="str">
        <v>Office Supplies</v>
      </c>
      <c r="L750" s="2" t="str">
        <v>Turner Inc</v>
      </c>
      <c r="M750" s="2">
        <v>81.069999999999993</v>
      </c>
      <c r="N750" s="16">
        <f t="shared" si="11"/>
        <v>2.5382770847682457</v>
      </c>
    </row>
    <row r="751" spans="2:14" ht="14.4" customHeight="1" x14ac:dyDescent="0.3">
      <c r="B751" s="2" t="s">
        <v>756</v>
      </c>
      <c r="C751" s="3">
        <v>44451</v>
      </c>
      <c r="D751" s="2" t="s">
        <v>2011</v>
      </c>
      <c r="E751" s="2" t="s">
        <v>2079</v>
      </c>
      <c r="F751" s="4">
        <v>716.51</v>
      </c>
      <c r="G751" s="5">
        <v>254.81</v>
      </c>
      <c r="H751" s="6">
        <v>10</v>
      </c>
      <c r="I751" s="2" t="s">
        <v>2116</v>
      </c>
      <c r="J751" s="2" t="str">
        <v>Iterate Extensible Roi</v>
      </c>
      <c r="K751" s="2" t="str">
        <v>Office Supplies</v>
      </c>
      <c r="L751" s="2" t="str">
        <v>Hill-Kelly</v>
      </c>
      <c r="M751" s="2">
        <v>180</v>
      </c>
      <c r="N751" s="16">
        <f t="shared" si="11"/>
        <v>0.35562657883351245</v>
      </c>
    </row>
    <row r="752" spans="2:14" ht="14.4" customHeight="1" x14ac:dyDescent="0.3">
      <c r="B752" s="2" t="s">
        <v>757</v>
      </c>
      <c r="C752" s="3">
        <v>44660</v>
      </c>
      <c r="D752" s="2" t="s">
        <v>2011</v>
      </c>
      <c r="E752" s="2" t="s">
        <v>2014</v>
      </c>
      <c r="F752" s="4">
        <v>3427.01</v>
      </c>
      <c r="G752" s="5">
        <v>734.07</v>
      </c>
      <c r="H752" s="6">
        <v>9</v>
      </c>
      <c r="I752" s="2" t="s">
        <v>2116</v>
      </c>
      <c r="J752" s="2" t="str">
        <v>E-Enable Synergistic Vortals</v>
      </c>
      <c r="K752" s="2" t="str">
        <v>Electronics</v>
      </c>
      <c r="L752" s="2" t="str">
        <v>Guzman Group</v>
      </c>
      <c r="M752" s="2">
        <v>278.43</v>
      </c>
      <c r="N752" s="16">
        <f t="shared" si="11"/>
        <v>0.21420130084242534</v>
      </c>
    </row>
    <row r="753" spans="2:14" ht="14.4" customHeight="1" x14ac:dyDescent="0.3">
      <c r="B753" s="2" t="s">
        <v>758</v>
      </c>
      <c r="C753" s="3">
        <v>44462</v>
      </c>
      <c r="D753" s="2" t="s">
        <v>2010</v>
      </c>
      <c r="E753" s="2" t="s">
        <v>2073</v>
      </c>
      <c r="F753" s="4">
        <v>1215.96</v>
      </c>
      <c r="G753" s="5">
        <v>947.97</v>
      </c>
      <c r="H753" s="6">
        <v>14</v>
      </c>
      <c r="I753" s="2" t="s">
        <v>2116</v>
      </c>
      <c r="J753" s="2" t="str">
        <v>Visualize Dynamic E-Commerce</v>
      </c>
      <c r="K753" s="2" t="str">
        <v>Furniture</v>
      </c>
      <c r="L753" s="2" t="str">
        <v>Jones LLC</v>
      </c>
      <c r="M753" s="2">
        <v>92.61</v>
      </c>
      <c r="N753" s="16">
        <f t="shared" si="11"/>
        <v>0.77960623704727128</v>
      </c>
    </row>
    <row r="754" spans="2:14" ht="14.4" customHeight="1" x14ac:dyDescent="0.3">
      <c r="B754" s="2" t="s">
        <v>759</v>
      </c>
      <c r="C754" s="3">
        <v>44948</v>
      </c>
      <c r="D754" s="2" t="s">
        <v>2011</v>
      </c>
      <c r="E754" s="2" t="s">
        <v>2075</v>
      </c>
      <c r="F754" s="4">
        <v>1649.81</v>
      </c>
      <c r="G754" s="5">
        <v>727.9</v>
      </c>
      <c r="H754" s="6">
        <v>9</v>
      </c>
      <c r="I754" s="2" t="s">
        <v>2118</v>
      </c>
      <c r="J754" s="2" t="str">
        <v>Reinvent Visionary Niches</v>
      </c>
      <c r="K754" s="2" t="str">
        <v>Furniture</v>
      </c>
      <c r="L754" s="2" t="str">
        <v>Huber-Richmond</v>
      </c>
      <c r="M754" s="2">
        <v>219.81</v>
      </c>
      <c r="N754" s="16">
        <f t="shared" si="11"/>
        <v>0.44120232026718226</v>
      </c>
    </row>
    <row r="755" spans="2:14" ht="14.4" customHeight="1" x14ac:dyDescent="0.3">
      <c r="B755" s="2" t="s">
        <v>760</v>
      </c>
      <c r="C755" s="3">
        <v>44228</v>
      </c>
      <c r="D755" s="2" t="s">
        <v>2011</v>
      </c>
      <c r="E755" s="2" t="s">
        <v>2069</v>
      </c>
      <c r="F755" s="4">
        <v>2749.5</v>
      </c>
      <c r="G755" s="5">
        <v>419.99</v>
      </c>
      <c r="H755" s="6">
        <v>10</v>
      </c>
      <c r="I755" s="2" t="s">
        <v>2117</v>
      </c>
      <c r="J755" s="2" t="str">
        <v>Optimize Transparent E-Markets</v>
      </c>
      <c r="K755" s="2" t="str">
        <v>Office Supplies</v>
      </c>
      <c r="L755" s="2" t="str">
        <v>Lee, Tyler and Blevins</v>
      </c>
      <c r="M755" s="2">
        <v>111.22</v>
      </c>
      <c r="N755" s="16">
        <f t="shared" si="11"/>
        <v>0.15275140934715403</v>
      </c>
    </row>
    <row r="756" spans="2:14" ht="14.4" customHeight="1" x14ac:dyDescent="0.3">
      <c r="B756" s="2" t="s">
        <v>761</v>
      </c>
      <c r="C756" s="3">
        <v>45149</v>
      </c>
      <c r="D756" s="2" t="s">
        <v>2010</v>
      </c>
      <c r="E756" s="2" t="s">
        <v>2105</v>
      </c>
      <c r="F756" s="4">
        <v>2223.2199999999998</v>
      </c>
      <c r="G756" s="5">
        <v>57.22</v>
      </c>
      <c r="H756" s="6">
        <v>10</v>
      </c>
      <c r="I756" s="2" t="s">
        <v>2118</v>
      </c>
      <c r="J756" s="2" t="str">
        <v>Brand B2C Info-Mediaries</v>
      </c>
      <c r="K756" s="2" t="str">
        <v>Office Supplies</v>
      </c>
      <c r="L756" s="2" t="str">
        <v>Preston Ltd</v>
      </c>
      <c r="M756" s="2">
        <v>13.46</v>
      </c>
      <c r="N756" s="16">
        <f t="shared" si="11"/>
        <v>2.5737443887694427E-2</v>
      </c>
    </row>
    <row r="757" spans="2:14" ht="14.4" customHeight="1" x14ac:dyDescent="0.3">
      <c r="B757" s="2" t="s">
        <v>762</v>
      </c>
      <c r="C757" s="3">
        <v>43934</v>
      </c>
      <c r="D757" s="2" t="s">
        <v>2010</v>
      </c>
      <c r="E757" s="2" t="s">
        <v>2013</v>
      </c>
      <c r="F757" s="4">
        <v>117.79</v>
      </c>
      <c r="G757" s="5">
        <v>401.58</v>
      </c>
      <c r="H757" s="6">
        <v>13</v>
      </c>
      <c r="I757" s="2" t="s">
        <v>2116</v>
      </c>
      <c r="J757" s="2" t="str">
        <v>Re-Intermediate Seamless Applications</v>
      </c>
      <c r="K757" s="2" t="str">
        <v>Office Supplies</v>
      </c>
      <c r="L757" s="2" t="str">
        <v>Welch-Reed</v>
      </c>
      <c r="M757" s="2">
        <v>45.82</v>
      </c>
      <c r="N757" s="16">
        <f t="shared" si="11"/>
        <v>3.4092877154257573</v>
      </c>
    </row>
    <row r="758" spans="2:14" ht="14.4" customHeight="1" x14ac:dyDescent="0.3">
      <c r="B758" s="2" t="s">
        <v>763</v>
      </c>
      <c r="C758" s="3">
        <v>45375</v>
      </c>
      <c r="D758" s="2" t="s">
        <v>2010</v>
      </c>
      <c r="E758" s="2" t="s">
        <v>2055</v>
      </c>
      <c r="F758" s="4">
        <v>2762.51</v>
      </c>
      <c r="G758" s="5">
        <v>855.96</v>
      </c>
      <c r="H758" s="6">
        <v>2</v>
      </c>
      <c r="I758" s="2" t="s">
        <v>2118</v>
      </c>
      <c r="J758" s="2" t="str">
        <v>Engineer Real-Time Architectures</v>
      </c>
      <c r="K758" s="2" t="str">
        <v>Furniture</v>
      </c>
      <c r="L758" s="2" t="str">
        <v>James and Sons</v>
      </c>
      <c r="M758" s="2">
        <v>127.23</v>
      </c>
      <c r="N758" s="16">
        <f t="shared" si="11"/>
        <v>0.30984865213157597</v>
      </c>
    </row>
    <row r="759" spans="2:14" ht="14.4" customHeight="1" x14ac:dyDescent="0.3">
      <c r="B759" s="2" t="s">
        <v>764</v>
      </c>
      <c r="C759" s="3">
        <v>44673</v>
      </c>
      <c r="D759" s="2" t="s">
        <v>2012</v>
      </c>
      <c r="E759" s="2" t="s">
        <v>2051</v>
      </c>
      <c r="F759" s="4">
        <v>2590.48</v>
      </c>
      <c r="G759" s="5">
        <v>745.08</v>
      </c>
      <c r="H759" s="6">
        <v>4</v>
      </c>
      <c r="I759" s="2" t="s">
        <v>2118</v>
      </c>
      <c r="J759" s="2" t="str">
        <v>Generate Front-End Functionalities</v>
      </c>
      <c r="K759" s="2" t="str">
        <v>Office Supplies</v>
      </c>
      <c r="L759" s="2" t="str">
        <v>Morales-Brown</v>
      </c>
      <c r="M759" s="2">
        <v>299.77</v>
      </c>
      <c r="N759" s="16">
        <f t="shared" si="11"/>
        <v>0.28762237114357186</v>
      </c>
    </row>
    <row r="760" spans="2:14" ht="14.4" customHeight="1" x14ac:dyDescent="0.3">
      <c r="B760" s="2" t="s">
        <v>765</v>
      </c>
      <c r="C760" s="3">
        <v>45349</v>
      </c>
      <c r="D760" s="2" t="s">
        <v>2012</v>
      </c>
      <c r="E760" s="2" t="s">
        <v>2105</v>
      </c>
      <c r="F760" s="4">
        <v>3607.64</v>
      </c>
      <c r="G760" s="5">
        <v>54.42</v>
      </c>
      <c r="H760" s="6">
        <v>4</v>
      </c>
      <c r="I760" s="2" t="s">
        <v>2116</v>
      </c>
      <c r="J760" s="2" t="str">
        <v>Brand B2C Info-Mediaries</v>
      </c>
      <c r="K760" s="2" t="str">
        <v>Office Supplies</v>
      </c>
      <c r="L760" s="2" t="str">
        <v>Preston Ltd</v>
      </c>
      <c r="M760" s="2">
        <v>13.46</v>
      </c>
      <c r="N760" s="16">
        <f t="shared" si="11"/>
        <v>1.508465367941369E-2</v>
      </c>
    </row>
    <row r="761" spans="2:14" ht="14.4" customHeight="1" x14ac:dyDescent="0.3">
      <c r="B761" s="2" t="s">
        <v>766</v>
      </c>
      <c r="C761" s="3">
        <v>45381</v>
      </c>
      <c r="D761" s="2" t="s">
        <v>2011</v>
      </c>
      <c r="E761" s="2" t="s">
        <v>2102</v>
      </c>
      <c r="F761" s="4">
        <v>1507.68</v>
      </c>
      <c r="G761" s="5">
        <v>774.66</v>
      </c>
      <c r="H761" s="6">
        <v>4</v>
      </c>
      <c r="I761" s="2" t="s">
        <v>2118</v>
      </c>
      <c r="J761" s="2" t="str">
        <v>Re-Contextualize Viral Mindshare</v>
      </c>
      <c r="K761" s="2" t="str">
        <v>Electronics</v>
      </c>
      <c r="L761" s="2" t="str">
        <v>Carter-Lane</v>
      </c>
      <c r="M761" s="2">
        <v>142.25</v>
      </c>
      <c r="N761" s="16">
        <f t="shared" si="11"/>
        <v>0.51380929640241957</v>
      </c>
    </row>
    <row r="762" spans="2:14" ht="14.4" customHeight="1" x14ac:dyDescent="0.3">
      <c r="B762" s="2" t="s">
        <v>767</v>
      </c>
      <c r="C762" s="3">
        <v>45265</v>
      </c>
      <c r="D762" s="2" t="s">
        <v>2011</v>
      </c>
      <c r="E762" s="2" t="s">
        <v>2035</v>
      </c>
      <c r="F762" s="4">
        <v>1426.51</v>
      </c>
      <c r="G762" s="5">
        <v>722.14</v>
      </c>
      <c r="H762" s="6">
        <v>4</v>
      </c>
      <c r="I762" s="2" t="s">
        <v>2116</v>
      </c>
      <c r="J762" s="2" t="str">
        <v>Optimize 24/365 E-Services</v>
      </c>
      <c r="K762" s="2" t="str">
        <v>Office Supplies</v>
      </c>
      <c r="L762" s="2" t="str">
        <v>Chase Ltd</v>
      </c>
      <c r="M762" s="2">
        <v>100.35</v>
      </c>
      <c r="N762" s="16">
        <f t="shared" si="11"/>
        <v>0.5062284877077623</v>
      </c>
    </row>
    <row r="763" spans="2:14" ht="14.4" customHeight="1" x14ac:dyDescent="0.3">
      <c r="B763" s="2" t="s">
        <v>768</v>
      </c>
      <c r="C763" s="3">
        <v>44855</v>
      </c>
      <c r="D763" s="2" t="s">
        <v>2011</v>
      </c>
      <c r="E763" s="2" t="s">
        <v>2038</v>
      </c>
      <c r="F763" s="4">
        <v>1585.32</v>
      </c>
      <c r="G763" s="5">
        <v>240.46</v>
      </c>
      <c r="H763" s="6">
        <v>17</v>
      </c>
      <c r="I763" s="2" t="s">
        <v>2117</v>
      </c>
      <c r="J763" s="2" t="str">
        <v>Reinvent Mission-Critical Markets</v>
      </c>
      <c r="K763" s="2" t="str">
        <v>Furniture</v>
      </c>
      <c r="L763" s="2" t="str">
        <v>Gilbert-Sanders</v>
      </c>
      <c r="M763" s="2">
        <v>154.21</v>
      </c>
      <c r="N763" s="16">
        <f t="shared" si="11"/>
        <v>0.15167915625867334</v>
      </c>
    </row>
    <row r="764" spans="2:14" ht="14.4" customHeight="1" x14ac:dyDescent="0.3">
      <c r="B764" s="2" t="s">
        <v>769</v>
      </c>
      <c r="C764" s="3">
        <v>45376</v>
      </c>
      <c r="D764" s="2" t="s">
        <v>2009</v>
      </c>
      <c r="E764" s="2" t="s">
        <v>2067</v>
      </c>
      <c r="F764" s="4">
        <v>57.42</v>
      </c>
      <c r="G764" s="5">
        <v>626.1</v>
      </c>
      <c r="H764" s="6">
        <v>15</v>
      </c>
      <c r="I764" s="2" t="s">
        <v>2116</v>
      </c>
      <c r="J764" s="2" t="str">
        <v>Transition Compelling Web-Readiness</v>
      </c>
      <c r="K764" s="2" t="str">
        <v>Furniture</v>
      </c>
      <c r="L764" s="2" t="str">
        <v>Wood-Beck</v>
      </c>
      <c r="M764" s="2">
        <v>88.34</v>
      </c>
      <c r="N764" s="16">
        <f t="shared" si="11"/>
        <v>10.903866248693834</v>
      </c>
    </row>
    <row r="765" spans="2:14" ht="14.4" customHeight="1" x14ac:dyDescent="0.3">
      <c r="B765" s="2" t="s">
        <v>770</v>
      </c>
      <c r="C765" s="3">
        <v>45405</v>
      </c>
      <c r="D765" s="2" t="s">
        <v>2011</v>
      </c>
      <c r="E765" s="2" t="s">
        <v>2037</v>
      </c>
      <c r="F765" s="4">
        <v>2640.33</v>
      </c>
      <c r="G765" s="5">
        <v>94.72</v>
      </c>
      <c r="H765" s="6">
        <v>1</v>
      </c>
      <c r="I765" s="2" t="s">
        <v>2118</v>
      </c>
      <c r="J765" s="2" t="str">
        <v>Utilize Back-End Models</v>
      </c>
      <c r="K765" s="2" t="str">
        <v>Furniture</v>
      </c>
      <c r="L765" s="2" t="str">
        <v>Lewis-Holden</v>
      </c>
      <c r="M765" s="2">
        <v>241.53</v>
      </c>
      <c r="N765" s="16">
        <f t="shared" si="11"/>
        <v>3.5874303590839027E-2</v>
      </c>
    </row>
    <row r="766" spans="2:14" ht="14.4" customHeight="1" x14ac:dyDescent="0.3">
      <c r="B766" s="2" t="s">
        <v>771</v>
      </c>
      <c r="C766" s="3">
        <v>45307</v>
      </c>
      <c r="D766" s="2" t="s">
        <v>2012</v>
      </c>
      <c r="E766" s="2" t="s">
        <v>2067</v>
      </c>
      <c r="F766" s="4">
        <v>420.94</v>
      </c>
      <c r="G766" s="5">
        <v>540.75</v>
      </c>
      <c r="H766" s="6">
        <v>14</v>
      </c>
      <c r="I766" s="2" t="s">
        <v>2118</v>
      </c>
      <c r="J766" s="2" t="str">
        <v>Transition Compelling Web-Readiness</v>
      </c>
      <c r="K766" s="2" t="str">
        <v>Furniture</v>
      </c>
      <c r="L766" s="2" t="str">
        <v>Wood-Beck</v>
      </c>
      <c r="M766" s="2">
        <v>88.34</v>
      </c>
      <c r="N766" s="16">
        <f t="shared" si="11"/>
        <v>1.2846248871573145</v>
      </c>
    </row>
    <row r="767" spans="2:14" ht="14.4" customHeight="1" x14ac:dyDescent="0.3">
      <c r="B767" s="2" t="s">
        <v>772</v>
      </c>
      <c r="C767" s="3">
        <v>44113</v>
      </c>
      <c r="D767" s="2" t="s">
        <v>2011</v>
      </c>
      <c r="E767" s="2" t="s">
        <v>2046</v>
      </c>
      <c r="F767" s="4">
        <v>1866.17</v>
      </c>
      <c r="G767" s="5">
        <v>750.66</v>
      </c>
      <c r="H767" s="6">
        <v>16</v>
      </c>
      <c r="I767" s="2" t="s">
        <v>2116</v>
      </c>
      <c r="J767" s="2" t="str">
        <v>Facilitate End-To-End Experiences</v>
      </c>
      <c r="K767" s="2" t="str">
        <v>Office Supplies</v>
      </c>
      <c r="L767" s="2" t="str">
        <v>Pierce-Goodwin</v>
      </c>
      <c r="M767" s="2">
        <v>260.52999999999997</v>
      </c>
      <c r="N767" s="16">
        <f t="shared" si="11"/>
        <v>0.40224631196514782</v>
      </c>
    </row>
    <row r="768" spans="2:14" ht="14.4" customHeight="1" x14ac:dyDescent="0.3">
      <c r="B768" s="2" t="s">
        <v>773</v>
      </c>
      <c r="C768" s="3">
        <v>44584</v>
      </c>
      <c r="D768" s="2" t="s">
        <v>2010</v>
      </c>
      <c r="E768" s="2" t="s">
        <v>2047</v>
      </c>
      <c r="F768" s="4">
        <v>1401.5</v>
      </c>
      <c r="G768" s="5">
        <v>191.06</v>
      </c>
      <c r="H768" s="6">
        <v>1</v>
      </c>
      <c r="I768" s="2" t="s">
        <v>2118</v>
      </c>
      <c r="J768" s="2" t="str">
        <v>Transform Holistic Functionalities</v>
      </c>
      <c r="K768" s="2" t="str">
        <v>Office Supplies</v>
      </c>
      <c r="L768" s="2" t="str">
        <v>Ruiz Ltd</v>
      </c>
      <c r="M768" s="2">
        <v>179.27</v>
      </c>
      <c r="N768" s="16">
        <f t="shared" si="11"/>
        <v>0.13632536567962897</v>
      </c>
    </row>
    <row r="769" spans="2:14" ht="14.4" customHeight="1" x14ac:dyDescent="0.3">
      <c r="B769" s="2" t="s">
        <v>774</v>
      </c>
      <c r="C769" s="3">
        <v>45405</v>
      </c>
      <c r="D769" s="2" t="s">
        <v>2009</v>
      </c>
      <c r="E769" s="2" t="s">
        <v>2095</v>
      </c>
      <c r="F769" s="4">
        <v>4354.63</v>
      </c>
      <c r="G769" s="5">
        <v>477.53</v>
      </c>
      <c r="H769" s="6">
        <v>18</v>
      </c>
      <c r="I769" s="2" t="s">
        <v>2117</v>
      </c>
      <c r="J769" s="2" t="str">
        <v>Envisioneer B2B Users</v>
      </c>
      <c r="K769" s="2" t="str">
        <v>Office Supplies</v>
      </c>
      <c r="L769" s="2" t="str">
        <v>Rogers Group</v>
      </c>
      <c r="M769" s="2">
        <v>239.16</v>
      </c>
      <c r="N769" s="16">
        <f t="shared" si="11"/>
        <v>0.10966029260809758</v>
      </c>
    </row>
    <row r="770" spans="2:14" ht="14.4" customHeight="1" x14ac:dyDescent="0.3">
      <c r="B770" s="2" t="s">
        <v>775</v>
      </c>
      <c r="C770" s="3">
        <v>44305</v>
      </c>
      <c r="D770" s="2" t="s">
        <v>2011</v>
      </c>
      <c r="E770" s="2" t="s">
        <v>2109</v>
      </c>
      <c r="F770" s="4">
        <v>132.53</v>
      </c>
      <c r="G770" s="5">
        <v>801.55</v>
      </c>
      <c r="H770" s="6">
        <v>16</v>
      </c>
      <c r="I770" s="2" t="s">
        <v>2116</v>
      </c>
      <c r="J770" s="2" t="str">
        <v>Deliver Viral Eyeballs</v>
      </c>
      <c r="K770" s="2" t="str">
        <v>Office Supplies</v>
      </c>
      <c r="L770" s="2" t="str">
        <v>Estes, Chan and Thomas</v>
      </c>
      <c r="M770" s="2">
        <v>16.89</v>
      </c>
      <c r="N770" s="16">
        <f t="shared" si="11"/>
        <v>6.0480645891496261</v>
      </c>
    </row>
    <row r="771" spans="2:14" ht="14.4" customHeight="1" x14ac:dyDescent="0.3">
      <c r="B771" s="2" t="s">
        <v>776</v>
      </c>
      <c r="C771" s="3">
        <v>44238</v>
      </c>
      <c r="D771" s="2" t="s">
        <v>2009</v>
      </c>
      <c r="E771" s="2" t="s">
        <v>2058</v>
      </c>
      <c r="F771" s="4">
        <v>337.82</v>
      </c>
      <c r="G771" s="5">
        <v>708.89</v>
      </c>
      <c r="H771" s="6">
        <v>4</v>
      </c>
      <c r="I771" s="2" t="s">
        <v>2117</v>
      </c>
      <c r="J771" s="2" t="str">
        <v>Envisioneer B2C Web-Readiness</v>
      </c>
      <c r="K771" s="2" t="str">
        <v>Electronics</v>
      </c>
      <c r="L771" s="2" t="str">
        <v>Kemp Group</v>
      </c>
      <c r="M771" s="2">
        <v>97.23</v>
      </c>
      <c r="N771" s="16">
        <f t="shared" si="11"/>
        <v>2.0984251968503935</v>
      </c>
    </row>
    <row r="772" spans="2:14" ht="14.4" customHeight="1" x14ac:dyDescent="0.3">
      <c r="B772" s="2" t="s">
        <v>777</v>
      </c>
      <c r="C772" s="3">
        <v>45075</v>
      </c>
      <c r="D772" s="2" t="s">
        <v>2010</v>
      </c>
      <c r="E772" s="2" t="s">
        <v>2041</v>
      </c>
      <c r="F772" s="4">
        <v>2271.19</v>
      </c>
      <c r="G772" s="5">
        <v>250.51</v>
      </c>
      <c r="H772" s="6">
        <v>1</v>
      </c>
      <c r="I772" s="2" t="s">
        <v>2117</v>
      </c>
      <c r="J772" s="2" t="str">
        <v>Expedite Synergistic Web-Readiness</v>
      </c>
      <c r="K772" s="2" t="str">
        <v>Electronics</v>
      </c>
      <c r="L772" s="2" t="str">
        <v>Dunlap, Carpenter and Monroe</v>
      </c>
      <c r="M772" s="2">
        <v>289.66000000000003</v>
      </c>
      <c r="N772" s="16">
        <f t="shared" si="11"/>
        <v>0.11029900624782603</v>
      </c>
    </row>
    <row r="773" spans="2:14" ht="14.4" customHeight="1" x14ac:dyDescent="0.3">
      <c r="B773" s="2" t="s">
        <v>778</v>
      </c>
      <c r="C773" s="3">
        <v>44738</v>
      </c>
      <c r="D773" s="2" t="s">
        <v>2011</v>
      </c>
      <c r="E773" s="2" t="s">
        <v>2024</v>
      </c>
      <c r="F773" s="4">
        <v>173.98</v>
      </c>
      <c r="G773" s="5">
        <v>37.909999999999997</v>
      </c>
      <c r="H773" s="6">
        <v>19</v>
      </c>
      <c r="I773" s="2" t="s">
        <v>2116</v>
      </c>
      <c r="J773" s="2" t="str">
        <v>Target Viral Methodologies</v>
      </c>
      <c r="K773" s="2" t="str">
        <v>Electronics</v>
      </c>
      <c r="L773" s="2" t="str">
        <v>Alvarez, Myers and Walter</v>
      </c>
      <c r="M773" s="2">
        <v>149.26</v>
      </c>
      <c r="N773" s="16">
        <f t="shared" ref="N773:N836" si="12">(G773/F773)</f>
        <v>0.21789860903552133</v>
      </c>
    </row>
    <row r="774" spans="2:14" ht="14.4" customHeight="1" x14ac:dyDescent="0.3">
      <c r="B774" s="2" t="s">
        <v>779</v>
      </c>
      <c r="C774" s="3">
        <v>44794</v>
      </c>
      <c r="D774" s="2" t="s">
        <v>2009</v>
      </c>
      <c r="E774" s="2" t="s">
        <v>2045</v>
      </c>
      <c r="F774" s="4">
        <v>1128.97</v>
      </c>
      <c r="G774" s="5">
        <v>345.26</v>
      </c>
      <c r="H774" s="6">
        <v>5</v>
      </c>
      <c r="I774" s="2" t="s">
        <v>2117</v>
      </c>
      <c r="J774" s="2" t="str">
        <v>Leverage Scalable Interfaces</v>
      </c>
      <c r="K774" s="2" t="str">
        <v>Office Supplies</v>
      </c>
      <c r="L774" s="2" t="str">
        <v>Kaufman-Jones</v>
      </c>
      <c r="M774" s="2">
        <v>73.33</v>
      </c>
      <c r="N774" s="16">
        <f t="shared" si="12"/>
        <v>0.30581857799587231</v>
      </c>
    </row>
    <row r="775" spans="2:14" ht="14.4" customHeight="1" x14ac:dyDescent="0.3">
      <c r="B775" s="2" t="s">
        <v>780</v>
      </c>
      <c r="C775" s="3">
        <v>44581</v>
      </c>
      <c r="D775" s="2" t="s">
        <v>2012</v>
      </c>
      <c r="E775" s="2" t="s">
        <v>2034</v>
      </c>
      <c r="F775" s="4">
        <v>67.27</v>
      </c>
      <c r="G775" s="5">
        <v>591.09</v>
      </c>
      <c r="H775" s="6">
        <v>4</v>
      </c>
      <c r="I775" s="2" t="s">
        <v>2117</v>
      </c>
      <c r="J775" s="2" t="str">
        <v>Utilize Virtual Partnerships</v>
      </c>
      <c r="K775" s="2" t="str">
        <v>Furniture</v>
      </c>
      <c r="L775" s="2" t="str">
        <v>Smith, Diaz and Heath</v>
      </c>
      <c r="M775" s="2">
        <v>193.02</v>
      </c>
      <c r="N775" s="16">
        <f t="shared" si="12"/>
        <v>8.7868291957782088</v>
      </c>
    </row>
    <row r="776" spans="2:14" ht="14.4" customHeight="1" x14ac:dyDescent="0.3">
      <c r="B776" s="2" t="s">
        <v>781</v>
      </c>
      <c r="C776" s="3">
        <v>44373</v>
      </c>
      <c r="D776" s="2" t="s">
        <v>2010</v>
      </c>
      <c r="E776" s="2" t="s">
        <v>2051</v>
      </c>
      <c r="F776" s="4">
        <v>645.88</v>
      </c>
      <c r="G776" s="5">
        <v>397.57</v>
      </c>
      <c r="H776" s="6">
        <v>15</v>
      </c>
      <c r="I776" s="2" t="s">
        <v>2118</v>
      </c>
      <c r="J776" s="2" t="str">
        <v>Generate Front-End Functionalities</v>
      </c>
      <c r="K776" s="2" t="str">
        <v>Office Supplies</v>
      </c>
      <c r="L776" s="2" t="str">
        <v>Morales-Brown</v>
      </c>
      <c r="M776" s="2">
        <v>299.77</v>
      </c>
      <c r="N776" s="16">
        <f t="shared" si="12"/>
        <v>0.61554777977333253</v>
      </c>
    </row>
    <row r="777" spans="2:14" ht="14.4" customHeight="1" x14ac:dyDescent="0.3">
      <c r="B777" s="2" t="s">
        <v>782</v>
      </c>
      <c r="C777" s="3">
        <v>44416</v>
      </c>
      <c r="D777" s="2" t="s">
        <v>2009</v>
      </c>
      <c r="E777" s="2" t="s">
        <v>2086</v>
      </c>
      <c r="F777" s="4">
        <v>808.05</v>
      </c>
      <c r="G777" s="5">
        <v>523.58000000000004</v>
      </c>
      <c r="H777" s="6">
        <v>14</v>
      </c>
      <c r="I777" s="2" t="s">
        <v>2117</v>
      </c>
      <c r="J777" s="2" t="str">
        <v>Harness Proactive Eyeballs</v>
      </c>
      <c r="K777" s="2" t="str">
        <v>Electronics</v>
      </c>
      <c r="L777" s="2" t="str">
        <v>Moran and Sons</v>
      </c>
      <c r="M777" s="2">
        <v>58.01</v>
      </c>
      <c r="N777" s="16">
        <f t="shared" si="12"/>
        <v>0.647954953282594</v>
      </c>
    </row>
    <row r="778" spans="2:14" ht="14.4" customHeight="1" x14ac:dyDescent="0.3">
      <c r="B778" s="2" t="s">
        <v>783</v>
      </c>
      <c r="C778" s="3">
        <v>44750</v>
      </c>
      <c r="D778" s="2" t="s">
        <v>2012</v>
      </c>
      <c r="E778" s="2" t="s">
        <v>2027</v>
      </c>
      <c r="F778" s="4">
        <v>1709.68</v>
      </c>
      <c r="G778" s="5">
        <v>728.07</v>
      </c>
      <c r="H778" s="6">
        <v>11</v>
      </c>
      <c r="I778" s="2" t="s">
        <v>2116</v>
      </c>
      <c r="J778" s="2" t="str">
        <v>Monetize Value-Added Niches</v>
      </c>
      <c r="K778" s="2" t="str">
        <v>Office Supplies</v>
      </c>
      <c r="L778" s="2" t="str">
        <v>Foster, Velazquez and Lee</v>
      </c>
      <c r="M778" s="2">
        <v>171.51</v>
      </c>
      <c r="N778" s="16">
        <f t="shared" si="12"/>
        <v>0.42585162135604326</v>
      </c>
    </row>
    <row r="779" spans="2:14" ht="14.4" customHeight="1" x14ac:dyDescent="0.3">
      <c r="B779" s="2" t="s">
        <v>784</v>
      </c>
      <c r="C779" s="3">
        <v>44440</v>
      </c>
      <c r="D779" s="2" t="s">
        <v>2012</v>
      </c>
      <c r="E779" s="2" t="s">
        <v>2034</v>
      </c>
      <c r="F779" s="4">
        <v>1595.32</v>
      </c>
      <c r="G779" s="5">
        <v>488.95</v>
      </c>
      <c r="H779" s="6">
        <v>4</v>
      </c>
      <c r="I779" s="2" t="s">
        <v>2116</v>
      </c>
      <c r="J779" s="2" t="str">
        <v>Utilize Virtual Partnerships</v>
      </c>
      <c r="K779" s="2" t="str">
        <v>Furniture</v>
      </c>
      <c r="L779" s="2" t="str">
        <v>Smith, Diaz and Heath</v>
      </c>
      <c r="M779" s="2">
        <v>193.02</v>
      </c>
      <c r="N779" s="16">
        <f t="shared" si="12"/>
        <v>0.30649023393425773</v>
      </c>
    </row>
    <row r="780" spans="2:14" ht="14.4" customHeight="1" x14ac:dyDescent="0.3">
      <c r="B780" s="2" t="s">
        <v>785</v>
      </c>
      <c r="C780" s="3">
        <v>44262</v>
      </c>
      <c r="D780" s="2" t="s">
        <v>2012</v>
      </c>
      <c r="E780" s="2" t="s">
        <v>2110</v>
      </c>
      <c r="F780" s="4">
        <v>4646.8</v>
      </c>
      <c r="G780" s="5">
        <v>148.56</v>
      </c>
      <c r="H780" s="6">
        <v>2</v>
      </c>
      <c r="I780" s="2" t="s">
        <v>2118</v>
      </c>
      <c r="J780" s="2" t="str">
        <v>Repurpose End-To-End Networks</v>
      </c>
      <c r="K780" s="2" t="str">
        <v>Office Supplies</v>
      </c>
      <c r="L780" s="2" t="str">
        <v>Torres-Rush</v>
      </c>
      <c r="M780" s="2">
        <v>97.02</v>
      </c>
      <c r="N780" s="16">
        <f t="shared" si="12"/>
        <v>3.1970388224154253E-2</v>
      </c>
    </row>
    <row r="781" spans="2:14" ht="14.4" customHeight="1" x14ac:dyDescent="0.3">
      <c r="B781" s="2" t="s">
        <v>786</v>
      </c>
      <c r="C781" s="3">
        <v>45015</v>
      </c>
      <c r="D781" s="2" t="s">
        <v>2011</v>
      </c>
      <c r="E781" s="2" t="s">
        <v>2096</v>
      </c>
      <c r="F781" s="4">
        <v>4697.49</v>
      </c>
      <c r="G781" s="5">
        <v>609.64</v>
      </c>
      <c r="H781" s="6">
        <v>8</v>
      </c>
      <c r="I781" s="2" t="s">
        <v>2117</v>
      </c>
      <c r="J781" s="2" t="str">
        <v>Disintermediate Scalable Bandwidth</v>
      </c>
      <c r="K781" s="2" t="str">
        <v>Electronics</v>
      </c>
      <c r="L781" s="2" t="str">
        <v>Levy PLC</v>
      </c>
      <c r="M781" s="2">
        <v>19.86</v>
      </c>
      <c r="N781" s="16">
        <f t="shared" si="12"/>
        <v>0.12977994631175371</v>
      </c>
    </row>
    <row r="782" spans="2:14" ht="14.4" customHeight="1" x14ac:dyDescent="0.3">
      <c r="B782" s="2" t="s">
        <v>787</v>
      </c>
      <c r="C782" s="3">
        <v>44622</v>
      </c>
      <c r="D782" s="2" t="s">
        <v>2012</v>
      </c>
      <c r="E782" s="2" t="s">
        <v>2025</v>
      </c>
      <c r="F782" s="4">
        <v>760.41</v>
      </c>
      <c r="G782" s="5">
        <v>909.63</v>
      </c>
      <c r="H782" s="6">
        <v>14</v>
      </c>
      <c r="I782" s="2" t="s">
        <v>2116</v>
      </c>
      <c r="J782" s="2" t="str">
        <v>Streamline Innovative Architectures</v>
      </c>
      <c r="K782" s="2" t="str">
        <v>Furniture</v>
      </c>
      <c r="L782" s="2" t="str">
        <v>Price, Valentine and Lutz</v>
      </c>
      <c r="M782" s="2">
        <v>291.14999999999998</v>
      </c>
      <c r="N782" s="16">
        <f t="shared" si="12"/>
        <v>1.1962362409752634</v>
      </c>
    </row>
    <row r="783" spans="2:14" ht="14.4" customHeight="1" x14ac:dyDescent="0.3">
      <c r="B783" s="2" t="s">
        <v>788</v>
      </c>
      <c r="C783" s="3">
        <v>44007</v>
      </c>
      <c r="D783" s="2" t="s">
        <v>2010</v>
      </c>
      <c r="E783" s="2" t="s">
        <v>2070</v>
      </c>
      <c r="F783" s="4">
        <v>3230.8</v>
      </c>
      <c r="G783" s="5">
        <v>132.88</v>
      </c>
      <c r="H783" s="6">
        <v>16</v>
      </c>
      <c r="I783" s="2" t="s">
        <v>2118</v>
      </c>
      <c r="J783" s="2" t="str">
        <v>Seize Plug-And-Play Web-Readiness</v>
      </c>
      <c r="K783" s="2" t="str">
        <v>Electronics</v>
      </c>
      <c r="L783" s="2" t="str">
        <v>Joseph, Mayer and Carr</v>
      </c>
      <c r="M783" s="2">
        <v>102.73</v>
      </c>
      <c r="N783" s="16">
        <f t="shared" si="12"/>
        <v>4.1129132103503774E-2</v>
      </c>
    </row>
    <row r="784" spans="2:14" ht="14.4" customHeight="1" x14ac:dyDescent="0.3">
      <c r="B784" s="2" t="s">
        <v>789</v>
      </c>
      <c r="C784" s="3">
        <v>44629</v>
      </c>
      <c r="D784" s="2" t="s">
        <v>2012</v>
      </c>
      <c r="E784" s="2" t="s">
        <v>2037</v>
      </c>
      <c r="F784" s="4">
        <v>563.73</v>
      </c>
      <c r="G784" s="5">
        <v>767.32</v>
      </c>
      <c r="H784" s="6">
        <v>2</v>
      </c>
      <c r="I784" s="2" t="s">
        <v>2116</v>
      </c>
      <c r="J784" s="2" t="str">
        <v>Utilize Back-End Models</v>
      </c>
      <c r="K784" s="2" t="str">
        <v>Furniture</v>
      </c>
      <c r="L784" s="2" t="str">
        <v>Lewis-Holden</v>
      </c>
      <c r="M784" s="2">
        <v>241.53</v>
      </c>
      <c r="N784" s="16">
        <f t="shared" si="12"/>
        <v>1.3611480673372005</v>
      </c>
    </row>
    <row r="785" spans="2:14" ht="14.4" customHeight="1" x14ac:dyDescent="0.3">
      <c r="B785" s="2" t="s">
        <v>790</v>
      </c>
      <c r="C785" s="3">
        <v>43923</v>
      </c>
      <c r="D785" s="2" t="s">
        <v>2011</v>
      </c>
      <c r="E785" s="2" t="s">
        <v>2074</v>
      </c>
      <c r="F785" s="4">
        <v>1040.97</v>
      </c>
      <c r="G785" s="5">
        <v>376.61</v>
      </c>
      <c r="H785" s="6">
        <v>13</v>
      </c>
      <c r="I785" s="2" t="s">
        <v>2118</v>
      </c>
      <c r="J785" s="2" t="str">
        <v>Utilize Ubiquitous Synergies</v>
      </c>
      <c r="K785" s="2" t="str">
        <v>Electronics</v>
      </c>
      <c r="L785" s="2" t="str">
        <v>Kramer, Huang and Shaw</v>
      </c>
      <c r="M785" s="2">
        <v>295.89999999999998</v>
      </c>
      <c r="N785" s="16">
        <f t="shared" si="12"/>
        <v>0.36178756352248387</v>
      </c>
    </row>
    <row r="786" spans="2:14" ht="14.4" customHeight="1" x14ac:dyDescent="0.3">
      <c r="B786" s="2" t="s">
        <v>791</v>
      </c>
      <c r="C786" s="3">
        <v>44502</v>
      </c>
      <c r="D786" s="2" t="s">
        <v>2009</v>
      </c>
      <c r="E786" s="2" t="s">
        <v>2028</v>
      </c>
      <c r="F786" s="4">
        <v>218.21</v>
      </c>
      <c r="G786" s="5">
        <v>735.77</v>
      </c>
      <c r="H786" s="6">
        <v>17</v>
      </c>
      <c r="I786" s="2" t="s">
        <v>2118</v>
      </c>
      <c r="J786" s="2" t="str">
        <v>Synergize World-Class Networks</v>
      </c>
      <c r="K786" s="2" t="str">
        <v>Electronics</v>
      </c>
      <c r="L786" s="2" t="str">
        <v>Gomez-Lawrence</v>
      </c>
      <c r="M786" s="2">
        <v>72.37</v>
      </c>
      <c r="N786" s="16">
        <f t="shared" si="12"/>
        <v>3.3718436368635718</v>
      </c>
    </row>
    <row r="787" spans="2:14" ht="14.4" customHeight="1" x14ac:dyDescent="0.3">
      <c r="B787" s="2" t="s">
        <v>792</v>
      </c>
      <c r="C787" s="3">
        <v>45290</v>
      </c>
      <c r="D787" s="2" t="s">
        <v>2010</v>
      </c>
      <c r="E787" s="2" t="s">
        <v>2014</v>
      </c>
      <c r="F787" s="4">
        <v>4871.41</v>
      </c>
      <c r="G787" s="5">
        <v>884.63</v>
      </c>
      <c r="H787" s="6">
        <v>11</v>
      </c>
      <c r="I787" s="2" t="s">
        <v>2117</v>
      </c>
      <c r="J787" s="2" t="str">
        <v>E-Enable Synergistic Vortals</v>
      </c>
      <c r="K787" s="2" t="str">
        <v>Electronics</v>
      </c>
      <c r="L787" s="2" t="str">
        <v>Guzman Group</v>
      </c>
      <c r="M787" s="2">
        <v>278.43</v>
      </c>
      <c r="N787" s="16">
        <f t="shared" si="12"/>
        <v>0.18159629347560563</v>
      </c>
    </row>
    <row r="788" spans="2:14" ht="14.4" customHeight="1" x14ac:dyDescent="0.3">
      <c r="B788" s="2" t="s">
        <v>793</v>
      </c>
      <c r="C788" s="3">
        <v>43995</v>
      </c>
      <c r="D788" s="2" t="s">
        <v>2011</v>
      </c>
      <c r="E788" s="2" t="s">
        <v>2099</v>
      </c>
      <c r="F788" s="4">
        <v>4907.21</v>
      </c>
      <c r="G788" s="5">
        <v>386.45</v>
      </c>
      <c r="H788" s="6">
        <v>8</v>
      </c>
      <c r="I788" s="2" t="s">
        <v>2118</v>
      </c>
      <c r="J788" s="2" t="str">
        <v>Synergize Cross-Platform Vortals</v>
      </c>
      <c r="K788" s="2" t="str">
        <v>Furniture</v>
      </c>
      <c r="L788" s="2" t="str">
        <v>Edwards Group</v>
      </c>
      <c r="M788" s="2">
        <v>87.18</v>
      </c>
      <c r="N788" s="16">
        <f t="shared" si="12"/>
        <v>7.8751469776104949E-2</v>
      </c>
    </row>
    <row r="789" spans="2:14" ht="14.4" customHeight="1" x14ac:dyDescent="0.3">
      <c r="B789" s="2" t="s">
        <v>794</v>
      </c>
      <c r="C789" s="3">
        <v>43855</v>
      </c>
      <c r="D789" s="2" t="s">
        <v>2011</v>
      </c>
      <c r="E789" s="2" t="s">
        <v>2022</v>
      </c>
      <c r="F789" s="4">
        <v>4143.72</v>
      </c>
      <c r="G789" s="5">
        <v>103.17</v>
      </c>
      <c r="H789" s="6">
        <v>8</v>
      </c>
      <c r="I789" s="2" t="s">
        <v>2117</v>
      </c>
      <c r="J789" s="2" t="str">
        <v>Monetize Collaborative Metrics</v>
      </c>
      <c r="K789" s="2" t="str">
        <v>Electronics</v>
      </c>
      <c r="L789" s="2" t="str">
        <v>Ramirez-Brown</v>
      </c>
      <c r="M789" s="2">
        <v>286.04000000000002</v>
      </c>
      <c r="N789" s="16">
        <f t="shared" si="12"/>
        <v>2.4897917812979641E-2</v>
      </c>
    </row>
    <row r="790" spans="2:14" ht="14.4" customHeight="1" x14ac:dyDescent="0.3">
      <c r="B790" s="2" t="s">
        <v>795</v>
      </c>
      <c r="C790" s="3">
        <v>44329</v>
      </c>
      <c r="D790" s="2" t="s">
        <v>2009</v>
      </c>
      <c r="E790" s="2" t="s">
        <v>2054</v>
      </c>
      <c r="F790" s="4">
        <v>2385.91</v>
      </c>
      <c r="G790" s="5">
        <v>970.71</v>
      </c>
      <c r="H790" s="6">
        <v>11</v>
      </c>
      <c r="I790" s="2" t="s">
        <v>2118</v>
      </c>
      <c r="J790" s="2" t="str">
        <v>Empower Killer Info-Mediaries</v>
      </c>
      <c r="K790" s="2" t="str">
        <v>Furniture</v>
      </c>
      <c r="L790" s="2" t="str">
        <v>Jones Ltd</v>
      </c>
      <c r="M790" s="2">
        <v>213.24</v>
      </c>
      <c r="N790" s="16">
        <f t="shared" si="12"/>
        <v>0.40685105473383326</v>
      </c>
    </row>
    <row r="791" spans="2:14" ht="14.4" customHeight="1" x14ac:dyDescent="0.3">
      <c r="B791" s="2" t="s">
        <v>796</v>
      </c>
      <c r="C791" s="3">
        <v>45478</v>
      </c>
      <c r="D791" s="2" t="s">
        <v>2010</v>
      </c>
      <c r="E791" s="2" t="s">
        <v>2023</v>
      </c>
      <c r="F791" s="4">
        <v>2480.5300000000002</v>
      </c>
      <c r="G791" s="5">
        <v>264.87</v>
      </c>
      <c r="H791" s="6">
        <v>15</v>
      </c>
      <c r="I791" s="2" t="s">
        <v>2116</v>
      </c>
      <c r="J791" s="2" t="str">
        <v>Leverage Cutting-Edge Vortals</v>
      </c>
      <c r="K791" s="2" t="str">
        <v>Electronics</v>
      </c>
      <c r="L791" s="2" t="str">
        <v>Robinson, Garrett and Chavez</v>
      </c>
      <c r="M791" s="2">
        <v>117.3</v>
      </c>
      <c r="N791" s="16">
        <f t="shared" si="12"/>
        <v>0.10677959952107009</v>
      </c>
    </row>
    <row r="792" spans="2:14" ht="14.4" customHeight="1" x14ac:dyDescent="0.3">
      <c r="B792" s="2" t="s">
        <v>797</v>
      </c>
      <c r="C792" s="3">
        <v>44144</v>
      </c>
      <c r="D792" s="2" t="s">
        <v>2011</v>
      </c>
      <c r="E792" s="2" t="s">
        <v>2037</v>
      </c>
      <c r="F792" s="4">
        <v>3748.27</v>
      </c>
      <c r="G792" s="5">
        <v>939.98</v>
      </c>
      <c r="H792" s="6">
        <v>18</v>
      </c>
      <c r="I792" s="2" t="s">
        <v>2116</v>
      </c>
      <c r="J792" s="2" t="str">
        <v>Utilize Back-End Models</v>
      </c>
      <c r="K792" s="2" t="str">
        <v>Furniture</v>
      </c>
      <c r="L792" s="2" t="str">
        <v>Lewis-Holden</v>
      </c>
      <c r="M792" s="2">
        <v>241.53</v>
      </c>
      <c r="N792" s="16">
        <f t="shared" si="12"/>
        <v>0.25077702513426192</v>
      </c>
    </row>
    <row r="793" spans="2:14" ht="14.4" customHeight="1" x14ac:dyDescent="0.3">
      <c r="B793" s="2" t="s">
        <v>798</v>
      </c>
      <c r="C793" s="3">
        <v>45510</v>
      </c>
      <c r="D793" s="2" t="s">
        <v>2012</v>
      </c>
      <c r="E793" s="2" t="s">
        <v>2063</v>
      </c>
      <c r="F793" s="4">
        <v>3035.89</v>
      </c>
      <c r="G793" s="5">
        <v>985.28</v>
      </c>
      <c r="H793" s="6">
        <v>13</v>
      </c>
      <c r="I793" s="2" t="s">
        <v>2118</v>
      </c>
      <c r="J793" s="2" t="str">
        <v>Unleash End-To-End Web Services</v>
      </c>
      <c r="K793" s="2" t="str">
        <v>Office Supplies</v>
      </c>
      <c r="L793" s="2" t="str">
        <v>Jones Ltd</v>
      </c>
      <c r="M793" s="2">
        <v>188.02</v>
      </c>
      <c r="N793" s="16">
        <f t="shared" si="12"/>
        <v>0.32454403815685023</v>
      </c>
    </row>
    <row r="794" spans="2:14" ht="14.4" customHeight="1" x14ac:dyDescent="0.3">
      <c r="B794" s="2" t="s">
        <v>799</v>
      </c>
      <c r="C794" s="3">
        <v>45551</v>
      </c>
      <c r="D794" s="2" t="s">
        <v>2012</v>
      </c>
      <c r="E794" s="2" t="s">
        <v>2072</v>
      </c>
      <c r="F794" s="4">
        <v>3983.37</v>
      </c>
      <c r="G794" s="5">
        <v>965.15</v>
      </c>
      <c r="H794" s="6">
        <v>10</v>
      </c>
      <c r="I794" s="2" t="s">
        <v>2116</v>
      </c>
      <c r="J794" s="2" t="str">
        <v>Evolve Innovative Web Services</v>
      </c>
      <c r="K794" s="2" t="str">
        <v>Furniture</v>
      </c>
      <c r="L794" s="2" t="str">
        <v>Bush Inc</v>
      </c>
      <c r="M794" s="2">
        <v>87.75</v>
      </c>
      <c r="N794" s="16">
        <f t="shared" si="12"/>
        <v>0.2422948408006286</v>
      </c>
    </row>
    <row r="795" spans="2:14" ht="14.4" customHeight="1" x14ac:dyDescent="0.3">
      <c r="B795" s="2" t="s">
        <v>800</v>
      </c>
      <c r="C795" s="3">
        <v>44660</v>
      </c>
      <c r="D795" s="2" t="s">
        <v>2011</v>
      </c>
      <c r="E795" s="2" t="s">
        <v>2075</v>
      </c>
      <c r="F795" s="4">
        <v>3991.86</v>
      </c>
      <c r="G795" s="5">
        <v>44.66</v>
      </c>
      <c r="H795" s="6">
        <v>1</v>
      </c>
      <c r="I795" s="2" t="s">
        <v>2118</v>
      </c>
      <c r="J795" s="2" t="str">
        <v>Reinvent Visionary Niches</v>
      </c>
      <c r="K795" s="2" t="str">
        <v>Furniture</v>
      </c>
      <c r="L795" s="2" t="str">
        <v>Huber-Richmond</v>
      </c>
      <c r="M795" s="2">
        <v>219.81</v>
      </c>
      <c r="N795" s="16">
        <f t="shared" si="12"/>
        <v>1.1187767106060833E-2</v>
      </c>
    </row>
    <row r="796" spans="2:14" ht="14.4" customHeight="1" x14ac:dyDescent="0.3">
      <c r="B796" s="2" t="s">
        <v>801</v>
      </c>
      <c r="C796" s="3">
        <v>44023</v>
      </c>
      <c r="D796" s="2" t="s">
        <v>2009</v>
      </c>
      <c r="E796" s="2" t="s">
        <v>2098</v>
      </c>
      <c r="F796" s="4">
        <v>506.65</v>
      </c>
      <c r="G796" s="5">
        <v>398.12</v>
      </c>
      <c r="H796" s="6">
        <v>13</v>
      </c>
      <c r="I796" s="2" t="s">
        <v>2116</v>
      </c>
      <c r="J796" s="2" t="str">
        <v>Deliver Viral Channels</v>
      </c>
      <c r="K796" s="2" t="str">
        <v>Furniture</v>
      </c>
      <c r="L796" s="2" t="str">
        <v>Parker LLC</v>
      </c>
      <c r="M796" s="2">
        <v>45.41</v>
      </c>
      <c r="N796" s="16">
        <f t="shared" si="12"/>
        <v>0.78578900621730985</v>
      </c>
    </row>
    <row r="797" spans="2:14" ht="14.4" customHeight="1" x14ac:dyDescent="0.3">
      <c r="B797" s="2" t="s">
        <v>802</v>
      </c>
      <c r="C797" s="3">
        <v>45469</v>
      </c>
      <c r="D797" s="2" t="s">
        <v>2011</v>
      </c>
      <c r="E797" s="2" t="s">
        <v>2098</v>
      </c>
      <c r="F797" s="4">
        <v>157.46</v>
      </c>
      <c r="G797" s="5">
        <v>424.18</v>
      </c>
      <c r="H797" s="6">
        <v>17</v>
      </c>
      <c r="I797" s="2" t="s">
        <v>2118</v>
      </c>
      <c r="J797" s="2" t="str">
        <v>Deliver Viral Channels</v>
      </c>
      <c r="K797" s="2" t="str">
        <v>Furniture</v>
      </c>
      <c r="L797" s="2" t="str">
        <v>Parker LLC</v>
      </c>
      <c r="M797" s="2">
        <v>45.41</v>
      </c>
      <c r="N797" s="16">
        <f t="shared" si="12"/>
        <v>2.6938905118760319</v>
      </c>
    </row>
    <row r="798" spans="2:14" ht="14.4" customHeight="1" x14ac:dyDescent="0.3">
      <c r="B798" s="2" t="s">
        <v>803</v>
      </c>
      <c r="C798" s="3">
        <v>45075</v>
      </c>
      <c r="D798" s="2" t="s">
        <v>2010</v>
      </c>
      <c r="E798" s="2" t="s">
        <v>2084</v>
      </c>
      <c r="F798" s="4">
        <v>2683.52</v>
      </c>
      <c r="G798" s="5">
        <v>74.2</v>
      </c>
      <c r="H798" s="6">
        <v>16</v>
      </c>
      <c r="I798" s="2" t="s">
        <v>2118</v>
      </c>
      <c r="J798" s="2" t="str">
        <v>Grow Synergistic Infrastructures</v>
      </c>
      <c r="K798" s="2" t="str">
        <v>Furniture</v>
      </c>
      <c r="L798" s="2" t="str">
        <v>Adams-Carter</v>
      </c>
      <c r="M798" s="2">
        <v>113.17</v>
      </c>
      <c r="N798" s="16">
        <f t="shared" si="12"/>
        <v>2.7650250417362271E-2</v>
      </c>
    </row>
    <row r="799" spans="2:14" ht="14.4" customHeight="1" x14ac:dyDescent="0.3">
      <c r="B799" s="2" t="s">
        <v>804</v>
      </c>
      <c r="C799" s="3">
        <v>45024</v>
      </c>
      <c r="D799" s="2" t="s">
        <v>2009</v>
      </c>
      <c r="E799" s="2" t="s">
        <v>2080</v>
      </c>
      <c r="F799" s="4">
        <v>113.49</v>
      </c>
      <c r="G799" s="5">
        <v>444.27</v>
      </c>
      <c r="H799" s="6">
        <v>9</v>
      </c>
      <c r="I799" s="2" t="s">
        <v>2118</v>
      </c>
      <c r="J799" s="2" t="str">
        <v>Scale Vertical Networks</v>
      </c>
      <c r="K799" s="2" t="str">
        <v>Furniture</v>
      </c>
      <c r="L799" s="2" t="str">
        <v>Lam, Wood and Jacobs</v>
      </c>
      <c r="M799" s="2">
        <v>133.24</v>
      </c>
      <c r="N799" s="16">
        <f t="shared" si="12"/>
        <v>3.9146180280200897</v>
      </c>
    </row>
    <row r="800" spans="2:14" ht="14.4" customHeight="1" x14ac:dyDescent="0.3">
      <c r="B800" s="2" t="s">
        <v>805</v>
      </c>
      <c r="C800" s="3">
        <v>44056</v>
      </c>
      <c r="D800" s="2" t="s">
        <v>2012</v>
      </c>
      <c r="E800" s="2" t="s">
        <v>2019</v>
      </c>
      <c r="F800" s="4">
        <v>1648.46</v>
      </c>
      <c r="G800" s="5">
        <v>635.36</v>
      </c>
      <c r="H800" s="6">
        <v>17</v>
      </c>
      <c r="I800" s="2" t="s">
        <v>2116</v>
      </c>
      <c r="J800" s="2" t="str">
        <v>Implement Clicks-And-Mortar Partnerships</v>
      </c>
      <c r="K800" s="2" t="str">
        <v>Electronics</v>
      </c>
      <c r="L800" s="2" t="str">
        <v>Smith Inc</v>
      </c>
      <c r="M800" s="2">
        <v>195.53</v>
      </c>
      <c r="N800" s="16">
        <f t="shared" si="12"/>
        <v>0.38542639797144002</v>
      </c>
    </row>
    <row r="801" spans="2:14" ht="14.4" customHeight="1" x14ac:dyDescent="0.3">
      <c r="B801" s="2" t="s">
        <v>806</v>
      </c>
      <c r="C801" s="3">
        <v>44206</v>
      </c>
      <c r="D801" s="2" t="s">
        <v>2010</v>
      </c>
      <c r="E801" s="2" t="s">
        <v>2091</v>
      </c>
      <c r="F801" s="4">
        <v>4126.26</v>
      </c>
      <c r="G801" s="5">
        <v>838.49</v>
      </c>
      <c r="H801" s="6">
        <v>6</v>
      </c>
      <c r="I801" s="2" t="s">
        <v>2118</v>
      </c>
      <c r="J801" s="2" t="str">
        <v>Synthesize Scalable Portals</v>
      </c>
      <c r="K801" s="2" t="str">
        <v>Furniture</v>
      </c>
      <c r="L801" s="2" t="str">
        <v>Singh, Villa and Flynn</v>
      </c>
      <c r="M801" s="2">
        <v>298.57</v>
      </c>
      <c r="N801" s="16">
        <f t="shared" si="12"/>
        <v>0.20320823215211836</v>
      </c>
    </row>
    <row r="802" spans="2:14" ht="14.4" customHeight="1" x14ac:dyDescent="0.3">
      <c r="B802" s="2" t="s">
        <v>807</v>
      </c>
      <c r="C802" s="3">
        <v>43856</v>
      </c>
      <c r="D802" s="2" t="s">
        <v>2012</v>
      </c>
      <c r="E802" s="2" t="s">
        <v>2043</v>
      </c>
      <c r="F802" s="4">
        <v>2264.6</v>
      </c>
      <c r="G802" s="5">
        <v>777.05</v>
      </c>
      <c r="H802" s="6">
        <v>16</v>
      </c>
      <c r="I802" s="2" t="s">
        <v>2116</v>
      </c>
      <c r="J802" s="2" t="str">
        <v>Brand Distributed Info-Mediaries</v>
      </c>
      <c r="K802" s="2" t="str">
        <v>Furniture</v>
      </c>
      <c r="L802" s="2" t="str">
        <v>Garcia Ltd</v>
      </c>
      <c r="M802" s="2">
        <v>114.48</v>
      </c>
      <c r="N802" s="16">
        <f t="shared" si="12"/>
        <v>0.34312902940916717</v>
      </c>
    </row>
    <row r="803" spans="2:14" ht="14.4" customHeight="1" x14ac:dyDescent="0.3">
      <c r="B803" s="2" t="s">
        <v>808</v>
      </c>
      <c r="C803" s="3">
        <v>44154</v>
      </c>
      <c r="D803" s="2" t="s">
        <v>2011</v>
      </c>
      <c r="E803" s="2" t="s">
        <v>2072</v>
      </c>
      <c r="F803" s="4">
        <v>4982.8900000000003</v>
      </c>
      <c r="G803" s="5">
        <v>396.84</v>
      </c>
      <c r="H803" s="6">
        <v>6</v>
      </c>
      <c r="I803" s="2" t="s">
        <v>2116</v>
      </c>
      <c r="J803" s="2" t="str">
        <v>Evolve Innovative Web Services</v>
      </c>
      <c r="K803" s="2" t="str">
        <v>Furniture</v>
      </c>
      <c r="L803" s="2" t="str">
        <v>Bush Inc</v>
      </c>
      <c r="M803" s="2">
        <v>87.75</v>
      </c>
      <c r="N803" s="16">
        <f t="shared" si="12"/>
        <v>7.9640529893294842E-2</v>
      </c>
    </row>
    <row r="804" spans="2:14" ht="14.4" customHeight="1" x14ac:dyDescent="0.3">
      <c r="B804" s="2" t="s">
        <v>809</v>
      </c>
      <c r="C804" s="3">
        <v>45453</v>
      </c>
      <c r="D804" s="2" t="s">
        <v>2011</v>
      </c>
      <c r="E804" s="2" t="s">
        <v>2016</v>
      </c>
      <c r="F804" s="4">
        <v>3430.68</v>
      </c>
      <c r="G804" s="5">
        <v>658.7</v>
      </c>
      <c r="H804" s="6">
        <v>4</v>
      </c>
      <c r="I804" s="2" t="s">
        <v>2117</v>
      </c>
      <c r="J804" s="2" t="str">
        <v>Revolutionize Efficient Niches</v>
      </c>
      <c r="K804" s="2" t="str">
        <v>Electronics</v>
      </c>
      <c r="L804" s="2" t="str">
        <v>Lopez-Torres</v>
      </c>
      <c r="M804" s="2">
        <v>23.02</v>
      </c>
      <c r="N804" s="16">
        <f t="shared" si="12"/>
        <v>0.19200275164107408</v>
      </c>
    </row>
    <row r="805" spans="2:14" ht="14.4" customHeight="1" x14ac:dyDescent="0.3">
      <c r="B805" s="2" t="s">
        <v>810</v>
      </c>
      <c r="C805" s="3">
        <v>44934</v>
      </c>
      <c r="D805" s="2" t="s">
        <v>2012</v>
      </c>
      <c r="E805" s="2" t="s">
        <v>2051</v>
      </c>
      <c r="F805" s="4">
        <v>1784.53</v>
      </c>
      <c r="G805" s="5">
        <v>204.36</v>
      </c>
      <c r="H805" s="6">
        <v>8</v>
      </c>
      <c r="I805" s="2" t="s">
        <v>2117</v>
      </c>
      <c r="J805" s="2" t="str">
        <v>Generate Front-End Functionalities</v>
      </c>
      <c r="K805" s="2" t="str">
        <v>Office Supplies</v>
      </c>
      <c r="L805" s="2" t="str">
        <v>Morales-Brown</v>
      </c>
      <c r="M805" s="2">
        <v>299.77</v>
      </c>
      <c r="N805" s="16">
        <f t="shared" si="12"/>
        <v>0.11451754803785871</v>
      </c>
    </row>
    <row r="806" spans="2:14" ht="14.4" customHeight="1" x14ac:dyDescent="0.3">
      <c r="B806" s="2" t="s">
        <v>811</v>
      </c>
      <c r="C806" s="3">
        <v>44534</v>
      </c>
      <c r="D806" s="2" t="s">
        <v>2009</v>
      </c>
      <c r="E806" s="2" t="s">
        <v>2027</v>
      </c>
      <c r="F806" s="4">
        <v>4015.19</v>
      </c>
      <c r="G806" s="5">
        <v>527.69000000000005</v>
      </c>
      <c r="H806" s="6">
        <v>10</v>
      </c>
      <c r="I806" s="2" t="s">
        <v>2116</v>
      </c>
      <c r="J806" s="2" t="str">
        <v>Monetize Value-Added Niches</v>
      </c>
      <c r="K806" s="2" t="str">
        <v>Office Supplies</v>
      </c>
      <c r="L806" s="2" t="str">
        <v>Foster, Velazquez and Lee</v>
      </c>
      <c r="M806" s="2">
        <v>171.51</v>
      </c>
      <c r="N806" s="16">
        <f t="shared" si="12"/>
        <v>0.13142341956420495</v>
      </c>
    </row>
    <row r="807" spans="2:14" ht="14.4" customHeight="1" x14ac:dyDescent="0.3">
      <c r="B807" s="2" t="s">
        <v>812</v>
      </c>
      <c r="C807" s="3">
        <v>44332</v>
      </c>
      <c r="D807" s="2" t="s">
        <v>2010</v>
      </c>
      <c r="E807" s="2" t="s">
        <v>2096</v>
      </c>
      <c r="F807" s="4">
        <v>2050.62</v>
      </c>
      <c r="G807" s="5">
        <v>678.2</v>
      </c>
      <c r="H807" s="6">
        <v>11</v>
      </c>
      <c r="I807" s="2" t="s">
        <v>2118</v>
      </c>
      <c r="J807" s="2" t="str">
        <v>Disintermediate Scalable Bandwidth</v>
      </c>
      <c r="K807" s="2" t="str">
        <v>Electronics</v>
      </c>
      <c r="L807" s="2" t="str">
        <v>Levy PLC</v>
      </c>
      <c r="M807" s="2">
        <v>19.86</v>
      </c>
      <c r="N807" s="16">
        <f t="shared" si="12"/>
        <v>0.3307292428631341</v>
      </c>
    </row>
    <row r="808" spans="2:14" ht="14.4" customHeight="1" x14ac:dyDescent="0.3">
      <c r="B808" s="2" t="s">
        <v>813</v>
      </c>
      <c r="C808" s="3">
        <v>45247</v>
      </c>
      <c r="D808" s="2" t="s">
        <v>2009</v>
      </c>
      <c r="E808" s="2" t="s">
        <v>2037</v>
      </c>
      <c r="F808" s="4">
        <v>2772.41</v>
      </c>
      <c r="G808" s="5">
        <v>565.88</v>
      </c>
      <c r="H808" s="6">
        <v>19</v>
      </c>
      <c r="I808" s="2" t="s">
        <v>2116</v>
      </c>
      <c r="J808" s="2" t="str">
        <v>Utilize Back-End Models</v>
      </c>
      <c r="K808" s="2" t="str">
        <v>Furniture</v>
      </c>
      <c r="L808" s="2" t="str">
        <v>Lewis-Holden</v>
      </c>
      <c r="M808" s="2">
        <v>241.53</v>
      </c>
      <c r="N808" s="16">
        <f t="shared" si="12"/>
        <v>0.20411122453028233</v>
      </c>
    </row>
    <row r="809" spans="2:14" ht="14.4" customHeight="1" x14ac:dyDescent="0.3">
      <c r="B809" s="2" t="s">
        <v>814</v>
      </c>
      <c r="C809" s="3">
        <v>44692</v>
      </c>
      <c r="D809" s="2" t="s">
        <v>2012</v>
      </c>
      <c r="E809" s="2" t="s">
        <v>2059</v>
      </c>
      <c r="F809" s="4">
        <v>2297.04</v>
      </c>
      <c r="G809" s="5">
        <v>886.95</v>
      </c>
      <c r="H809" s="6">
        <v>16</v>
      </c>
      <c r="I809" s="2" t="s">
        <v>2118</v>
      </c>
      <c r="J809" s="2" t="str">
        <v>Redefine Real-Time Convergence</v>
      </c>
      <c r="K809" s="2" t="str">
        <v>Electronics</v>
      </c>
      <c r="L809" s="2" t="str">
        <v>Hayes, Peters and Douglas</v>
      </c>
      <c r="M809" s="2">
        <v>78.260000000000005</v>
      </c>
      <c r="N809" s="16">
        <f t="shared" si="12"/>
        <v>0.38612736391181696</v>
      </c>
    </row>
    <row r="810" spans="2:14" ht="14.4" customHeight="1" x14ac:dyDescent="0.3">
      <c r="B810" s="2" t="s">
        <v>815</v>
      </c>
      <c r="C810" s="3">
        <v>44902</v>
      </c>
      <c r="D810" s="2" t="s">
        <v>2011</v>
      </c>
      <c r="E810" s="2" t="s">
        <v>2036</v>
      </c>
      <c r="F810" s="4">
        <v>4105.87</v>
      </c>
      <c r="G810" s="5">
        <v>713.69</v>
      </c>
      <c r="H810" s="6">
        <v>6</v>
      </c>
      <c r="I810" s="2" t="s">
        <v>2118</v>
      </c>
      <c r="J810" s="2" t="str">
        <v>Innovate Strategic Systems</v>
      </c>
      <c r="K810" s="2" t="str">
        <v>Office Supplies</v>
      </c>
      <c r="L810" s="2" t="str">
        <v>Mcfarland, Parker and Armstrong</v>
      </c>
      <c r="M810" s="2">
        <v>70.239999999999995</v>
      </c>
      <c r="N810" s="16">
        <f t="shared" si="12"/>
        <v>0.17382186966465088</v>
      </c>
    </row>
    <row r="811" spans="2:14" ht="14.4" customHeight="1" x14ac:dyDescent="0.3">
      <c r="B811" s="2" t="s">
        <v>816</v>
      </c>
      <c r="C811" s="3">
        <v>44878</v>
      </c>
      <c r="D811" s="2" t="s">
        <v>2011</v>
      </c>
      <c r="E811" s="2" t="s">
        <v>2019</v>
      </c>
      <c r="F811" s="4">
        <v>2014.33</v>
      </c>
      <c r="G811" s="5">
        <v>990</v>
      </c>
      <c r="H811" s="6">
        <v>11</v>
      </c>
      <c r="I811" s="2" t="s">
        <v>2117</v>
      </c>
      <c r="J811" s="2" t="str">
        <v>Implement Clicks-And-Mortar Partnerships</v>
      </c>
      <c r="K811" s="2" t="str">
        <v>Electronics</v>
      </c>
      <c r="L811" s="2" t="str">
        <v>Smith Inc</v>
      </c>
      <c r="M811" s="2">
        <v>195.53</v>
      </c>
      <c r="N811" s="16">
        <f t="shared" si="12"/>
        <v>0.49147855614521951</v>
      </c>
    </row>
    <row r="812" spans="2:14" ht="14.4" customHeight="1" x14ac:dyDescent="0.3">
      <c r="B812" s="2" t="s">
        <v>817</v>
      </c>
      <c r="C812" s="3">
        <v>45240</v>
      </c>
      <c r="D812" s="2" t="s">
        <v>2012</v>
      </c>
      <c r="E812" s="2" t="s">
        <v>2110</v>
      </c>
      <c r="F812" s="4">
        <v>1825.82</v>
      </c>
      <c r="G812" s="5">
        <v>683.49</v>
      </c>
      <c r="H812" s="6">
        <v>15</v>
      </c>
      <c r="I812" s="2" t="s">
        <v>2118</v>
      </c>
      <c r="J812" s="2" t="str">
        <v>Repurpose End-To-End Networks</v>
      </c>
      <c r="K812" s="2" t="str">
        <v>Office Supplies</v>
      </c>
      <c r="L812" s="2" t="str">
        <v>Torres-Rush</v>
      </c>
      <c r="M812" s="2">
        <v>97.02</v>
      </c>
      <c r="N812" s="16">
        <f t="shared" si="12"/>
        <v>0.37434686880415374</v>
      </c>
    </row>
    <row r="813" spans="2:14" ht="14.4" customHeight="1" x14ac:dyDescent="0.3">
      <c r="B813" s="2" t="s">
        <v>818</v>
      </c>
      <c r="C813" s="3">
        <v>44051</v>
      </c>
      <c r="D813" s="2" t="s">
        <v>2009</v>
      </c>
      <c r="E813" s="2" t="s">
        <v>2083</v>
      </c>
      <c r="F813" s="4">
        <v>2962.74</v>
      </c>
      <c r="G813" s="5">
        <v>948.92</v>
      </c>
      <c r="H813" s="6">
        <v>1</v>
      </c>
      <c r="I813" s="2" t="s">
        <v>2118</v>
      </c>
      <c r="J813" s="2" t="str">
        <v>Whiteboard Sticky Content</v>
      </c>
      <c r="K813" s="2" t="str">
        <v>Furniture</v>
      </c>
      <c r="L813" s="2" t="str">
        <v>Wolfe Group</v>
      </c>
      <c r="M813" s="2">
        <v>82.16</v>
      </c>
      <c r="N813" s="16">
        <f t="shared" si="12"/>
        <v>0.32028460141625659</v>
      </c>
    </row>
    <row r="814" spans="2:14" ht="14.4" customHeight="1" x14ac:dyDescent="0.3">
      <c r="B814" s="2" t="s">
        <v>819</v>
      </c>
      <c r="C814" s="3">
        <v>44847</v>
      </c>
      <c r="D814" s="2" t="s">
        <v>2009</v>
      </c>
      <c r="E814" s="2" t="s">
        <v>2028</v>
      </c>
      <c r="F814" s="4">
        <v>4226.3</v>
      </c>
      <c r="G814" s="5">
        <v>578.29999999999995</v>
      </c>
      <c r="H814" s="6">
        <v>14</v>
      </c>
      <c r="I814" s="2" t="s">
        <v>2118</v>
      </c>
      <c r="J814" s="2" t="str">
        <v>Synergize World-Class Networks</v>
      </c>
      <c r="K814" s="2" t="str">
        <v>Electronics</v>
      </c>
      <c r="L814" s="2" t="str">
        <v>Gomez-Lawrence</v>
      </c>
      <c r="M814" s="2">
        <v>72.37</v>
      </c>
      <c r="N814" s="16">
        <f t="shared" si="12"/>
        <v>0.13683363698743581</v>
      </c>
    </row>
    <row r="815" spans="2:14" ht="14.4" customHeight="1" x14ac:dyDescent="0.3">
      <c r="B815" s="2" t="s">
        <v>820</v>
      </c>
      <c r="C815" s="3">
        <v>44444</v>
      </c>
      <c r="D815" s="2" t="s">
        <v>2012</v>
      </c>
      <c r="E815" s="2" t="s">
        <v>2037</v>
      </c>
      <c r="F815" s="4">
        <v>183.59</v>
      </c>
      <c r="G815" s="5">
        <v>169.17</v>
      </c>
      <c r="H815" s="6">
        <v>4</v>
      </c>
      <c r="I815" s="2" t="s">
        <v>2116</v>
      </c>
      <c r="J815" s="2" t="str">
        <v>Utilize Back-End Models</v>
      </c>
      <c r="K815" s="2" t="str">
        <v>Furniture</v>
      </c>
      <c r="L815" s="2" t="str">
        <v>Lewis-Holden</v>
      </c>
      <c r="M815" s="2">
        <v>241.53</v>
      </c>
      <c r="N815" s="16">
        <f t="shared" si="12"/>
        <v>0.92145541696170807</v>
      </c>
    </row>
    <row r="816" spans="2:14" ht="14.4" customHeight="1" x14ac:dyDescent="0.3">
      <c r="B816" s="2" t="s">
        <v>821</v>
      </c>
      <c r="C816" s="3">
        <v>45540</v>
      </c>
      <c r="D816" s="2" t="s">
        <v>2011</v>
      </c>
      <c r="E816" s="2" t="s">
        <v>2100</v>
      </c>
      <c r="F816" s="4">
        <v>182.18</v>
      </c>
      <c r="G816" s="5">
        <v>259.27999999999997</v>
      </c>
      <c r="H816" s="6">
        <v>2</v>
      </c>
      <c r="I816" s="2" t="s">
        <v>2118</v>
      </c>
      <c r="J816" s="2" t="str">
        <v>Strategize Best-Of-Breed Web-Readiness</v>
      </c>
      <c r="K816" s="2" t="str">
        <v>Office Supplies</v>
      </c>
      <c r="L816" s="2" t="str">
        <v>Morris, King and Ayers</v>
      </c>
      <c r="M816" s="2">
        <v>220.16</v>
      </c>
      <c r="N816" s="16">
        <f t="shared" si="12"/>
        <v>1.4232078164452737</v>
      </c>
    </row>
    <row r="817" spans="2:14" ht="14.4" customHeight="1" x14ac:dyDescent="0.3">
      <c r="B817" s="2" t="s">
        <v>822</v>
      </c>
      <c r="C817" s="3">
        <v>44601</v>
      </c>
      <c r="D817" s="2" t="s">
        <v>2009</v>
      </c>
      <c r="E817" s="2" t="s">
        <v>2041</v>
      </c>
      <c r="F817" s="4">
        <v>4100.79</v>
      </c>
      <c r="G817" s="5">
        <v>778.51</v>
      </c>
      <c r="H817" s="6">
        <v>9</v>
      </c>
      <c r="I817" s="2" t="s">
        <v>2117</v>
      </c>
      <c r="J817" s="2" t="str">
        <v>Expedite Synergistic Web-Readiness</v>
      </c>
      <c r="K817" s="2" t="str">
        <v>Electronics</v>
      </c>
      <c r="L817" s="2" t="str">
        <v>Dunlap, Carpenter and Monroe</v>
      </c>
      <c r="M817" s="2">
        <v>289.66000000000003</v>
      </c>
      <c r="N817" s="16">
        <f t="shared" si="12"/>
        <v>0.18984390812501981</v>
      </c>
    </row>
    <row r="818" spans="2:14" ht="14.4" customHeight="1" x14ac:dyDescent="0.3">
      <c r="B818" s="2" t="s">
        <v>823</v>
      </c>
      <c r="C818" s="3">
        <v>44174</v>
      </c>
      <c r="D818" s="2" t="s">
        <v>2011</v>
      </c>
      <c r="E818" s="2" t="s">
        <v>2025</v>
      </c>
      <c r="F818" s="4">
        <v>1065.23</v>
      </c>
      <c r="G818" s="5">
        <v>183.92</v>
      </c>
      <c r="H818" s="6">
        <v>14</v>
      </c>
      <c r="I818" s="2" t="s">
        <v>2116</v>
      </c>
      <c r="J818" s="2" t="str">
        <v>Streamline Innovative Architectures</v>
      </c>
      <c r="K818" s="2" t="str">
        <v>Furniture</v>
      </c>
      <c r="L818" s="2" t="str">
        <v>Price, Valentine and Lutz</v>
      </c>
      <c r="M818" s="2">
        <v>291.14999999999998</v>
      </c>
      <c r="N818" s="16">
        <f t="shared" si="12"/>
        <v>0.1726575481351445</v>
      </c>
    </row>
    <row r="819" spans="2:14" ht="14.4" customHeight="1" x14ac:dyDescent="0.3">
      <c r="B819" s="2" t="s">
        <v>824</v>
      </c>
      <c r="C819" s="3">
        <v>44187</v>
      </c>
      <c r="D819" s="2" t="s">
        <v>2010</v>
      </c>
      <c r="E819" s="2" t="s">
        <v>2108</v>
      </c>
      <c r="F819" s="4">
        <v>1245.19</v>
      </c>
      <c r="G819" s="5">
        <v>451.14</v>
      </c>
      <c r="H819" s="6">
        <v>10</v>
      </c>
      <c r="I819" s="2" t="s">
        <v>2118</v>
      </c>
      <c r="J819" s="2" t="str">
        <v>Whiteboard B2B Content</v>
      </c>
      <c r="K819" s="2" t="str">
        <v>Office Supplies</v>
      </c>
      <c r="L819" s="2" t="str">
        <v>Romero PLC</v>
      </c>
      <c r="M819" s="2">
        <v>93.81</v>
      </c>
      <c r="N819" s="16">
        <f t="shared" si="12"/>
        <v>0.36230615408090328</v>
      </c>
    </row>
    <row r="820" spans="2:14" ht="14.4" customHeight="1" x14ac:dyDescent="0.3">
      <c r="B820" s="2" t="s">
        <v>825</v>
      </c>
      <c r="C820" s="3">
        <v>45063</v>
      </c>
      <c r="D820" s="2" t="s">
        <v>2012</v>
      </c>
      <c r="E820" s="2" t="s">
        <v>2051</v>
      </c>
      <c r="F820" s="4">
        <v>4016.5</v>
      </c>
      <c r="G820" s="5">
        <v>15.36</v>
      </c>
      <c r="H820" s="6">
        <v>12</v>
      </c>
      <c r="I820" s="2" t="s">
        <v>2118</v>
      </c>
      <c r="J820" s="2" t="str">
        <v>Generate Front-End Functionalities</v>
      </c>
      <c r="K820" s="2" t="str">
        <v>Office Supplies</v>
      </c>
      <c r="L820" s="2" t="str">
        <v>Morales-Brown</v>
      </c>
      <c r="M820" s="2">
        <v>299.77</v>
      </c>
      <c r="N820" s="16">
        <f t="shared" si="12"/>
        <v>3.8242250715797336E-3</v>
      </c>
    </row>
    <row r="821" spans="2:14" ht="14.4" customHeight="1" x14ac:dyDescent="0.3">
      <c r="B821" s="2" t="s">
        <v>826</v>
      </c>
      <c r="C821" s="3">
        <v>44737</v>
      </c>
      <c r="D821" s="2" t="s">
        <v>2012</v>
      </c>
      <c r="E821" s="2" t="s">
        <v>2017</v>
      </c>
      <c r="F821" s="4">
        <v>4015.14</v>
      </c>
      <c r="G821" s="5">
        <v>486.95</v>
      </c>
      <c r="H821" s="6">
        <v>15</v>
      </c>
      <c r="I821" s="2" t="s">
        <v>2116</v>
      </c>
      <c r="J821" s="2" t="str">
        <v>Target Bricks-And-Clicks Channels</v>
      </c>
      <c r="K821" s="2" t="str">
        <v>Electronics</v>
      </c>
      <c r="L821" s="2" t="str">
        <v>Dunn, Christensen and Meyer</v>
      </c>
      <c r="M821" s="2">
        <v>126.86</v>
      </c>
      <c r="N821" s="16">
        <f t="shared" si="12"/>
        <v>0.1212784610250203</v>
      </c>
    </row>
    <row r="822" spans="2:14" ht="14.4" customHeight="1" x14ac:dyDescent="0.3">
      <c r="B822" s="2" t="s">
        <v>827</v>
      </c>
      <c r="C822" s="3">
        <v>44639</v>
      </c>
      <c r="D822" s="2" t="s">
        <v>2009</v>
      </c>
      <c r="E822" s="2" t="s">
        <v>2028</v>
      </c>
      <c r="F822" s="4">
        <v>4166.99</v>
      </c>
      <c r="G822" s="5">
        <v>800.24</v>
      </c>
      <c r="H822" s="6">
        <v>11</v>
      </c>
      <c r="I822" s="2" t="s">
        <v>2117</v>
      </c>
      <c r="J822" s="2" t="str">
        <v>Synergize World-Class Networks</v>
      </c>
      <c r="K822" s="2" t="str">
        <v>Electronics</v>
      </c>
      <c r="L822" s="2" t="str">
        <v>Gomez-Lawrence</v>
      </c>
      <c r="M822" s="2">
        <v>72.37</v>
      </c>
      <c r="N822" s="16">
        <f t="shared" si="12"/>
        <v>0.19204269748667505</v>
      </c>
    </row>
    <row r="823" spans="2:14" ht="14.4" customHeight="1" x14ac:dyDescent="0.3">
      <c r="B823" s="2" t="s">
        <v>828</v>
      </c>
      <c r="C823" s="3">
        <v>45280</v>
      </c>
      <c r="D823" s="2" t="s">
        <v>2012</v>
      </c>
      <c r="E823" s="2" t="s">
        <v>2045</v>
      </c>
      <c r="F823" s="4">
        <v>445.31</v>
      </c>
      <c r="G823" s="5">
        <v>15.17</v>
      </c>
      <c r="H823" s="6">
        <v>10</v>
      </c>
      <c r="I823" s="2" t="s">
        <v>2116</v>
      </c>
      <c r="J823" s="2" t="str">
        <v>Leverage Scalable Interfaces</v>
      </c>
      <c r="K823" s="2" t="str">
        <v>Office Supplies</v>
      </c>
      <c r="L823" s="2" t="str">
        <v>Kaufman-Jones</v>
      </c>
      <c r="M823" s="2">
        <v>73.33</v>
      </c>
      <c r="N823" s="16">
        <f t="shared" si="12"/>
        <v>3.4066156160876694E-2</v>
      </c>
    </row>
    <row r="824" spans="2:14" ht="14.4" customHeight="1" x14ac:dyDescent="0.3">
      <c r="B824" s="2" t="s">
        <v>829</v>
      </c>
      <c r="C824" s="3">
        <v>44306</v>
      </c>
      <c r="D824" s="2" t="s">
        <v>2009</v>
      </c>
      <c r="E824" s="2" t="s">
        <v>2040</v>
      </c>
      <c r="F824" s="4">
        <v>3939.14</v>
      </c>
      <c r="G824" s="5">
        <v>86.49</v>
      </c>
      <c r="H824" s="6">
        <v>12</v>
      </c>
      <c r="I824" s="2" t="s">
        <v>2118</v>
      </c>
      <c r="J824" s="2" t="str">
        <v>Synergize End-To-End Supply-Chains</v>
      </c>
      <c r="K824" s="2" t="str">
        <v>Office Supplies</v>
      </c>
      <c r="L824" s="2" t="str">
        <v>Higgins-Espinoza</v>
      </c>
      <c r="M824" s="2">
        <v>279.8</v>
      </c>
      <c r="N824" s="16">
        <f t="shared" si="12"/>
        <v>2.195656920038384E-2</v>
      </c>
    </row>
    <row r="825" spans="2:14" ht="14.4" customHeight="1" x14ac:dyDescent="0.3">
      <c r="B825" s="2" t="s">
        <v>830</v>
      </c>
      <c r="C825" s="3">
        <v>44537</v>
      </c>
      <c r="D825" s="2" t="s">
        <v>2011</v>
      </c>
      <c r="E825" s="2" t="s">
        <v>2077</v>
      </c>
      <c r="F825" s="4">
        <v>901.69</v>
      </c>
      <c r="G825" s="5">
        <v>438.77</v>
      </c>
      <c r="H825" s="6">
        <v>9</v>
      </c>
      <c r="I825" s="2" t="s">
        <v>2118</v>
      </c>
      <c r="J825" s="2" t="str">
        <v>Synthesize Wireless Initiatives</v>
      </c>
      <c r="K825" s="2" t="str">
        <v>Electronics</v>
      </c>
      <c r="L825" s="2" t="str">
        <v>Mosley Ltd</v>
      </c>
      <c r="M825" s="2">
        <v>162.69999999999999</v>
      </c>
      <c r="N825" s="16">
        <f t="shared" si="12"/>
        <v>0.48660847963268966</v>
      </c>
    </row>
    <row r="826" spans="2:14" ht="14.4" customHeight="1" x14ac:dyDescent="0.3">
      <c r="B826" s="2" t="s">
        <v>831</v>
      </c>
      <c r="C826" s="3">
        <v>45149</v>
      </c>
      <c r="D826" s="2" t="s">
        <v>2011</v>
      </c>
      <c r="E826" s="2" t="s">
        <v>2020</v>
      </c>
      <c r="F826" s="4">
        <v>4416.37</v>
      </c>
      <c r="G826" s="5">
        <v>980.94</v>
      </c>
      <c r="H826" s="6">
        <v>10</v>
      </c>
      <c r="I826" s="2" t="s">
        <v>2116</v>
      </c>
      <c r="J826" s="2" t="str">
        <v>Harness Revolutionary Interfaces</v>
      </c>
      <c r="K826" s="2" t="str">
        <v>Furniture</v>
      </c>
      <c r="L826" s="2" t="str">
        <v>Davis, Short and Nguyen</v>
      </c>
      <c r="M826" s="2">
        <v>26.49</v>
      </c>
      <c r="N826" s="16">
        <f t="shared" si="12"/>
        <v>0.22211454203338943</v>
      </c>
    </row>
    <row r="827" spans="2:14" ht="14.4" customHeight="1" x14ac:dyDescent="0.3">
      <c r="B827" s="2" t="s">
        <v>832</v>
      </c>
      <c r="C827" s="3">
        <v>44413</v>
      </c>
      <c r="D827" s="2" t="s">
        <v>2009</v>
      </c>
      <c r="E827" s="2" t="s">
        <v>2063</v>
      </c>
      <c r="F827" s="4">
        <v>3257.42</v>
      </c>
      <c r="G827" s="5">
        <v>851.55</v>
      </c>
      <c r="H827" s="6">
        <v>18</v>
      </c>
      <c r="I827" s="2" t="s">
        <v>2117</v>
      </c>
      <c r="J827" s="2" t="str">
        <v>Unleash End-To-End Web Services</v>
      </c>
      <c r="K827" s="2" t="str">
        <v>Office Supplies</v>
      </c>
      <c r="L827" s="2" t="str">
        <v>Jones Ltd</v>
      </c>
      <c r="M827" s="2">
        <v>188.02</v>
      </c>
      <c r="N827" s="16">
        <f t="shared" si="12"/>
        <v>0.2614185459658257</v>
      </c>
    </row>
    <row r="828" spans="2:14" ht="14.4" customHeight="1" x14ac:dyDescent="0.3">
      <c r="B828" s="2" t="s">
        <v>833</v>
      </c>
      <c r="C828" s="3">
        <v>44058</v>
      </c>
      <c r="D828" s="2" t="s">
        <v>2009</v>
      </c>
      <c r="E828" s="2" t="s">
        <v>2065</v>
      </c>
      <c r="F828" s="4">
        <v>4760.43</v>
      </c>
      <c r="G828" s="5">
        <v>179.58</v>
      </c>
      <c r="H828" s="6">
        <v>15</v>
      </c>
      <c r="I828" s="2" t="s">
        <v>2117</v>
      </c>
      <c r="J828" s="2" t="str">
        <v>Re-Contextualize Integrated Info-Mediaries</v>
      </c>
      <c r="K828" s="2" t="str">
        <v>Electronics</v>
      </c>
      <c r="L828" s="2" t="str">
        <v>Jones-Schroeder</v>
      </c>
      <c r="M828" s="2">
        <v>26.02</v>
      </c>
      <c r="N828" s="16">
        <f t="shared" si="12"/>
        <v>3.7723482962673541E-2</v>
      </c>
    </row>
    <row r="829" spans="2:14" ht="14.4" customHeight="1" x14ac:dyDescent="0.3">
      <c r="B829" s="2" t="s">
        <v>834</v>
      </c>
      <c r="C829" s="3">
        <v>45012</v>
      </c>
      <c r="D829" s="2" t="s">
        <v>2009</v>
      </c>
      <c r="E829" s="2" t="s">
        <v>2095</v>
      </c>
      <c r="F829" s="4">
        <v>2575.96</v>
      </c>
      <c r="G829" s="5">
        <v>770.97</v>
      </c>
      <c r="H829" s="6">
        <v>3</v>
      </c>
      <c r="I829" s="2" t="s">
        <v>2117</v>
      </c>
      <c r="J829" s="2" t="str">
        <v>Envisioneer B2B Users</v>
      </c>
      <c r="K829" s="2" t="str">
        <v>Office Supplies</v>
      </c>
      <c r="L829" s="2" t="str">
        <v>Rogers Group</v>
      </c>
      <c r="M829" s="2">
        <v>239.16</v>
      </c>
      <c r="N829" s="16">
        <f t="shared" si="12"/>
        <v>0.29929424369943636</v>
      </c>
    </row>
    <row r="830" spans="2:14" ht="14.4" customHeight="1" x14ac:dyDescent="0.3">
      <c r="B830" s="2" t="s">
        <v>835</v>
      </c>
      <c r="C830" s="3">
        <v>45230</v>
      </c>
      <c r="D830" s="2" t="s">
        <v>2010</v>
      </c>
      <c r="E830" s="2" t="s">
        <v>2107</v>
      </c>
      <c r="F830" s="4">
        <v>3755.49</v>
      </c>
      <c r="G830" s="5">
        <v>955.56</v>
      </c>
      <c r="H830" s="6">
        <v>17</v>
      </c>
      <c r="I830" s="2" t="s">
        <v>2116</v>
      </c>
      <c r="J830" s="2" t="str">
        <v>Extend Bricks-And-Clicks Niches</v>
      </c>
      <c r="K830" s="2" t="str">
        <v>Office Supplies</v>
      </c>
      <c r="L830" s="2" t="str">
        <v>Hernandez-Rios</v>
      </c>
      <c r="M830" s="2">
        <v>65.989999999999995</v>
      </c>
      <c r="N830" s="16">
        <f t="shared" si="12"/>
        <v>0.25444349472372446</v>
      </c>
    </row>
    <row r="831" spans="2:14" ht="14.4" customHeight="1" x14ac:dyDescent="0.3">
      <c r="B831" s="2" t="s">
        <v>836</v>
      </c>
      <c r="C831" s="3">
        <v>43980</v>
      </c>
      <c r="D831" s="2" t="s">
        <v>2010</v>
      </c>
      <c r="E831" s="2" t="s">
        <v>2044</v>
      </c>
      <c r="F831" s="4">
        <v>2821.2</v>
      </c>
      <c r="G831" s="5">
        <v>603.79</v>
      </c>
      <c r="H831" s="6">
        <v>18</v>
      </c>
      <c r="I831" s="2" t="s">
        <v>2117</v>
      </c>
      <c r="J831" s="2" t="str">
        <v>Grow Back-End Supply-Chains</v>
      </c>
      <c r="K831" s="2" t="str">
        <v>Electronics</v>
      </c>
      <c r="L831" s="2" t="str">
        <v>Green LLC</v>
      </c>
      <c r="M831" s="2">
        <v>140.08000000000001</v>
      </c>
      <c r="N831" s="16">
        <f t="shared" si="12"/>
        <v>0.21401885722387637</v>
      </c>
    </row>
    <row r="832" spans="2:14" ht="14.4" customHeight="1" x14ac:dyDescent="0.3">
      <c r="B832" s="2" t="s">
        <v>837</v>
      </c>
      <c r="C832" s="3">
        <v>44821</v>
      </c>
      <c r="D832" s="2" t="s">
        <v>2009</v>
      </c>
      <c r="E832" s="2" t="s">
        <v>2089</v>
      </c>
      <c r="F832" s="4">
        <v>547.61</v>
      </c>
      <c r="G832" s="5">
        <v>286.72000000000003</v>
      </c>
      <c r="H832" s="6">
        <v>13</v>
      </c>
      <c r="I832" s="2" t="s">
        <v>2118</v>
      </c>
      <c r="J832" s="2" t="str">
        <v>Morph World-Class Synergies</v>
      </c>
      <c r="K832" s="2" t="str">
        <v>Electronics</v>
      </c>
      <c r="L832" s="2" t="str">
        <v>Bryant Ltd</v>
      </c>
      <c r="M832" s="2">
        <v>20.69</v>
      </c>
      <c r="N832" s="16">
        <f t="shared" si="12"/>
        <v>0.52358430269717504</v>
      </c>
    </row>
    <row r="833" spans="2:14" ht="14.4" customHeight="1" x14ac:dyDescent="0.3">
      <c r="B833" s="2" t="s">
        <v>838</v>
      </c>
      <c r="C833" s="3">
        <v>44490</v>
      </c>
      <c r="D833" s="2" t="s">
        <v>2011</v>
      </c>
      <c r="E833" s="2" t="s">
        <v>2068</v>
      </c>
      <c r="F833" s="4">
        <v>1345.71</v>
      </c>
      <c r="G833" s="5">
        <v>673.41</v>
      </c>
      <c r="H833" s="6">
        <v>2</v>
      </c>
      <c r="I833" s="2" t="s">
        <v>2118</v>
      </c>
      <c r="J833" s="2" t="str">
        <v>E-Enable Virtual Methodologies</v>
      </c>
      <c r="K833" s="2" t="str">
        <v>Office Supplies</v>
      </c>
      <c r="L833" s="2" t="str">
        <v>Floyd-Love</v>
      </c>
      <c r="M833" s="2">
        <v>283.64999999999998</v>
      </c>
      <c r="N833" s="16">
        <f t="shared" si="12"/>
        <v>0.50041242169561051</v>
      </c>
    </row>
    <row r="834" spans="2:14" ht="14.4" customHeight="1" x14ac:dyDescent="0.3">
      <c r="B834" s="2" t="s">
        <v>839</v>
      </c>
      <c r="C834" s="3">
        <v>44149</v>
      </c>
      <c r="D834" s="2" t="s">
        <v>2009</v>
      </c>
      <c r="E834" s="2" t="s">
        <v>2083</v>
      </c>
      <c r="F834" s="4">
        <v>4341.67</v>
      </c>
      <c r="G834" s="5">
        <v>75.819999999999993</v>
      </c>
      <c r="H834" s="6">
        <v>8</v>
      </c>
      <c r="I834" s="2" t="s">
        <v>2116</v>
      </c>
      <c r="J834" s="2" t="str">
        <v>Whiteboard Sticky Content</v>
      </c>
      <c r="K834" s="2" t="str">
        <v>Furniture</v>
      </c>
      <c r="L834" s="2" t="str">
        <v>Wolfe Group</v>
      </c>
      <c r="M834" s="2">
        <v>82.16</v>
      </c>
      <c r="N834" s="16">
        <f t="shared" si="12"/>
        <v>1.7463326323741785E-2</v>
      </c>
    </row>
    <row r="835" spans="2:14" ht="14.4" customHeight="1" x14ac:dyDescent="0.3">
      <c r="B835" s="2" t="s">
        <v>840</v>
      </c>
      <c r="C835" s="3">
        <v>45268</v>
      </c>
      <c r="D835" s="2" t="s">
        <v>2009</v>
      </c>
      <c r="E835" s="2" t="s">
        <v>2013</v>
      </c>
      <c r="F835" s="4">
        <v>2747.85</v>
      </c>
      <c r="G835" s="5">
        <v>276.94</v>
      </c>
      <c r="H835" s="6">
        <v>12</v>
      </c>
      <c r="I835" s="2" t="s">
        <v>2116</v>
      </c>
      <c r="J835" s="2" t="str">
        <v>Re-Intermediate Seamless Applications</v>
      </c>
      <c r="K835" s="2" t="str">
        <v>Office Supplies</v>
      </c>
      <c r="L835" s="2" t="str">
        <v>Welch-Reed</v>
      </c>
      <c r="M835" s="2">
        <v>45.82</v>
      </c>
      <c r="N835" s="16">
        <f t="shared" si="12"/>
        <v>0.10078424950415781</v>
      </c>
    </row>
    <row r="836" spans="2:14" ht="14.4" customHeight="1" x14ac:dyDescent="0.3">
      <c r="B836" s="2" t="s">
        <v>841</v>
      </c>
      <c r="C836" s="3">
        <v>44523</v>
      </c>
      <c r="D836" s="2" t="s">
        <v>2009</v>
      </c>
      <c r="E836" s="2" t="s">
        <v>2080</v>
      </c>
      <c r="F836" s="4">
        <v>2052.84</v>
      </c>
      <c r="G836" s="5">
        <v>200.44</v>
      </c>
      <c r="H836" s="6">
        <v>7</v>
      </c>
      <c r="I836" s="2" t="s">
        <v>2118</v>
      </c>
      <c r="J836" s="2" t="str">
        <v>Scale Vertical Networks</v>
      </c>
      <c r="K836" s="2" t="str">
        <v>Furniture</v>
      </c>
      <c r="L836" s="2" t="str">
        <v>Lam, Wood and Jacobs</v>
      </c>
      <c r="M836" s="2">
        <v>133.24</v>
      </c>
      <c r="N836" s="16">
        <f t="shared" si="12"/>
        <v>9.7640342160129373E-2</v>
      </c>
    </row>
    <row r="837" spans="2:14" ht="14.4" customHeight="1" x14ac:dyDescent="0.3">
      <c r="B837" s="2" t="s">
        <v>842</v>
      </c>
      <c r="C837" s="3">
        <v>44180</v>
      </c>
      <c r="D837" s="2" t="s">
        <v>2010</v>
      </c>
      <c r="E837" s="2" t="s">
        <v>2061</v>
      </c>
      <c r="F837" s="4">
        <v>2623.84</v>
      </c>
      <c r="G837" s="5">
        <v>692.04</v>
      </c>
      <c r="H837" s="6">
        <v>14</v>
      </c>
      <c r="I837" s="2" t="s">
        <v>2116</v>
      </c>
      <c r="J837" s="2" t="str">
        <v>Optimize Collaborative Initiatives</v>
      </c>
      <c r="K837" s="2" t="str">
        <v>Electronics</v>
      </c>
      <c r="L837" s="2" t="str">
        <v>Adkins Ltd</v>
      </c>
      <c r="M837" s="2">
        <v>34.46</v>
      </c>
      <c r="N837" s="16">
        <f t="shared" ref="N837:N900" si="13">(G837/F837)</f>
        <v>0.26375083846576008</v>
      </c>
    </row>
    <row r="838" spans="2:14" ht="14.4" customHeight="1" x14ac:dyDescent="0.3">
      <c r="B838" s="2" t="s">
        <v>843</v>
      </c>
      <c r="C838" s="3">
        <v>44314</v>
      </c>
      <c r="D838" s="2" t="s">
        <v>2012</v>
      </c>
      <c r="E838" s="2" t="s">
        <v>2108</v>
      </c>
      <c r="F838" s="4">
        <v>4245.88</v>
      </c>
      <c r="G838" s="5">
        <v>212.88</v>
      </c>
      <c r="H838" s="6">
        <v>13</v>
      </c>
      <c r="I838" s="2" t="s">
        <v>2116</v>
      </c>
      <c r="J838" s="2" t="str">
        <v>Whiteboard B2B Content</v>
      </c>
      <c r="K838" s="2" t="str">
        <v>Office Supplies</v>
      </c>
      <c r="L838" s="2" t="str">
        <v>Romero PLC</v>
      </c>
      <c r="M838" s="2">
        <v>93.81</v>
      </c>
      <c r="N838" s="16">
        <f t="shared" si="13"/>
        <v>5.0138016147418203E-2</v>
      </c>
    </row>
    <row r="839" spans="2:14" ht="14.4" customHeight="1" x14ac:dyDescent="0.3">
      <c r="B839" s="2" t="s">
        <v>844</v>
      </c>
      <c r="C839" s="3">
        <v>44018</v>
      </c>
      <c r="D839" s="2" t="s">
        <v>2009</v>
      </c>
      <c r="E839" s="2" t="s">
        <v>2076</v>
      </c>
      <c r="F839" s="4">
        <v>360.58</v>
      </c>
      <c r="G839" s="5">
        <v>10.86</v>
      </c>
      <c r="H839" s="6">
        <v>11</v>
      </c>
      <c r="I839" s="2" t="s">
        <v>2117</v>
      </c>
      <c r="J839" s="2" t="str">
        <v>Deliver Extensible Partnerships</v>
      </c>
      <c r="K839" s="2" t="str">
        <v>Furniture</v>
      </c>
      <c r="L839" s="2" t="str">
        <v>Martin, Paul and Salazar</v>
      </c>
      <c r="M839" s="2">
        <v>43.76</v>
      </c>
      <c r="N839" s="16">
        <f t="shared" si="13"/>
        <v>3.011814299184647E-2</v>
      </c>
    </row>
    <row r="840" spans="2:14" ht="14.4" customHeight="1" x14ac:dyDescent="0.3">
      <c r="B840" s="2" t="s">
        <v>845</v>
      </c>
      <c r="C840" s="3">
        <v>43912</v>
      </c>
      <c r="D840" s="2" t="s">
        <v>2011</v>
      </c>
      <c r="E840" s="2" t="s">
        <v>2020</v>
      </c>
      <c r="F840" s="4">
        <v>1786.23</v>
      </c>
      <c r="G840" s="5">
        <v>127.93</v>
      </c>
      <c r="H840" s="6">
        <v>11</v>
      </c>
      <c r="I840" s="2" t="s">
        <v>2117</v>
      </c>
      <c r="J840" s="2" t="str">
        <v>Harness Revolutionary Interfaces</v>
      </c>
      <c r="K840" s="2" t="str">
        <v>Furniture</v>
      </c>
      <c r="L840" s="2" t="str">
        <v>Davis, Short and Nguyen</v>
      </c>
      <c r="M840" s="2">
        <v>26.49</v>
      </c>
      <c r="N840" s="16">
        <f t="shared" si="13"/>
        <v>7.16201161104673E-2</v>
      </c>
    </row>
    <row r="841" spans="2:14" ht="14.4" customHeight="1" x14ac:dyDescent="0.3">
      <c r="B841" s="2" t="s">
        <v>846</v>
      </c>
      <c r="C841" s="3">
        <v>44836</v>
      </c>
      <c r="D841" s="2" t="s">
        <v>2010</v>
      </c>
      <c r="E841" s="2" t="s">
        <v>2034</v>
      </c>
      <c r="F841" s="4">
        <v>775</v>
      </c>
      <c r="G841" s="5">
        <v>457.09</v>
      </c>
      <c r="H841" s="6">
        <v>16</v>
      </c>
      <c r="I841" s="2" t="s">
        <v>2117</v>
      </c>
      <c r="J841" s="2" t="str">
        <v>Utilize Virtual Partnerships</v>
      </c>
      <c r="K841" s="2" t="str">
        <v>Furniture</v>
      </c>
      <c r="L841" s="2" t="str">
        <v>Smith, Diaz and Heath</v>
      </c>
      <c r="M841" s="2">
        <v>193.02</v>
      </c>
      <c r="N841" s="16">
        <f t="shared" si="13"/>
        <v>0.58979354838709674</v>
      </c>
    </row>
    <row r="842" spans="2:14" ht="14.4" customHeight="1" x14ac:dyDescent="0.3">
      <c r="B842" s="2" t="s">
        <v>847</v>
      </c>
      <c r="C842" s="3">
        <v>43913</v>
      </c>
      <c r="D842" s="2" t="s">
        <v>2009</v>
      </c>
      <c r="E842" s="2" t="s">
        <v>2079</v>
      </c>
      <c r="F842" s="4">
        <v>1181.45</v>
      </c>
      <c r="G842" s="5">
        <v>278.07</v>
      </c>
      <c r="H842" s="6">
        <v>18</v>
      </c>
      <c r="I842" s="2" t="s">
        <v>2117</v>
      </c>
      <c r="J842" s="2" t="str">
        <v>Iterate Extensible Roi</v>
      </c>
      <c r="K842" s="2" t="str">
        <v>Office Supplies</v>
      </c>
      <c r="L842" s="2" t="str">
        <v>Hill-Kelly</v>
      </c>
      <c r="M842" s="2">
        <v>180</v>
      </c>
      <c r="N842" s="16">
        <f t="shared" si="13"/>
        <v>0.23536332472808835</v>
      </c>
    </row>
    <row r="843" spans="2:14" ht="14.4" customHeight="1" x14ac:dyDescent="0.3">
      <c r="B843" s="2" t="s">
        <v>848</v>
      </c>
      <c r="C843" s="3">
        <v>45560</v>
      </c>
      <c r="D843" s="2" t="s">
        <v>2012</v>
      </c>
      <c r="E843" s="2" t="s">
        <v>2033</v>
      </c>
      <c r="F843" s="4">
        <v>4164.57</v>
      </c>
      <c r="G843" s="5">
        <v>54.44</v>
      </c>
      <c r="H843" s="6">
        <v>13</v>
      </c>
      <c r="I843" s="2" t="s">
        <v>2117</v>
      </c>
      <c r="J843" s="2" t="str">
        <v>Leverage Rich Portals</v>
      </c>
      <c r="K843" s="2" t="str">
        <v>Office Supplies</v>
      </c>
      <c r="L843" s="2" t="str">
        <v>Wilson PLC</v>
      </c>
      <c r="M843" s="2">
        <v>46.35</v>
      </c>
      <c r="N843" s="16">
        <f t="shared" si="13"/>
        <v>1.3072177919929309E-2</v>
      </c>
    </row>
    <row r="844" spans="2:14" ht="14.4" customHeight="1" x14ac:dyDescent="0.3">
      <c r="B844" s="2" t="s">
        <v>849</v>
      </c>
      <c r="C844" s="3">
        <v>44332</v>
      </c>
      <c r="D844" s="2" t="s">
        <v>2012</v>
      </c>
      <c r="E844" s="2" t="s">
        <v>2080</v>
      </c>
      <c r="F844" s="4">
        <v>648.25</v>
      </c>
      <c r="G844" s="5">
        <v>146.19999999999999</v>
      </c>
      <c r="H844" s="6">
        <v>6</v>
      </c>
      <c r="I844" s="2" t="s">
        <v>2116</v>
      </c>
      <c r="J844" s="2" t="str">
        <v>Scale Vertical Networks</v>
      </c>
      <c r="K844" s="2" t="str">
        <v>Furniture</v>
      </c>
      <c r="L844" s="2" t="str">
        <v>Lam, Wood and Jacobs</v>
      </c>
      <c r="M844" s="2">
        <v>133.24</v>
      </c>
      <c r="N844" s="16">
        <f t="shared" si="13"/>
        <v>0.22553027381411492</v>
      </c>
    </row>
    <row r="845" spans="2:14" ht="14.4" customHeight="1" x14ac:dyDescent="0.3">
      <c r="B845" s="2" t="s">
        <v>850</v>
      </c>
      <c r="C845" s="3">
        <v>43931</v>
      </c>
      <c r="D845" s="2" t="s">
        <v>2012</v>
      </c>
      <c r="E845" s="2" t="s">
        <v>2087</v>
      </c>
      <c r="F845" s="4">
        <v>1121.46</v>
      </c>
      <c r="G845" s="5">
        <v>983.76</v>
      </c>
      <c r="H845" s="6">
        <v>6</v>
      </c>
      <c r="I845" s="2" t="s">
        <v>2117</v>
      </c>
      <c r="J845" s="2" t="str">
        <v>Empower Seamless Roi</v>
      </c>
      <c r="K845" s="2" t="str">
        <v>Office Supplies</v>
      </c>
      <c r="L845" s="2" t="str">
        <v>Proctor Group</v>
      </c>
      <c r="M845" s="2">
        <v>266.64999999999998</v>
      </c>
      <c r="N845" s="16">
        <f t="shared" si="13"/>
        <v>0.87721363222941517</v>
      </c>
    </row>
    <row r="846" spans="2:14" ht="14.4" customHeight="1" x14ac:dyDescent="0.3">
      <c r="B846" s="2" t="s">
        <v>851</v>
      </c>
      <c r="C846" s="3">
        <v>44697</v>
      </c>
      <c r="D846" s="2" t="s">
        <v>2009</v>
      </c>
      <c r="E846" s="2" t="s">
        <v>2066</v>
      </c>
      <c r="F846" s="4">
        <v>4938.45</v>
      </c>
      <c r="G846" s="5">
        <v>901.84</v>
      </c>
      <c r="H846" s="6">
        <v>7</v>
      </c>
      <c r="I846" s="2" t="s">
        <v>2118</v>
      </c>
      <c r="J846" s="2" t="str">
        <v>Facilitate Integrated E-Business</v>
      </c>
      <c r="K846" s="2" t="str">
        <v>Office Supplies</v>
      </c>
      <c r="L846" s="2" t="str">
        <v>Chang-Vargas</v>
      </c>
      <c r="M846" s="2">
        <v>130.33000000000001</v>
      </c>
      <c r="N846" s="16">
        <f t="shared" si="13"/>
        <v>0.18261600299689176</v>
      </c>
    </row>
    <row r="847" spans="2:14" ht="14.4" customHeight="1" x14ac:dyDescent="0.3">
      <c r="B847" s="2" t="s">
        <v>852</v>
      </c>
      <c r="C847" s="3">
        <v>44607</v>
      </c>
      <c r="D847" s="2" t="s">
        <v>2011</v>
      </c>
      <c r="E847" s="2" t="s">
        <v>2110</v>
      </c>
      <c r="F847" s="4">
        <v>1605.35</v>
      </c>
      <c r="G847" s="5">
        <v>926.99</v>
      </c>
      <c r="H847" s="6">
        <v>4</v>
      </c>
      <c r="I847" s="2" t="s">
        <v>2117</v>
      </c>
      <c r="J847" s="2" t="str">
        <v>Repurpose End-To-End Networks</v>
      </c>
      <c r="K847" s="2" t="str">
        <v>Office Supplies</v>
      </c>
      <c r="L847" s="2" t="str">
        <v>Torres-Rush</v>
      </c>
      <c r="M847" s="2">
        <v>97.02</v>
      </c>
      <c r="N847" s="16">
        <f t="shared" si="13"/>
        <v>0.57743794188183262</v>
      </c>
    </row>
    <row r="848" spans="2:14" ht="14.4" customHeight="1" x14ac:dyDescent="0.3">
      <c r="B848" s="2" t="s">
        <v>853</v>
      </c>
      <c r="C848" s="3">
        <v>44945</v>
      </c>
      <c r="D848" s="2" t="s">
        <v>2010</v>
      </c>
      <c r="E848" s="2" t="s">
        <v>2068</v>
      </c>
      <c r="F848" s="4">
        <v>4399.1899999999996</v>
      </c>
      <c r="G848" s="5">
        <v>332.58</v>
      </c>
      <c r="H848" s="6">
        <v>19</v>
      </c>
      <c r="I848" s="2" t="s">
        <v>2116</v>
      </c>
      <c r="J848" s="2" t="str">
        <v>E-Enable Virtual Methodologies</v>
      </c>
      <c r="K848" s="2" t="str">
        <v>Office Supplies</v>
      </c>
      <c r="L848" s="2" t="str">
        <v>Floyd-Love</v>
      </c>
      <c r="M848" s="2">
        <v>283.64999999999998</v>
      </c>
      <c r="N848" s="16">
        <f t="shared" si="13"/>
        <v>7.560028096081324E-2</v>
      </c>
    </row>
    <row r="849" spans="2:14" ht="14.4" customHeight="1" x14ac:dyDescent="0.3">
      <c r="B849" s="2" t="s">
        <v>854</v>
      </c>
      <c r="C849" s="3">
        <v>44974</v>
      </c>
      <c r="D849" s="2" t="s">
        <v>2010</v>
      </c>
      <c r="E849" s="2" t="s">
        <v>2030</v>
      </c>
      <c r="F849" s="4">
        <v>1269.52</v>
      </c>
      <c r="G849" s="5">
        <v>864.36</v>
      </c>
      <c r="H849" s="6">
        <v>17</v>
      </c>
      <c r="I849" s="2" t="s">
        <v>2117</v>
      </c>
      <c r="J849" s="2" t="str">
        <v>Engage Rich Web-Readiness</v>
      </c>
      <c r="K849" s="2" t="str">
        <v>Office Supplies</v>
      </c>
      <c r="L849" s="2" t="str">
        <v>Turner Inc</v>
      </c>
      <c r="M849" s="2">
        <v>81.069999999999993</v>
      </c>
      <c r="N849" s="16">
        <f t="shared" si="13"/>
        <v>0.68085575650639618</v>
      </c>
    </row>
    <row r="850" spans="2:14" ht="14.4" customHeight="1" x14ac:dyDescent="0.3">
      <c r="B850" s="2" t="s">
        <v>855</v>
      </c>
      <c r="C850" s="3">
        <v>43882</v>
      </c>
      <c r="D850" s="2" t="s">
        <v>2010</v>
      </c>
      <c r="E850" s="2" t="s">
        <v>2015</v>
      </c>
      <c r="F850" s="4">
        <v>116.54</v>
      </c>
      <c r="G850" s="5">
        <v>485.08</v>
      </c>
      <c r="H850" s="6">
        <v>10</v>
      </c>
      <c r="I850" s="2" t="s">
        <v>2118</v>
      </c>
      <c r="J850" s="2" t="str">
        <v>Brand Web-Enabled Solutions</v>
      </c>
      <c r="K850" s="2" t="str">
        <v>Electronics</v>
      </c>
      <c r="L850" s="2" t="str">
        <v>Russell Group</v>
      </c>
      <c r="M850" s="2">
        <v>51.67</v>
      </c>
      <c r="N850" s="16">
        <f t="shared" si="13"/>
        <v>4.1623476917796465</v>
      </c>
    </row>
    <row r="851" spans="2:14" ht="14.4" customHeight="1" x14ac:dyDescent="0.3">
      <c r="B851" s="2" t="s">
        <v>856</v>
      </c>
      <c r="C851" s="3">
        <v>43982</v>
      </c>
      <c r="D851" s="2" t="s">
        <v>2010</v>
      </c>
      <c r="E851" s="2" t="s">
        <v>2104</v>
      </c>
      <c r="F851" s="4">
        <v>1725.71</v>
      </c>
      <c r="G851" s="5">
        <v>838.28</v>
      </c>
      <c r="H851" s="6">
        <v>4</v>
      </c>
      <c r="I851" s="2" t="s">
        <v>2116</v>
      </c>
      <c r="J851" s="2" t="str">
        <v>Scale Cross-Platform Web Services</v>
      </c>
      <c r="K851" s="2" t="str">
        <v>Furniture</v>
      </c>
      <c r="L851" s="2" t="str">
        <v>Morrow, Brock and Lewis</v>
      </c>
      <c r="M851" s="2">
        <v>115.21</v>
      </c>
      <c r="N851" s="16">
        <f t="shared" si="13"/>
        <v>0.48575948450203105</v>
      </c>
    </row>
    <row r="852" spans="2:14" ht="14.4" customHeight="1" x14ac:dyDescent="0.3">
      <c r="B852" s="2" t="s">
        <v>857</v>
      </c>
      <c r="C852" s="3">
        <v>45504</v>
      </c>
      <c r="D852" s="2" t="s">
        <v>2009</v>
      </c>
      <c r="E852" s="2" t="s">
        <v>2081</v>
      </c>
      <c r="F852" s="4">
        <v>4219.8900000000003</v>
      </c>
      <c r="G852" s="5">
        <v>998.33</v>
      </c>
      <c r="H852" s="6">
        <v>11</v>
      </c>
      <c r="I852" s="2" t="s">
        <v>2118</v>
      </c>
      <c r="J852" s="2" t="str">
        <v>Orchestrate User-Centric Platforms</v>
      </c>
      <c r="K852" s="2" t="str">
        <v>Furniture</v>
      </c>
      <c r="L852" s="2" t="str">
        <v>Wells Ltd</v>
      </c>
      <c r="M852" s="2">
        <v>201.87</v>
      </c>
      <c r="N852" s="16">
        <f t="shared" si="13"/>
        <v>0.23657725675313809</v>
      </c>
    </row>
    <row r="853" spans="2:14" ht="14.4" customHeight="1" x14ac:dyDescent="0.3">
      <c r="B853" s="2" t="s">
        <v>858</v>
      </c>
      <c r="C853" s="3">
        <v>44472</v>
      </c>
      <c r="D853" s="2" t="s">
        <v>2009</v>
      </c>
      <c r="E853" s="2" t="s">
        <v>2052</v>
      </c>
      <c r="F853" s="4">
        <v>1311.14</v>
      </c>
      <c r="G853" s="5">
        <v>118.05</v>
      </c>
      <c r="H853" s="6">
        <v>15</v>
      </c>
      <c r="I853" s="2" t="s">
        <v>2116</v>
      </c>
      <c r="J853" s="2" t="str">
        <v>Innovate Sticky Web Services</v>
      </c>
      <c r="K853" s="2" t="str">
        <v>Electronics</v>
      </c>
      <c r="L853" s="2" t="str">
        <v>Friedman, Sanders and Adams</v>
      </c>
      <c r="M853" s="2">
        <v>125.85</v>
      </c>
      <c r="N853" s="16">
        <f t="shared" si="13"/>
        <v>9.0036151745808979E-2</v>
      </c>
    </row>
    <row r="854" spans="2:14" ht="14.4" customHeight="1" x14ac:dyDescent="0.3">
      <c r="B854" s="2" t="s">
        <v>859</v>
      </c>
      <c r="C854" s="3">
        <v>44193</v>
      </c>
      <c r="D854" s="2" t="s">
        <v>2010</v>
      </c>
      <c r="E854" s="2" t="s">
        <v>2097</v>
      </c>
      <c r="F854" s="4">
        <v>2428.88</v>
      </c>
      <c r="G854" s="5">
        <v>254.88</v>
      </c>
      <c r="H854" s="6">
        <v>14</v>
      </c>
      <c r="I854" s="2" t="s">
        <v>2116</v>
      </c>
      <c r="J854" s="2" t="str">
        <v>Generate End-To-End Functionalities</v>
      </c>
      <c r="K854" s="2" t="str">
        <v>Electronics</v>
      </c>
      <c r="L854" s="2" t="str">
        <v>Sanchez-Stewart</v>
      </c>
      <c r="M854" s="2">
        <v>196.15</v>
      </c>
      <c r="N854" s="16">
        <f t="shared" si="13"/>
        <v>0.10493725503112546</v>
      </c>
    </row>
    <row r="855" spans="2:14" ht="14.4" customHeight="1" x14ac:dyDescent="0.3">
      <c r="B855" s="2" t="s">
        <v>860</v>
      </c>
      <c r="C855" s="3">
        <v>45549</v>
      </c>
      <c r="D855" s="2" t="s">
        <v>2010</v>
      </c>
      <c r="E855" s="2" t="s">
        <v>2098</v>
      </c>
      <c r="F855" s="4">
        <v>771.83</v>
      </c>
      <c r="G855" s="5">
        <v>904.41</v>
      </c>
      <c r="H855" s="6">
        <v>6</v>
      </c>
      <c r="I855" s="2" t="s">
        <v>2118</v>
      </c>
      <c r="J855" s="2" t="str">
        <v>Deliver Viral Channels</v>
      </c>
      <c r="K855" s="2" t="str">
        <v>Furniture</v>
      </c>
      <c r="L855" s="2" t="str">
        <v>Parker LLC</v>
      </c>
      <c r="M855" s="2">
        <v>45.41</v>
      </c>
      <c r="N855" s="16">
        <f t="shared" si="13"/>
        <v>1.1717735770830364</v>
      </c>
    </row>
    <row r="856" spans="2:14" ht="14.4" customHeight="1" x14ac:dyDescent="0.3">
      <c r="B856" s="2" t="s">
        <v>861</v>
      </c>
      <c r="C856" s="3">
        <v>43972</v>
      </c>
      <c r="D856" s="2" t="s">
        <v>2012</v>
      </c>
      <c r="E856" s="2" t="s">
        <v>2029</v>
      </c>
      <c r="F856" s="4">
        <v>4513.01</v>
      </c>
      <c r="G856" s="5">
        <v>151.85</v>
      </c>
      <c r="H856" s="6">
        <v>17</v>
      </c>
      <c r="I856" s="2" t="s">
        <v>2116</v>
      </c>
      <c r="J856" s="2" t="str">
        <v>E-Enable Next-Generation Experiences</v>
      </c>
      <c r="K856" s="2" t="str">
        <v>Furniture</v>
      </c>
      <c r="L856" s="2" t="str">
        <v>Sanchez-Quinn</v>
      </c>
      <c r="M856" s="2">
        <v>266.93</v>
      </c>
      <c r="N856" s="16">
        <f t="shared" si="13"/>
        <v>3.3647166746805346E-2</v>
      </c>
    </row>
    <row r="857" spans="2:14" ht="14.4" customHeight="1" x14ac:dyDescent="0.3">
      <c r="B857" s="2" t="s">
        <v>862</v>
      </c>
      <c r="C857" s="3">
        <v>43894</v>
      </c>
      <c r="D857" s="2" t="s">
        <v>2011</v>
      </c>
      <c r="E857" s="2" t="s">
        <v>2050</v>
      </c>
      <c r="F857" s="4">
        <v>3682.54</v>
      </c>
      <c r="G857" s="5">
        <v>430.24</v>
      </c>
      <c r="H857" s="6">
        <v>14</v>
      </c>
      <c r="I857" s="2" t="s">
        <v>2116</v>
      </c>
      <c r="J857" s="2" t="str">
        <v>Extend Bricks-And-Clicks Architectures</v>
      </c>
      <c r="K857" s="2" t="str">
        <v>Furniture</v>
      </c>
      <c r="L857" s="2" t="str">
        <v>Fuller PLC</v>
      </c>
      <c r="M857" s="2">
        <v>202.99</v>
      </c>
      <c r="N857" s="16">
        <f t="shared" si="13"/>
        <v>0.11683240372134451</v>
      </c>
    </row>
    <row r="858" spans="2:14" ht="14.4" customHeight="1" x14ac:dyDescent="0.3">
      <c r="B858" s="2" t="s">
        <v>863</v>
      </c>
      <c r="C858" s="3">
        <v>44944</v>
      </c>
      <c r="D858" s="2" t="s">
        <v>2012</v>
      </c>
      <c r="E858" s="2" t="s">
        <v>2029</v>
      </c>
      <c r="F858" s="4">
        <v>2587.35</v>
      </c>
      <c r="G858" s="5">
        <v>85.51</v>
      </c>
      <c r="H858" s="6">
        <v>6</v>
      </c>
      <c r="I858" s="2" t="s">
        <v>2116</v>
      </c>
      <c r="J858" s="2" t="str">
        <v>E-Enable Next-Generation Experiences</v>
      </c>
      <c r="K858" s="2" t="str">
        <v>Furniture</v>
      </c>
      <c r="L858" s="2" t="str">
        <v>Sanchez-Quinn</v>
      </c>
      <c r="M858" s="2">
        <v>266.93</v>
      </c>
      <c r="N858" s="16">
        <f t="shared" si="13"/>
        <v>3.304925889423542E-2</v>
      </c>
    </row>
    <row r="859" spans="2:14" ht="14.4" customHeight="1" x14ac:dyDescent="0.3">
      <c r="B859" s="2" t="s">
        <v>864</v>
      </c>
      <c r="C859" s="3">
        <v>43951</v>
      </c>
      <c r="D859" s="2" t="s">
        <v>2010</v>
      </c>
      <c r="E859" s="2" t="s">
        <v>2038</v>
      </c>
      <c r="F859" s="4">
        <v>861.2</v>
      </c>
      <c r="G859" s="5">
        <v>996.88</v>
      </c>
      <c r="H859" s="6">
        <v>11</v>
      </c>
      <c r="I859" s="2" t="s">
        <v>2117</v>
      </c>
      <c r="J859" s="2" t="str">
        <v>Reinvent Mission-Critical Markets</v>
      </c>
      <c r="K859" s="2" t="str">
        <v>Furniture</v>
      </c>
      <c r="L859" s="2" t="str">
        <v>Gilbert-Sanders</v>
      </c>
      <c r="M859" s="2">
        <v>154.21</v>
      </c>
      <c r="N859" s="16">
        <f t="shared" si="13"/>
        <v>1.1575476079888527</v>
      </c>
    </row>
    <row r="860" spans="2:14" ht="14.4" customHeight="1" x14ac:dyDescent="0.3">
      <c r="B860" s="2" t="s">
        <v>865</v>
      </c>
      <c r="C860" s="3">
        <v>44900</v>
      </c>
      <c r="D860" s="2" t="s">
        <v>2009</v>
      </c>
      <c r="E860" s="2" t="s">
        <v>2020</v>
      </c>
      <c r="F860" s="4">
        <v>3736.87</v>
      </c>
      <c r="G860" s="5">
        <v>725.05</v>
      </c>
      <c r="H860" s="6">
        <v>14</v>
      </c>
      <c r="I860" s="2" t="s">
        <v>2117</v>
      </c>
      <c r="J860" s="2" t="str">
        <v>Harness Revolutionary Interfaces</v>
      </c>
      <c r="K860" s="2" t="str">
        <v>Furniture</v>
      </c>
      <c r="L860" s="2" t="str">
        <v>Davis, Short and Nguyen</v>
      </c>
      <c r="M860" s="2">
        <v>26.49</v>
      </c>
      <c r="N860" s="16">
        <f t="shared" si="13"/>
        <v>0.19402601642551118</v>
      </c>
    </row>
    <row r="861" spans="2:14" ht="14.4" customHeight="1" x14ac:dyDescent="0.3">
      <c r="B861" s="2" t="s">
        <v>866</v>
      </c>
      <c r="C861" s="3">
        <v>45333</v>
      </c>
      <c r="D861" s="2" t="s">
        <v>2009</v>
      </c>
      <c r="E861" s="2" t="s">
        <v>2050</v>
      </c>
      <c r="F861" s="4">
        <v>3040.15</v>
      </c>
      <c r="G861" s="5">
        <v>636.61</v>
      </c>
      <c r="H861" s="6">
        <v>10</v>
      </c>
      <c r="I861" s="2" t="s">
        <v>2118</v>
      </c>
      <c r="J861" s="2" t="str">
        <v>Extend Bricks-And-Clicks Architectures</v>
      </c>
      <c r="K861" s="2" t="str">
        <v>Furniture</v>
      </c>
      <c r="L861" s="2" t="str">
        <v>Fuller PLC</v>
      </c>
      <c r="M861" s="2">
        <v>202.99</v>
      </c>
      <c r="N861" s="16">
        <f t="shared" si="13"/>
        <v>0.20940085193164812</v>
      </c>
    </row>
    <row r="862" spans="2:14" ht="14.4" customHeight="1" x14ac:dyDescent="0.3">
      <c r="B862" s="2" t="s">
        <v>867</v>
      </c>
      <c r="C862" s="3">
        <v>45163</v>
      </c>
      <c r="D862" s="2" t="s">
        <v>2009</v>
      </c>
      <c r="E862" s="2" t="s">
        <v>2046</v>
      </c>
      <c r="F862" s="4">
        <v>4105.59</v>
      </c>
      <c r="G862" s="5">
        <v>744.51</v>
      </c>
      <c r="H862" s="6">
        <v>8</v>
      </c>
      <c r="I862" s="2" t="s">
        <v>2117</v>
      </c>
      <c r="J862" s="2" t="str">
        <v>Facilitate End-To-End Experiences</v>
      </c>
      <c r="K862" s="2" t="str">
        <v>Office Supplies</v>
      </c>
      <c r="L862" s="2" t="str">
        <v>Pierce-Goodwin</v>
      </c>
      <c r="M862" s="2">
        <v>260.52999999999997</v>
      </c>
      <c r="N862" s="16">
        <f t="shared" si="13"/>
        <v>0.18134056250137007</v>
      </c>
    </row>
    <row r="863" spans="2:14" ht="14.4" customHeight="1" x14ac:dyDescent="0.3">
      <c r="B863" s="2" t="s">
        <v>868</v>
      </c>
      <c r="C863" s="3">
        <v>43897</v>
      </c>
      <c r="D863" s="2" t="s">
        <v>2012</v>
      </c>
      <c r="E863" s="2" t="s">
        <v>2049</v>
      </c>
      <c r="F863" s="4">
        <v>2291.9499999999998</v>
      </c>
      <c r="G863" s="5">
        <v>63.32</v>
      </c>
      <c r="H863" s="6">
        <v>1</v>
      </c>
      <c r="I863" s="2" t="s">
        <v>2118</v>
      </c>
      <c r="J863" s="2" t="str">
        <v>Scale 24/365 Networks</v>
      </c>
      <c r="K863" s="2" t="str">
        <v>Furniture</v>
      </c>
      <c r="L863" s="2" t="str">
        <v>Kim-Hamilton</v>
      </c>
      <c r="M863" s="2">
        <v>157.55000000000001</v>
      </c>
      <c r="N863" s="16">
        <f t="shared" si="13"/>
        <v>2.7627129736687104E-2</v>
      </c>
    </row>
    <row r="864" spans="2:14" ht="14.4" customHeight="1" x14ac:dyDescent="0.3">
      <c r="B864" s="2" t="s">
        <v>869</v>
      </c>
      <c r="C864" s="3">
        <v>45512</v>
      </c>
      <c r="D864" s="2" t="s">
        <v>2009</v>
      </c>
      <c r="E864" s="2" t="s">
        <v>2028</v>
      </c>
      <c r="F864" s="4">
        <v>1991.21</v>
      </c>
      <c r="G864" s="5">
        <v>849.4</v>
      </c>
      <c r="H864" s="6">
        <v>7</v>
      </c>
      <c r="I864" s="2" t="s">
        <v>2118</v>
      </c>
      <c r="J864" s="2" t="str">
        <v>Synergize World-Class Networks</v>
      </c>
      <c r="K864" s="2" t="str">
        <v>Electronics</v>
      </c>
      <c r="L864" s="2" t="str">
        <v>Gomez-Lawrence</v>
      </c>
      <c r="M864" s="2">
        <v>72.37</v>
      </c>
      <c r="N864" s="16">
        <f t="shared" si="13"/>
        <v>0.42657479622942834</v>
      </c>
    </row>
    <row r="865" spans="2:14" ht="14.4" customHeight="1" x14ac:dyDescent="0.3">
      <c r="B865" s="2" t="s">
        <v>870</v>
      </c>
      <c r="C865" s="3">
        <v>45599</v>
      </c>
      <c r="D865" s="2" t="s">
        <v>2010</v>
      </c>
      <c r="E865" s="2" t="s">
        <v>2087</v>
      </c>
      <c r="F865" s="4">
        <v>150.9</v>
      </c>
      <c r="G865" s="5">
        <v>709.11</v>
      </c>
      <c r="H865" s="6">
        <v>18</v>
      </c>
      <c r="I865" s="2" t="s">
        <v>2118</v>
      </c>
      <c r="J865" s="2" t="str">
        <v>Empower Seamless Roi</v>
      </c>
      <c r="K865" s="2" t="str">
        <v>Office Supplies</v>
      </c>
      <c r="L865" s="2" t="str">
        <v>Proctor Group</v>
      </c>
      <c r="M865" s="2">
        <v>266.64999999999998</v>
      </c>
      <c r="N865" s="16">
        <f t="shared" si="13"/>
        <v>4.6992047713717691</v>
      </c>
    </row>
    <row r="866" spans="2:14" ht="14.4" customHeight="1" x14ac:dyDescent="0.3">
      <c r="B866" s="2" t="s">
        <v>871</v>
      </c>
      <c r="C866" s="3">
        <v>44945</v>
      </c>
      <c r="D866" s="2" t="s">
        <v>2010</v>
      </c>
      <c r="E866" s="2" t="s">
        <v>2092</v>
      </c>
      <c r="F866" s="4">
        <v>4970.47</v>
      </c>
      <c r="G866" s="5">
        <v>256.35000000000002</v>
      </c>
      <c r="H866" s="6">
        <v>12</v>
      </c>
      <c r="I866" s="2" t="s">
        <v>2116</v>
      </c>
      <c r="J866" s="2" t="str">
        <v>Seize Clicks-And-Mortar Platforms</v>
      </c>
      <c r="K866" s="2" t="str">
        <v>Office Supplies</v>
      </c>
      <c r="L866" s="2" t="str">
        <v>Owens, Campos and Wood</v>
      </c>
      <c r="M866" s="2">
        <v>271.16000000000003</v>
      </c>
      <c r="N866" s="16">
        <f t="shared" si="13"/>
        <v>5.15745995851499E-2</v>
      </c>
    </row>
    <row r="867" spans="2:14" ht="14.4" customHeight="1" x14ac:dyDescent="0.3">
      <c r="B867" s="2" t="s">
        <v>872</v>
      </c>
      <c r="C867" s="3">
        <v>45449</v>
      </c>
      <c r="D867" s="2" t="s">
        <v>2011</v>
      </c>
      <c r="E867" s="2" t="s">
        <v>2105</v>
      </c>
      <c r="F867" s="4">
        <v>3409.97</v>
      </c>
      <c r="G867" s="5">
        <v>891.71</v>
      </c>
      <c r="H867" s="6">
        <v>2</v>
      </c>
      <c r="I867" s="2" t="s">
        <v>2116</v>
      </c>
      <c r="J867" s="2" t="str">
        <v>Brand B2C Info-Mediaries</v>
      </c>
      <c r="K867" s="2" t="str">
        <v>Office Supplies</v>
      </c>
      <c r="L867" s="2" t="str">
        <v>Preston Ltd</v>
      </c>
      <c r="M867" s="2">
        <v>13.46</v>
      </c>
      <c r="N867" s="16">
        <f t="shared" si="13"/>
        <v>0.26150083431819049</v>
      </c>
    </row>
    <row r="868" spans="2:14" ht="14.4" customHeight="1" x14ac:dyDescent="0.3">
      <c r="B868" s="2" t="s">
        <v>873</v>
      </c>
      <c r="C868" s="3">
        <v>44632</v>
      </c>
      <c r="D868" s="2" t="s">
        <v>2011</v>
      </c>
      <c r="E868" s="2" t="s">
        <v>2053</v>
      </c>
      <c r="F868" s="4">
        <v>3360.71</v>
      </c>
      <c r="G868" s="5">
        <v>915.78</v>
      </c>
      <c r="H868" s="6">
        <v>13</v>
      </c>
      <c r="I868" s="2" t="s">
        <v>2116</v>
      </c>
      <c r="J868" s="2" t="str">
        <v>Transition Mission-Critical Interfaces</v>
      </c>
      <c r="K868" s="2" t="str">
        <v>Office Supplies</v>
      </c>
      <c r="L868" s="2" t="str">
        <v>Weaver Ltd</v>
      </c>
      <c r="M868" s="2">
        <v>34.64</v>
      </c>
      <c r="N868" s="16">
        <f t="shared" si="13"/>
        <v>0.27249599043059353</v>
      </c>
    </row>
    <row r="869" spans="2:14" ht="14.4" customHeight="1" x14ac:dyDescent="0.3">
      <c r="B869" s="2" t="s">
        <v>874</v>
      </c>
      <c r="C869" s="3">
        <v>44201</v>
      </c>
      <c r="D869" s="2" t="s">
        <v>2012</v>
      </c>
      <c r="E869" s="2" t="s">
        <v>2057</v>
      </c>
      <c r="F869" s="4">
        <v>221.61</v>
      </c>
      <c r="G869" s="5">
        <v>372.44</v>
      </c>
      <c r="H869" s="6">
        <v>12</v>
      </c>
      <c r="I869" s="2" t="s">
        <v>2117</v>
      </c>
      <c r="J869" s="2" t="str">
        <v>Reinvent Out-Of-The-Box Models</v>
      </c>
      <c r="K869" s="2" t="str">
        <v>Office Supplies</v>
      </c>
      <c r="L869" s="2" t="str">
        <v>Wagner-Curtis</v>
      </c>
      <c r="M869" s="2">
        <v>172.34</v>
      </c>
      <c r="N869" s="16">
        <f t="shared" si="13"/>
        <v>1.6806100807725282</v>
      </c>
    </row>
    <row r="870" spans="2:14" ht="14.4" customHeight="1" x14ac:dyDescent="0.3">
      <c r="B870" s="2" t="s">
        <v>875</v>
      </c>
      <c r="C870" s="3">
        <v>45365</v>
      </c>
      <c r="D870" s="2" t="s">
        <v>2009</v>
      </c>
      <c r="E870" s="2" t="s">
        <v>2063</v>
      </c>
      <c r="F870" s="4">
        <v>4546.68</v>
      </c>
      <c r="G870" s="5">
        <v>981.94</v>
      </c>
      <c r="H870" s="6">
        <v>11</v>
      </c>
      <c r="I870" s="2" t="s">
        <v>2118</v>
      </c>
      <c r="J870" s="2" t="str">
        <v>Unleash End-To-End Web Services</v>
      </c>
      <c r="K870" s="2" t="str">
        <v>Office Supplies</v>
      </c>
      <c r="L870" s="2" t="str">
        <v>Jones Ltd</v>
      </c>
      <c r="M870" s="2">
        <v>188.02</v>
      </c>
      <c r="N870" s="16">
        <f t="shared" si="13"/>
        <v>0.21596857487221444</v>
      </c>
    </row>
    <row r="871" spans="2:14" ht="14.4" customHeight="1" x14ac:dyDescent="0.3">
      <c r="B871" s="2" t="s">
        <v>876</v>
      </c>
      <c r="C871" s="3">
        <v>45108</v>
      </c>
      <c r="D871" s="2" t="s">
        <v>2012</v>
      </c>
      <c r="E871" s="2" t="s">
        <v>2101</v>
      </c>
      <c r="F871" s="4">
        <v>166.97</v>
      </c>
      <c r="G871" s="5">
        <v>150.52000000000001</v>
      </c>
      <c r="H871" s="6">
        <v>7</v>
      </c>
      <c r="I871" s="2" t="s">
        <v>2117</v>
      </c>
      <c r="J871" s="2" t="str">
        <v>Deploy Granular Channels</v>
      </c>
      <c r="K871" s="2" t="str">
        <v>Furniture</v>
      </c>
      <c r="L871" s="2" t="str">
        <v>Barnes Ltd</v>
      </c>
      <c r="M871" s="2">
        <v>288.99</v>
      </c>
      <c r="N871" s="16">
        <f t="shared" si="13"/>
        <v>0.90147930766005879</v>
      </c>
    </row>
    <row r="872" spans="2:14" ht="14.4" customHeight="1" x14ac:dyDescent="0.3">
      <c r="B872" s="2" t="s">
        <v>877</v>
      </c>
      <c r="C872" s="3">
        <v>44262</v>
      </c>
      <c r="D872" s="2" t="s">
        <v>2010</v>
      </c>
      <c r="E872" s="2" t="s">
        <v>2080</v>
      </c>
      <c r="F872" s="4">
        <v>3807.49</v>
      </c>
      <c r="G872" s="5">
        <v>720.12</v>
      </c>
      <c r="H872" s="6">
        <v>14</v>
      </c>
      <c r="I872" s="2" t="s">
        <v>2118</v>
      </c>
      <c r="J872" s="2" t="str">
        <v>Scale Vertical Networks</v>
      </c>
      <c r="K872" s="2" t="str">
        <v>Furniture</v>
      </c>
      <c r="L872" s="2" t="str">
        <v>Lam, Wood and Jacobs</v>
      </c>
      <c r="M872" s="2">
        <v>133.24</v>
      </c>
      <c r="N872" s="16">
        <f t="shared" si="13"/>
        <v>0.18913247309907577</v>
      </c>
    </row>
    <row r="873" spans="2:14" ht="14.4" customHeight="1" x14ac:dyDescent="0.3">
      <c r="B873" s="2" t="s">
        <v>878</v>
      </c>
      <c r="C873" s="3">
        <v>45576</v>
      </c>
      <c r="D873" s="2" t="s">
        <v>2009</v>
      </c>
      <c r="E873" s="2" t="s">
        <v>2057</v>
      </c>
      <c r="F873" s="4">
        <v>2467.92</v>
      </c>
      <c r="G873" s="5">
        <v>413.18</v>
      </c>
      <c r="H873" s="6">
        <v>7</v>
      </c>
      <c r="I873" s="2" t="s">
        <v>2116</v>
      </c>
      <c r="J873" s="2" t="str">
        <v>Reinvent Out-Of-The-Box Models</v>
      </c>
      <c r="K873" s="2" t="str">
        <v>Office Supplies</v>
      </c>
      <c r="L873" s="2" t="str">
        <v>Wagner-Curtis</v>
      </c>
      <c r="M873" s="2">
        <v>172.34</v>
      </c>
      <c r="N873" s="16">
        <f t="shared" si="13"/>
        <v>0.16742033777432008</v>
      </c>
    </row>
    <row r="874" spans="2:14" ht="14.4" customHeight="1" x14ac:dyDescent="0.3">
      <c r="B874" s="2" t="s">
        <v>879</v>
      </c>
      <c r="C874" s="3">
        <v>45106</v>
      </c>
      <c r="D874" s="2" t="s">
        <v>2009</v>
      </c>
      <c r="E874" s="2" t="s">
        <v>2056</v>
      </c>
      <c r="F874" s="4">
        <v>386.55</v>
      </c>
      <c r="G874" s="5">
        <v>265.19</v>
      </c>
      <c r="H874" s="6">
        <v>1</v>
      </c>
      <c r="I874" s="2" t="s">
        <v>2117</v>
      </c>
      <c r="J874" s="2" t="str">
        <v>Mesh Intuitive Supply-Chains</v>
      </c>
      <c r="K874" s="2" t="str">
        <v>Electronics</v>
      </c>
      <c r="L874" s="2" t="str">
        <v>Soto, Barnett and Heath</v>
      </c>
      <c r="M874" s="2">
        <v>281</v>
      </c>
      <c r="N874" s="16">
        <f t="shared" si="13"/>
        <v>0.68604320269046692</v>
      </c>
    </row>
    <row r="875" spans="2:14" ht="14.4" customHeight="1" x14ac:dyDescent="0.3">
      <c r="B875" s="2" t="s">
        <v>880</v>
      </c>
      <c r="C875" s="3">
        <v>45201</v>
      </c>
      <c r="D875" s="2" t="s">
        <v>2011</v>
      </c>
      <c r="E875" s="2" t="s">
        <v>2077</v>
      </c>
      <c r="F875" s="4">
        <v>2509.39</v>
      </c>
      <c r="G875" s="5">
        <v>878.66</v>
      </c>
      <c r="H875" s="6">
        <v>7</v>
      </c>
      <c r="I875" s="2" t="s">
        <v>2116</v>
      </c>
      <c r="J875" s="2" t="str">
        <v>Synthesize Wireless Initiatives</v>
      </c>
      <c r="K875" s="2" t="str">
        <v>Electronics</v>
      </c>
      <c r="L875" s="2" t="str">
        <v>Mosley Ltd</v>
      </c>
      <c r="M875" s="2">
        <v>162.69999999999999</v>
      </c>
      <c r="N875" s="16">
        <f t="shared" si="13"/>
        <v>0.35014884095337911</v>
      </c>
    </row>
    <row r="876" spans="2:14" ht="14.4" customHeight="1" x14ac:dyDescent="0.3">
      <c r="B876" s="2" t="s">
        <v>881</v>
      </c>
      <c r="C876" s="3">
        <v>45553</v>
      </c>
      <c r="D876" s="2" t="s">
        <v>2010</v>
      </c>
      <c r="E876" s="2" t="s">
        <v>2031</v>
      </c>
      <c r="F876" s="4">
        <v>1999.69</v>
      </c>
      <c r="G876" s="5">
        <v>556.13</v>
      </c>
      <c r="H876" s="6">
        <v>7</v>
      </c>
      <c r="I876" s="2" t="s">
        <v>2117</v>
      </c>
      <c r="J876" s="2" t="str">
        <v>Embrace 24/365 Functionalities</v>
      </c>
      <c r="K876" s="2" t="str">
        <v>Office Supplies</v>
      </c>
      <c r="L876" s="2" t="str">
        <v>Smith LLC</v>
      </c>
      <c r="M876" s="2">
        <v>204.04</v>
      </c>
      <c r="N876" s="16">
        <f t="shared" si="13"/>
        <v>0.27810810675654724</v>
      </c>
    </row>
    <row r="877" spans="2:14" ht="14.4" customHeight="1" x14ac:dyDescent="0.3">
      <c r="B877" s="2" t="s">
        <v>882</v>
      </c>
      <c r="C877" s="3">
        <v>45198</v>
      </c>
      <c r="D877" s="2" t="s">
        <v>2011</v>
      </c>
      <c r="E877" s="2" t="s">
        <v>2033</v>
      </c>
      <c r="F877" s="4">
        <v>722.25</v>
      </c>
      <c r="G877" s="5">
        <v>144.36000000000001</v>
      </c>
      <c r="H877" s="6">
        <v>7</v>
      </c>
      <c r="I877" s="2" t="s">
        <v>2116</v>
      </c>
      <c r="J877" s="2" t="str">
        <v>Leverage Rich Portals</v>
      </c>
      <c r="K877" s="2" t="str">
        <v>Office Supplies</v>
      </c>
      <c r="L877" s="2" t="str">
        <v>Wilson PLC</v>
      </c>
      <c r="M877" s="2">
        <v>46.35</v>
      </c>
      <c r="N877" s="16">
        <f t="shared" si="13"/>
        <v>0.19987538940809971</v>
      </c>
    </row>
    <row r="878" spans="2:14" ht="14.4" customHeight="1" x14ac:dyDescent="0.3">
      <c r="B878" s="2" t="s">
        <v>883</v>
      </c>
      <c r="C878" s="3">
        <v>44717</v>
      </c>
      <c r="D878" s="2" t="s">
        <v>2010</v>
      </c>
      <c r="E878" s="2" t="s">
        <v>2042</v>
      </c>
      <c r="F878" s="4">
        <v>3958.62</v>
      </c>
      <c r="G878" s="5">
        <v>635.79999999999995</v>
      </c>
      <c r="H878" s="6">
        <v>4</v>
      </c>
      <c r="I878" s="2" t="s">
        <v>2116</v>
      </c>
      <c r="J878" s="2" t="str">
        <v>Orchestrate E-Business Niches</v>
      </c>
      <c r="K878" s="2" t="str">
        <v>Furniture</v>
      </c>
      <c r="L878" s="2" t="str">
        <v>Johnson LLC</v>
      </c>
      <c r="M878" s="2">
        <v>198.99</v>
      </c>
      <c r="N878" s="16">
        <f t="shared" si="13"/>
        <v>0.16061152623894184</v>
      </c>
    </row>
    <row r="879" spans="2:14" ht="14.4" customHeight="1" x14ac:dyDescent="0.3">
      <c r="B879" s="2" t="s">
        <v>884</v>
      </c>
      <c r="C879" s="3">
        <v>44509</v>
      </c>
      <c r="D879" s="2" t="s">
        <v>2011</v>
      </c>
      <c r="E879" s="2" t="s">
        <v>2050</v>
      </c>
      <c r="F879" s="4">
        <v>498.75</v>
      </c>
      <c r="G879" s="5">
        <v>104.68</v>
      </c>
      <c r="H879" s="6">
        <v>5</v>
      </c>
      <c r="I879" s="2" t="s">
        <v>2117</v>
      </c>
      <c r="J879" s="2" t="str">
        <v>Extend Bricks-And-Clicks Architectures</v>
      </c>
      <c r="K879" s="2" t="str">
        <v>Furniture</v>
      </c>
      <c r="L879" s="2" t="str">
        <v>Fuller PLC</v>
      </c>
      <c r="M879" s="2">
        <v>202.99</v>
      </c>
      <c r="N879" s="16">
        <f t="shared" si="13"/>
        <v>0.20988471177944865</v>
      </c>
    </row>
    <row r="880" spans="2:14" ht="14.4" customHeight="1" x14ac:dyDescent="0.3">
      <c r="B880" s="2" t="s">
        <v>885</v>
      </c>
      <c r="C880" s="3">
        <v>44811</v>
      </c>
      <c r="D880" s="2" t="s">
        <v>2012</v>
      </c>
      <c r="E880" s="2" t="s">
        <v>2016</v>
      </c>
      <c r="F880" s="4">
        <v>4383.45</v>
      </c>
      <c r="G880" s="5">
        <v>920.5</v>
      </c>
      <c r="H880" s="6">
        <v>4</v>
      </c>
      <c r="I880" s="2" t="s">
        <v>2116</v>
      </c>
      <c r="J880" s="2" t="str">
        <v>Revolutionize Efficient Niches</v>
      </c>
      <c r="K880" s="2" t="str">
        <v>Electronics</v>
      </c>
      <c r="L880" s="2" t="str">
        <v>Lopez-Torres</v>
      </c>
      <c r="M880" s="2">
        <v>23.02</v>
      </c>
      <c r="N880" s="16">
        <f t="shared" si="13"/>
        <v>0.20999441079514994</v>
      </c>
    </row>
    <row r="881" spans="2:14" ht="14.4" customHeight="1" x14ac:dyDescent="0.3">
      <c r="B881" s="2" t="s">
        <v>886</v>
      </c>
      <c r="C881" s="3">
        <v>44183</v>
      </c>
      <c r="D881" s="2" t="s">
        <v>2010</v>
      </c>
      <c r="E881" s="2" t="s">
        <v>2049</v>
      </c>
      <c r="F881" s="4">
        <v>1605.04</v>
      </c>
      <c r="G881" s="5">
        <v>440.96</v>
      </c>
      <c r="H881" s="6">
        <v>4</v>
      </c>
      <c r="I881" s="2" t="s">
        <v>2118</v>
      </c>
      <c r="J881" s="2" t="str">
        <v>Scale 24/365 Networks</v>
      </c>
      <c r="K881" s="2" t="str">
        <v>Furniture</v>
      </c>
      <c r="L881" s="2" t="str">
        <v>Kim-Hamilton</v>
      </c>
      <c r="M881" s="2">
        <v>157.55000000000001</v>
      </c>
      <c r="N881" s="16">
        <f t="shared" si="13"/>
        <v>0.27473458605393014</v>
      </c>
    </row>
    <row r="882" spans="2:14" ht="14.4" customHeight="1" x14ac:dyDescent="0.3">
      <c r="B882" s="2" t="s">
        <v>887</v>
      </c>
      <c r="C882" s="3">
        <v>44843</v>
      </c>
      <c r="D882" s="2" t="s">
        <v>2010</v>
      </c>
      <c r="E882" s="2" t="s">
        <v>2082</v>
      </c>
      <c r="F882" s="4">
        <v>4166.4399999999996</v>
      </c>
      <c r="G882" s="5">
        <v>804.67</v>
      </c>
      <c r="H882" s="6">
        <v>16</v>
      </c>
      <c r="I882" s="2" t="s">
        <v>2117</v>
      </c>
      <c r="J882" s="2" t="str">
        <v>Re-Contextualize Viral Markets</v>
      </c>
      <c r="K882" s="2" t="str">
        <v>Electronics</v>
      </c>
      <c r="L882" s="2" t="str">
        <v>Meadows-Barber</v>
      </c>
      <c r="M882" s="2">
        <v>177.52</v>
      </c>
      <c r="N882" s="16">
        <f t="shared" si="13"/>
        <v>0.19313130634306508</v>
      </c>
    </row>
    <row r="883" spans="2:14" ht="14.4" customHeight="1" x14ac:dyDescent="0.3">
      <c r="B883" s="2" t="s">
        <v>888</v>
      </c>
      <c r="C883" s="3">
        <v>45075</v>
      </c>
      <c r="D883" s="2" t="s">
        <v>2009</v>
      </c>
      <c r="E883" s="2" t="s">
        <v>2066</v>
      </c>
      <c r="F883" s="4">
        <v>2538.4499999999998</v>
      </c>
      <c r="G883" s="5">
        <v>320.38</v>
      </c>
      <c r="H883" s="6">
        <v>8</v>
      </c>
      <c r="I883" s="2" t="s">
        <v>2116</v>
      </c>
      <c r="J883" s="2" t="str">
        <v>Facilitate Integrated E-Business</v>
      </c>
      <c r="K883" s="2" t="str">
        <v>Office Supplies</v>
      </c>
      <c r="L883" s="2" t="str">
        <v>Chang-Vargas</v>
      </c>
      <c r="M883" s="2">
        <v>130.33000000000001</v>
      </c>
      <c r="N883" s="16">
        <f t="shared" si="13"/>
        <v>0.12621087671610629</v>
      </c>
    </row>
    <row r="884" spans="2:14" ht="14.4" customHeight="1" x14ac:dyDescent="0.3">
      <c r="B884" s="2" t="s">
        <v>889</v>
      </c>
      <c r="C884" s="3">
        <v>44289</v>
      </c>
      <c r="D884" s="2" t="s">
        <v>2011</v>
      </c>
      <c r="E884" s="2" t="s">
        <v>2017</v>
      </c>
      <c r="F884" s="4">
        <v>3585.12</v>
      </c>
      <c r="G884" s="5">
        <v>673.42</v>
      </c>
      <c r="H884" s="6">
        <v>20</v>
      </c>
      <c r="I884" s="2" t="s">
        <v>2117</v>
      </c>
      <c r="J884" s="2" t="str">
        <v>Target Bricks-And-Clicks Channels</v>
      </c>
      <c r="K884" s="2" t="str">
        <v>Electronics</v>
      </c>
      <c r="L884" s="2" t="str">
        <v>Dunn, Christensen and Meyer</v>
      </c>
      <c r="M884" s="2">
        <v>126.86</v>
      </c>
      <c r="N884" s="16">
        <f t="shared" si="13"/>
        <v>0.18783750613647521</v>
      </c>
    </row>
    <row r="885" spans="2:14" ht="14.4" customHeight="1" x14ac:dyDescent="0.3">
      <c r="B885" s="2" t="s">
        <v>890</v>
      </c>
      <c r="C885" s="3">
        <v>44615</v>
      </c>
      <c r="D885" s="2" t="s">
        <v>2009</v>
      </c>
      <c r="E885" s="2" t="s">
        <v>2035</v>
      </c>
      <c r="F885" s="4">
        <v>174.63</v>
      </c>
      <c r="G885" s="5">
        <v>641.16</v>
      </c>
      <c r="H885" s="6">
        <v>9</v>
      </c>
      <c r="I885" s="2" t="s">
        <v>2117</v>
      </c>
      <c r="J885" s="2" t="str">
        <v>Optimize 24/365 E-Services</v>
      </c>
      <c r="K885" s="2" t="str">
        <v>Office Supplies</v>
      </c>
      <c r="L885" s="2" t="str">
        <v>Chase Ltd</v>
      </c>
      <c r="M885" s="2">
        <v>100.35</v>
      </c>
      <c r="N885" s="16">
        <f t="shared" si="13"/>
        <v>3.6715341006699878</v>
      </c>
    </row>
    <row r="886" spans="2:14" ht="14.4" customHeight="1" x14ac:dyDescent="0.3">
      <c r="B886" s="2" t="s">
        <v>891</v>
      </c>
      <c r="C886" s="3">
        <v>45458</v>
      </c>
      <c r="D886" s="2" t="s">
        <v>2010</v>
      </c>
      <c r="E886" s="2" t="s">
        <v>2105</v>
      </c>
      <c r="F886" s="4">
        <v>2883.09</v>
      </c>
      <c r="G886" s="5">
        <v>599.30999999999995</v>
      </c>
      <c r="H886" s="6">
        <v>3</v>
      </c>
      <c r="I886" s="2" t="s">
        <v>2117</v>
      </c>
      <c r="J886" s="2" t="str">
        <v>Brand B2C Info-Mediaries</v>
      </c>
      <c r="K886" s="2" t="str">
        <v>Office Supplies</v>
      </c>
      <c r="L886" s="2" t="str">
        <v>Preston Ltd</v>
      </c>
      <c r="M886" s="2">
        <v>13.46</v>
      </c>
      <c r="N886" s="16">
        <f t="shared" si="13"/>
        <v>0.20787072203781357</v>
      </c>
    </row>
    <row r="887" spans="2:14" ht="14.4" customHeight="1" x14ac:dyDescent="0.3">
      <c r="B887" s="2" t="s">
        <v>892</v>
      </c>
      <c r="C887" s="3">
        <v>45441</v>
      </c>
      <c r="D887" s="2" t="s">
        <v>2009</v>
      </c>
      <c r="E887" s="2" t="s">
        <v>2020</v>
      </c>
      <c r="F887" s="4">
        <v>2077.44</v>
      </c>
      <c r="G887" s="5">
        <v>914.14</v>
      </c>
      <c r="H887" s="6">
        <v>14</v>
      </c>
      <c r="I887" s="2" t="s">
        <v>2118</v>
      </c>
      <c r="J887" s="2" t="str">
        <v>Harness Revolutionary Interfaces</v>
      </c>
      <c r="K887" s="2" t="str">
        <v>Furniture</v>
      </c>
      <c r="L887" s="2" t="str">
        <v>Davis, Short and Nguyen</v>
      </c>
      <c r="M887" s="2">
        <v>26.49</v>
      </c>
      <c r="N887" s="16">
        <f t="shared" si="13"/>
        <v>0.44003196241528031</v>
      </c>
    </row>
    <row r="888" spans="2:14" ht="14.4" customHeight="1" x14ac:dyDescent="0.3">
      <c r="B888" s="2" t="s">
        <v>893</v>
      </c>
      <c r="C888" s="3">
        <v>44301</v>
      </c>
      <c r="D888" s="2" t="s">
        <v>2011</v>
      </c>
      <c r="E888" s="2" t="s">
        <v>2072</v>
      </c>
      <c r="F888" s="4">
        <v>1646.01</v>
      </c>
      <c r="G888" s="5">
        <v>156.32</v>
      </c>
      <c r="H888" s="6">
        <v>2</v>
      </c>
      <c r="I888" s="2" t="s">
        <v>2116</v>
      </c>
      <c r="J888" s="2" t="str">
        <v>Evolve Innovative Web Services</v>
      </c>
      <c r="K888" s="2" t="str">
        <v>Furniture</v>
      </c>
      <c r="L888" s="2" t="str">
        <v>Bush Inc</v>
      </c>
      <c r="M888" s="2">
        <v>87.75</v>
      </c>
      <c r="N888" s="16">
        <f t="shared" si="13"/>
        <v>9.4969046360593182E-2</v>
      </c>
    </row>
    <row r="889" spans="2:14" ht="14.4" customHeight="1" x14ac:dyDescent="0.3">
      <c r="B889" s="2" t="s">
        <v>894</v>
      </c>
      <c r="C889" s="3">
        <v>44333</v>
      </c>
      <c r="D889" s="2" t="s">
        <v>2012</v>
      </c>
      <c r="E889" s="2" t="s">
        <v>2080</v>
      </c>
      <c r="F889" s="4">
        <v>2028.74</v>
      </c>
      <c r="G889" s="5">
        <v>263.07</v>
      </c>
      <c r="H889" s="6">
        <v>18</v>
      </c>
      <c r="I889" s="2" t="s">
        <v>2118</v>
      </c>
      <c r="J889" s="2" t="str">
        <v>Scale Vertical Networks</v>
      </c>
      <c r="K889" s="2" t="str">
        <v>Furniture</v>
      </c>
      <c r="L889" s="2" t="str">
        <v>Lam, Wood and Jacobs</v>
      </c>
      <c r="M889" s="2">
        <v>133.24</v>
      </c>
      <c r="N889" s="16">
        <f t="shared" si="13"/>
        <v>0.12967161883730788</v>
      </c>
    </row>
    <row r="890" spans="2:14" ht="14.4" customHeight="1" x14ac:dyDescent="0.3">
      <c r="B890" s="2" t="s">
        <v>895</v>
      </c>
      <c r="C890" s="3">
        <v>44346</v>
      </c>
      <c r="D890" s="2" t="s">
        <v>2012</v>
      </c>
      <c r="E890" s="2" t="s">
        <v>2022</v>
      </c>
      <c r="F890" s="4">
        <v>3108.61</v>
      </c>
      <c r="G890" s="5">
        <v>373.87</v>
      </c>
      <c r="H890" s="6">
        <v>18</v>
      </c>
      <c r="I890" s="2" t="s">
        <v>2117</v>
      </c>
      <c r="J890" s="2" t="str">
        <v>Monetize Collaborative Metrics</v>
      </c>
      <c r="K890" s="2" t="str">
        <v>Electronics</v>
      </c>
      <c r="L890" s="2" t="str">
        <v>Ramirez-Brown</v>
      </c>
      <c r="M890" s="2">
        <v>286.04000000000002</v>
      </c>
      <c r="N890" s="16">
        <f t="shared" si="13"/>
        <v>0.12026918783636416</v>
      </c>
    </row>
    <row r="891" spans="2:14" ht="14.4" customHeight="1" x14ac:dyDescent="0.3">
      <c r="B891" s="2" t="s">
        <v>896</v>
      </c>
      <c r="C891" s="3">
        <v>43993</v>
      </c>
      <c r="D891" s="2" t="s">
        <v>2010</v>
      </c>
      <c r="E891" s="2" t="s">
        <v>2093</v>
      </c>
      <c r="F891" s="4">
        <v>3464.8</v>
      </c>
      <c r="G891" s="5">
        <v>620.79999999999995</v>
      </c>
      <c r="H891" s="6">
        <v>6</v>
      </c>
      <c r="I891" s="2" t="s">
        <v>2118</v>
      </c>
      <c r="J891" s="2" t="str">
        <v>Synergize Frictionless Synergies</v>
      </c>
      <c r="K891" s="2" t="str">
        <v>Furniture</v>
      </c>
      <c r="L891" s="2" t="str">
        <v>Hester and Sons</v>
      </c>
      <c r="M891" s="2">
        <v>289.06</v>
      </c>
      <c r="N891" s="16">
        <f t="shared" si="13"/>
        <v>0.17917340106211035</v>
      </c>
    </row>
    <row r="892" spans="2:14" ht="14.4" customHeight="1" x14ac:dyDescent="0.3">
      <c r="B892" s="2" t="s">
        <v>897</v>
      </c>
      <c r="C892" s="3">
        <v>45532</v>
      </c>
      <c r="D892" s="2" t="s">
        <v>2011</v>
      </c>
      <c r="E892" s="2" t="s">
        <v>2060</v>
      </c>
      <c r="F892" s="4">
        <v>2077.54</v>
      </c>
      <c r="G892" s="5">
        <v>796.95</v>
      </c>
      <c r="H892" s="6">
        <v>11</v>
      </c>
      <c r="I892" s="2" t="s">
        <v>2118</v>
      </c>
      <c r="J892" s="2" t="str">
        <v>Synergize End-To-End Roi</v>
      </c>
      <c r="K892" s="2" t="str">
        <v>Electronics</v>
      </c>
      <c r="L892" s="2" t="str">
        <v>Evans-Smith</v>
      </c>
      <c r="M892" s="2">
        <v>159.85</v>
      </c>
      <c r="N892" s="16">
        <f t="shared" si="13"/>
        <v>0.38360272245059063</v>
      </c>
    </row>
    <row r="893" spans="2:14" ht="14.4" customHeight="1" x14ac:dyDescent="0.3">
      <c r="B893" s="2" t="s">
        <v>898</v>
      </c>
      <c r="C893" s="3">
        <v>44090</v>
      </c>
      <c r="D893" s="2" t="s">
        <v>2012</v>
      </c>
      <c r="E893" s="2" t="s">
        <v>2035</v>
      </c>
      <c r="F893" s="4">
        <v>3930.19</v>
      </c>
      <c r="G893" s="5">
        <v>956.49</v>
      </c>
      <c r="H893" s="6">
        <v>12</v>
      </c>
      <c r="I893" s="2" t="s">
        <v>2118</v>
      </c>
      <c r="J893" s="2" t="str">
        <v>Optimize 24/365 E-Services</v>
      </c>
      <c r="K893" s="2" t="str">
        <v>Office Supplies</v>
      </c>
      <c r="L893" s="2" t="str">
        <v>Chase Ltd</v>
      </c>
      <c r="M893" s="2">
        <v>100.35</v>
      </c>
      <c r="N893" s="16">
        <f t="shared" si="13"/>
        <v>0.2433699134138553</v>
      </c>
    </row>
    <row r="894" spans="2:14" ht="14.4" customHeight="1" x14ac:dyDescent="0.3">
      <c r="B894" s="2" t="s">
        <v>899</v>
      </c>
      <c r="C894" s="3">
        <v>45098</v>
      </c>
      <c r="D894" s="2" t="s">
        <v>2012</v>
      </c>
      <c r="E894" s="2" t="s">
        <v>2049</v>
      </c>
      <c r="F894" s="4">
        <v>3976.57</v>
      </c>
      <c r="G894" s="5">
        <v>728.11</v>
      </c>
      <c r="H894" s="6">
        <v>2</v>
      </c>
      <c r="I894" s="2" t="s">
        <v>2118</v>
      </c>
      <c r="J894" s="2" t="str">
        <v>Scale 24/365 Networks</v>
      </c>
      <c r="K894" s="2" t="str">
        <v>Furniture</v>
      </c>
      <c r="L894" s="2" t="str">
        <v>Kim-Hamilton</v>
      </c>
      <c r="M894" s="2">
        <v>157.55000000000001</v>
      </c>
      <c r="N894" s="16">
        <f t="shared" si="13"/>
        <v>0.18310000829860909</v>
      </c>
    </row>
    <row r="895" spans="2:14" ht="14.4" customHeight="1" x14ac:dyDescent="0.3">
      <c r="B895" s="2" t="s">
        <v>900</v>
      </c>
      <c r="C895" s="3">
        <v>45438</v>
      </c>
      <c r="D895" s="2" t="s">
        <v>2012</v>
      </c>
      <c r="E895" s="2" t="s">
        <v>2084</v>
      </c>
      <c r="F895" s="4">
        <v>3133.66</v>
      </c>
      <c r="G895" s="5">
        <v>186.62</v>
      </c>
      <c r="H895" s="6">
        <v>17</v>
      </c>
      <c r="I895" s="2" t="s">
        <v>2116</v>
      </c>
      <c r="J895" s="2" t="str">
        <v>Grow Synergistic Infrastructures</v>
      </c>
      <c r="K895" s="2" t="str">
        <v>Furniture</v>
      </c>
      <c r="L895" s="2" t="str">
        <v>Adams-Carter</v>
      </c>
      <c r="M895" s="2">
        <v>113.17</v>
      </c>
      <c r="N895" s="16">
        <f t="shared" si="13"/>
        <v>5.9553365712936318E-2</v>
      </c>
    </row>
    <row r="896" spans="2:14" ht="14.4" customHeight="1" x14ac:dyDescent="0.3">
      <c r="B896" s="2" t="s">
        <v>901</v>
      </c>
      <c r="C896" s="3">
        <v>44186</v>
      </c>
      <c r="D896" s="2" t="s">
        <v>2009</v>
      </c>
      <c r="E896" s="2" t="s">
        <v>2069</v>
      </c>
      <c r="F896" s="4">
        <v>3753.11</v>
      </c>
      <c r="G896" s="5">
        <v>886.32</v>
      </c>
      <c r="H896" s="6">
        <v>19</v>
      </c>
      <c r="I896" s="2" t="s">
        <v>2116</v>
      </c>
      <c r="J896" s="2" t="str">
        <v>Optimize Transparent E-Markets</v>
      </c>
      <c r="K896" s="2" t="str">
        <v>Office Supplies</v>
      </c>
      <c r="L896" s="2" t="str">
        <v>Lee, Tyler and Blevins</v>
      </c>
      <c r="M896" s="2">
        <v>111.22</v>
      </c>
      <c r="N896" s="16">
        <f t="shared" si="13"/>
        <v>0.23615614783472907</v>
      </c>
    </row>
    <row r="897" spans="2:14" ht="14.4" customHeight="1" x14ac:dyDescent="0.3">
      <c r="B897" s="2" t="s">
        <v>902</v>
      </c>
      <c r="C897" s="3">
        <v>44035</v>
      </c>
      <c r="D897" s="2" t="s">
        <v>2012</v>
      </c>
      <c r="E897" s="2" t="s">
        <v>2064</v>
      </c>
      <c r="F897" s="4">
        <v>4254.41</v>
      </c>
      <c r="G897" s="5">
        <v>456.8</v>
      </c>
      <c r="H897" s="6">
        <v>11</v>
      </c>
      <c r="I897" s="2" t="s">
        <v>2116</v>
      </c>
      <c r="J897" s="2" t="str">
        <v>Synergize E-Business Deliverables</v>
      </c>
      <c r="K897" s="2" t="str">
        <v>Electronics</v>
      </c>
      <c r="L897" s="2" t="str">
        <v>Crawford, Warren and Williams</v>
      </c>
      <c r="M897" s="2">
        <v>125.93</v>
      </c>
      <c r="N897" s="16">
        <f t="shared" si="13"/>
        <v>0.10737093980128855</v>
      </c>
    </row>
    <row r="898" spans="2:14" ht="14.4" customHeight="1" x14ac:dyDescent="0.3">
      <c r="B898" s="2" t="s">
        <v>903</v>
      </c>
      <c r="C898" s="3">
        <v>45192</v>
      </c>
      <c r="D898" s="2" t="s">
        <v>2012</v>
      </c>
      <c r="E898" s="2" t="s">
        <v>2093</v>
      </c>
      <c r="F898" s="4">
        <v>3266.4</v>
      </c>
      <c r="G898" s="5">
        <v>794.14</v>
      </c>
      <c r="H898" s="6">
        <v>20</v>
      </c>
      <c r="I898" s="2" t="s">
        <v>2117</v>
      </c>
      <c r="J898" s="2" t="str">
        <v>Synergize Frictionless Synergies</v>
      </c>
      <c r="K898" s="2" t="str">
        <v>Furniture</v>
      </c>
      <c r="L898" s="2" t="str">
        <v>Hester and Sons</v>
      </c>
      <c r="M898" s="2">
        <v>289.06</v>
      </c>
      <c r="N898" s="16">
        <f t="shared" si="13"/>
        <v>0.24312392848395786</v>
      </c>
    </row>
    <row r="899" spans="2:14" ht="14.4" customHeight="1" x14ac:dyDescent="0.3">
      <c r="B899" s="2" t="s">
        <v>904</v>
      </c>
      <c r="C899" s="3">
        <v>44263</v>
      </c>
      <c r="D899" s="2" t="s">
        <v>2009</v>
      </c>
      <c r="E899" s="2" t="s">
        <v>2052</v>
      </c>
      <c r="F899" s="4">
        <v>3050.61</v>
      </c>
      <c r="G899" s="5">
        <v>134.55000000000001</v>
      </c>
      <c r="H899" s="6">
        <v>11</v>
      </c>
      <c r="I899" s="2" t="s">
        <v>2117</v>
      </c>
      <c r="J899" s="2" t="str">
        <v>Innovate Sticky Web Services</v>
      </c>
      <c r="K899" s="2" t="str">
        <v>Electronics</v>
      </c>
      <c r="L899" s="2" t="str">
        <v>Friedman, Sanders and Adams</v>
      </c>
      <c r="M899" s="2">
        <v>125.85</v>
      </c>
      <c r="N899" s="16">
        <f t="shared" si="13"/>
        <v>4.4105932911778299E-2</v>
      </c>
    </row>
    <row r="900" spans="2:14" ht="14.4" customHeight="1" x14ac:dyDescent="0.3">
      <c r="B900" s="2" t="s">
        <v>905</v>
      </c>
      <c r="C900" s="3">
        <v>44099</v>
      </c>
      <c r="D900" s="2" t="s">
        <v>2009</v>
      </c>
      <c r="E900" s="2" t="s">
        <v>2086</v>
      </c>
      <c r="F900" s="4">
        <v>2607.15</v>
      </c>
      <c r="G900" s="5">
        <v>621.34</v>
      </c>
      <c r="H900" s="6">
        <v>9</v>
      </c>
      <c r="I900" s="2" t="s">
        <v>2117</v>
      </c>
      <c r="J900" s="2" t="str">
        <v>Harness Proactive Eyeballs</v>
      </c>
      <c r="K900" s="2" t="str">
        <v>Electronics</v>
      </c>
      <c r="L900" s="2" t="str">
        <v>Moran and Sons</v>
      </c>
      <c r="M900" s="2">
        <v>58.01</v>
      </c>
      <c r="N900" s="16">
        <f t="shared" si="13"/>
        <v>0.23832153884509905</v>
      </c>
    </row>
    <row r="901" spans="2:14" ht="14.4" customHeight="1" x14ac:dyDescent="0.3">
      <c r="B901" s="2" t="s">
        <v>906</v>
      </c>
      <c r="C901" s="3">
        <v>44034</v>
      </c>
      <c r="D901" s="2" t="s">
        <v>2009</v>
      </c>
      <c r="E901" s="2" t="s">
        <v>2061</v>
      </c>
      <c r="F901" s="4">
        <v>3410.89</v>
      </c>
      <c r="G901" s="5">
        <v>357.67</v>
      </c>
      <c r="H901" s="6">
        <v>3</v>
      </c>
      <c r="I901" s="2" t="s">
        <v>2118</v>
      </c>
      <c r="J901" s="2" t="str">
        <v>Optimize Collaborative Initiatives</v>
      </c>
      <c r="K901" s="2" t="str">
        <v>Electronics</v>
      </c>
      <c r="L901" s="2" t="str">
        <v>Adkins Ltd</v>
      </c>
      <c r="M901" s="2">
        <v>34.46</v>
      </c>
      <c r="N901" s="16">
        <f t="shared" ref="N901:N964" si="14">(G901/F901)</f>
        <v>0.10486119458557738</v>
      </c>
    </row>
    <row r="902" spans="2:14" ht="14.4" customHeight="1" x14ac:dyDescent="0.3">
      <c r="B902" s="2" t="s">
        <v>907</v>
      </c>
      <c r="C902" s="3">
        <v>44091</v>
      </c>
      <c r="D902" s="2" t="s">
        <v>2009</v>
      </c>
      <c r="E902" s="2" t="s">
        <v>2064</v>
      </c>
      <c r="F902" s="4">
        <v>1630.85</v>
      </c>
      <c r="G902" s="5">
        <v>290.43</v>
      </c>
      <c r="H902" s="6">
        <v>9</v>
      </c>
      <c r="I902" s="2" t="s">
        <v>2116</v>
      </c>
      <c r="J902" s="2" t="str">
        <v>Synergize E-Business Deliverables</v>
      </c>
      <c r="K902" s="2" t="str">
        <v>Electronics</v>
      </c>
      <c r="L902" s="2" t="str">
        <v>Crawford, Warren and Williams</v>
      </c>
      <c r="M902" s="2">
        <v>125.93</v>
      </c>
      <c r="N902" s="16">
        <f t="shared" si="14"/>
        <v>0.17808504767452557</v>
      </c>
    </row>
    <row r="903" spans="2:14" ht="14.4" customHeight="1" x14ac:dyDescent="0.3">
      <c r="B903" s="2" t="s">
        <v>908</v>
      </c>
      <c r="C903" s="3">
        <v>45001</v>
      </c>
      <c r="D903" s="2" t="s">
        <v>2009</v>
      </c>
      <c r="E903" s="2" t="s">
        <v>2046</v>
      </c>
      <c r="F903" s="4">
        <v>1010.02</v>
      </c>
      <c r="G903" s="5">
        <v>912.52</v>
      </c>
      <c r="H903" s="6">
        <v>15</v>
      </c>
      <c r="I903" s="2" t="s">
        <v>2116</v>
      </c>
      <c r="J903" s="2" t="str">
        <v>Facilitate End-To-End Experiences</v>
      </c>
      <c r="K903" s="2" t="str">
        <v>Office Supplies</v>
      </c>
      <c r="L903" s="2" t="str">
        <v>Pierce-Goodwin</v>
      </c>
      <c r="M903" s="2">
        <v>260.52999999999997</v>
      </c>
      <c r="N903" s="16">
        <f t="shared" si="14"/>
        <v>0.90346725807409756</v>
      </c>
    </row>
    <row r="904" spans="2:14" ht="14.4" customHeight="1" x14ac:dyDescent="0.3">
      <c r="B904" s="2" t="s">
        <v>909</v>
      </c>
      <c r="C904" s="3">
        <v>44793</v>
      </c>
      <c r="D904" s="2" t="s">
        <v>2010</v>
      </c>
      <c r="E904" s="2" t="s">
        <v>2037</v>
      </c>
      <c r="F904" s="4">
        <v>3816.45</v>
      </c>
      <c r="G904" s="5">
        <v>811.34</v>
      </c>
      <c r="H904" s="6">
        <v>19</v>
      </c>
      <c r="I904" s="2" t="s">
        <v>2117</v>
      </c>
      <c r="J904" s="2" t="str">
        <v>Utilize Back-End Models</v>
      </c>
      <c r="K904" s="2" t="str">
        <v>Furniture</v>
      </c>
      <c r="L904" s="2" t="str">
        <v>Lewis-Holden</v>
      </c>
      <c r="M904" s="2">
        <v>241.53</v>
      </c>
      <c r="N904" s="16">
        <f t="shared" si="14"/>
        <v>0.21259023438011768</v>
      </c>
    </row>
    <row r="905" spans="2:14" ht="14.4" customHeight="1" x14ac:dyDescent="0.3">
      <c r="B905" s="2" t="s">
        <v>910</v>
      </c>
      <c r="C905" s="3">
        <v>44431</v>
      </c>
      <c r="D905" s="2" t="s">
        <v>2010</v>
      </c>
      <c r="E905" s="2" t="s">
        <v>2028</v>
      </c>
      <c r="F905" s="4">
        <v>3289.19</v>
      </c>
      <c r="G905" s="5">
        <v>925.97</v>
      </c>
      <c r="H905" s="6">
        <v>5</v>
      </c>
      <c r="I905" s="2" t="s">
        <v>2116</v>
      </c>
      <c r="J905" s="2" t="str">
        <v>Synergize World-Class Networks</v>
      </c>
      <c r="K905" s="2" t="str">
        <v>Electronics</v>
      </c>
      <c r="L905" s="2" t="str">
        <v>Gomez-Lawrence</v>
      </c>
      <c r="M905" s="2">
        <v>72.37</v>
      </c>
      <c r="N905" s="16">
        <f t="shared" si="14"/>
        <v>0.28151915821220425</v>
      </c>
    </row>
    <row r="906" spans="2:14" ht="14.4" customHeight="1" x14ac:dyDescent="0.3">
      <c r="B906" s="2" t="s">
        <v>911</v>
      </c>
      <c r="C906" s="3">
        <v>45361</v>
      </c>
      <c r="D906" s="2" t="s">
        <v>2010</v>
      </c>
      <c r="E906" s="2" t="s">
        <v>2024</v>
      </c>
      <c r="F906" s="4">
        <v>1547.83</v>
      </c>
      <c r="G906" s="5">
        <v>906.47</v>
      </c>
      <c r="H906" s="6">
        <v>13</v>
      </c>
      <c r="I906" s="2" t="s">
        <v>2118</v>
      </c>
      <c r="J906" s="2" t="str">
        <v>Target Viral Methodologies</v>
      </c>
      <c r="K906" s="2" t="str">
        <v>Electronics</v>
      </c>
      <c r="L906" s="2" t="str">
        <v>Alvarez, Myers and Walter</v>
      </c>
      <c r="M906" s="2">
        <v>149.26</v>
      </c>
      <c r="N906" s="16">
        <f t="shared" si="14"/>
        <v>0.58563924978841353</v>
      </c>
    </row>
    <row r="907" spans="2:14" ht="14.4" customHeight="1" x14ac:dyDescent="0.3">
      <c r="B907" s="2" t="s">
        <v>912</v>
      </c>
      <c r="C907" s="3">
        <v>44924</v>
      </c>
      <c r="D907" s="2" t="s">
        <v>2012</v>
      </c>
      <c r="E907" s="2" t="s">
        <v>2105</v>
      </c>
      <c r="F907" s="4">
        <v>2092.61</v>
      </c>
      <c r="G907" s="5">
        <v>973.59</v>
      </c>
      <c r="H907" s="6">
        <v>8</v>
      </c>
      <c r="I907" s="2" t="s">
        <v>2118</v>
      </c>
      <c r="J907" s="2" t="str">
        <v>Brand B2C Info-Mediaries</v>
      </c>
      <c r="K907" s="2" t="str">
        <v>Office Supplies</v>
      </c>
      <c r="L907" s="2" t="str">
        <v>Preston Ltd</v>
      </c>
      <c r="M907" s="2">
        <v>13.46</v>
      </c>
      <c r="N907" s="16">
        <f t="shared" si="14"/>
        <v>0.46525152799613878</v>
      </c>
    </row>
    <row r="908" spans="2:14" ht="14.4" customHeight="1" x14ac:dyDescent="0.3">
      <c r="B908" s="2" t="s">
        <v>913</v>
      </c>
      <c r="C908" s="3">
        <v>44048</v>
      </c>
      <c r="D908" s="2" t="s">
        <v>2011</v>
      </c>
      <c r="E908" s="2" t="s">
        <v>2097</v>
      </c>
      <c r="F908" s="4">
        <v>4156.7700000000004</v>
      </c>
      <c r="G908" s="5">
        <v>502.89</v>
      </c>
      <c r="H908" s="6">
        <v>10</v>
      </c>
      <c r="I908" s="2" t="s">
        <v>2118</v>
      </c>
      <c r="J908" s="2" t="str">
        <v>Generate End-To-End Functionalities</v>
      </c>
      <c r="K908" s="2" t="str">
        <v>Electronics</v>
      </c>
      <c r="L908" s="2" t="str">
        <v>Sanchez-Stewart</v>
      </c>
      <c r="M908" s="2">
        <v>196.15</v>
      </c>
      <c r="N908" s="16">
        <f t="shared" si="14"/>
        <v>0.12098095396185017</v>
      </c>
    </row>
    <row r="909" spans="2:14" ht="14.4" customHeight="1" x14ac:dyDescent="0.3">
      <c r="B909" s="2" t="s">
        <v>914</v>
      </c>
      <c r="C909" s="3">
        <v>45454</v>
      </c>
      <c r="D909" s="2" t="s">
        <v>2012</v>
      </c>
      <c r="E909" s="2" t="s">
        <v>2088</v>
      </c>
      <c r="F909" s="4">
        <v>961.38</v>
      </c>
      <c r="G909" s="5">
        <v>731.16</v>
      </c>
      <c r="H909" s="6">
        <v>18</v>
      </c>
      <c r="I909" s="2" t="s">
        <v>2117</v>
      </c>
      <c r="J909" s="2" t="str">
        <v>E-Enable Holistic Supply-Chains</v>
      </c>
      <c r="K909" s="2" t="str">
        <v>Furniture</v>
      </c>
      <c r="L909" s="2" t="str">
        <v>Lin-Mcdaniel</v>
      </c>
      <c r="M909" s="2">
        <v>160.33000000000001</v>
      </c>
      <c r="N909" s="16">
        <f t="shared" si="14"/>
        <v>0.76053173563003185</v>
      </c>
    </row>
    <row r="910" spans="2:14" ht="14.4" customHeight="1" x14ac:dyDescent="0.3">
      <c r="B910" s="2" t="s">
        <v>915</v>
      </c>
      <c r="C910" s="3">
        <v>45037</v>
      </c>
      <c r="D910" s="2" t="s">
        <v>2010</v>
      </c>
      <c r="E910" s="2" t="s">
        <v>2057</v>
      </c>
      <c r="F910" s="4">
        <v>1265.55</v>
      </c>
      <c r="G910" s="5">
        <v>981.43</v>
      </c>
      <c r="H910" s="6">
        <v>1</v>
      </c>
      <c r="I910" s="2" t="s">
        <v>2117</v>
      </c>
      <c r="J910" s="2" t="str">
        <v>Reinvent Out-Of-The-Box Models</v>
      </c>
      <c r="K910" s="2" t="str">
        <v>Office Supplies</v>
      </c>
      <c r="L910" s="2" t="str">
        <v>Wagner-Curtis</v>
      </c>
      <c r="M910" s="2">
        <v>172.34</v>
      </c>
      <c r="N910" s="16">
        <f t="shared" si="14"/>
        <v>0.77549681956461614</v>
      </c>
    </row>
    <row r="911" spans="2:14" ht="14.4" customHeight="1" x14ac:dyDescent="0.3">
      <c r="B911" s="2" t="s">
        <v>916</v>
      </c>
      <c r="C911" s="3">
        <v>45190</v>
      </c>
      <c r="D911" s="2" t="s">
        <v>2010</v>
      </c>
      <c r="E911" s="2" t="s">
        <v>2065</v>
      </c>
      <c r="F911" s="4">
        <v>2295.4</v>
      </c>
      <c r="G911" s="5">
        <v>560.91999999999996</v>
      </c>
      <c r="H911" s="6">
        <v>9</v>
      </c>
      <c r="I911" s="2" t="s">
        <v>2117</v>
      </c>
      <c r="J911" s="2" t="str">
        <v>Re-Contextualize Integrated Info-Mediaries</v>
      </c>
      <c r="K911" s="2" t="str">
        <v>Electronics</v>
      </c>
      <c r="L911" s="2" t="str">
        <v>Jones-Schroeder</v>
      </c>
      <c r="M911" s="2">
        <v>26.02</v>
      </c>
      <c r="N911" s="16">
        <f t="shared" si="14"/>
        <v>0.24436699485928376</v>
      </c>
    </row>
    <row r="912" spans="2:14" ht="14.4" customHeight="1" x14ac:dyDescent="0.3">
      <c r="B912" s="2" t="s">
        <v>917</v>
      </c>
      <c r="C912" s="3">
        <v>43863</v>
      </c>
      <c r="D912" s="2" t="s">
        <v>2009</v>
      </c>
      <c r="E912" s="2" t="s">
        <v>2034</v>
      </c>
      <c r="F912" s="4">
        <v>1896.6</v>
      </c>
      <c r="G912" s="5">
        <v>231.21</v>
      </c>
      <c r="H912" s="6">
        <v>5</v>
      </c>
      <c r="I912" s="2" t="s">
        <v>2118</v>
      </c>
      <c r="J912" s="2" t="str">
        <v>Utilize Virtual Partnerships</v>
      </c>
      <c r="K912" s="2" t="str">
        <v>Furniture</v>
      </c>
      <c r="L912" s="2" t="str">
        <v>Smith, Diaz and Heath</v>
      </c>
      <c r="M912" s="2">
        <v>193.02</v>
      </c>
      <c r="N912" s="16">
        <f t="shared" si="14"/>
        <v>0.1219076241695666</v>
      </c>
    </row>
    <row r="913" spans="2:14" ht="14.4" customHeight="1" x14ac:dyDescent="0.3">
      <c r="B913" s="2" t="s">
        <v>918</v>
      </c>
      <c r="C913" s="3">
        <v>44366</v>
      </c>
      <c r="D913" s="2" t="s">
        <v>2010</v>
      </c>
      <c r="E913" s="2" t="s">
        <v>2094</v>
      </c>
      <c r="F913" s="4">
        <v>1925.44</v>
      </c>
      <c r="G913" s="5">
        <v>870.16</v>
      </c>
      <c r="H913" s="6">
        <v>1</v>
      </c>
      <c r="I913" s="2" t="s">
        <v>2116</v>
      </c>
      <c r="J913" s="2" t="str">
        <v>Implement Rich Platforms</v>
      </c>
      <c r="K913" s="2" t="str">
        <v>Electronics</v>
      </c>
      <c r="L913" s="2" t="str">
        <v>Parker, Anderson and Salazar</v>
      </c>
      <c r="M913" s="2">
        <v>53.59</v>
      </c>
      <c r="N913" s="16">
        <f t="shared" si="14"/>
        <v>0.45192787103207577</v>
      </c>
    </row>
    <row r="914" spans="2:14" ht="14.4" customHeight="1" x14ac:dyDescent="0.3">
      <c r="B914" s="2" t="s">
        <v>919</v>
      </c>
      <c r="C914" s="3">
        <v>44770</v>
      </c>
      <c r="D914" s="2" t="s">
        <v>2009</v>
      </c>
      <c r="E914" s="2" t="s">
        <v>2050</v>
      </c>
      <c r="F914" s="4">
        <v>2745.37</v>
      </c>
      <c r="G914" s="5">
        <v>360.54</v>
      </c>
      <c r="H914" s="6">
        <v>19</v>
      </c>
      <c r="I914" s="2" t="s">
        <v>2116</v>
      </c>
      <c r="J914" s="2" t="str">
        <v>Extend Bricks-And-Clicks Architectures</v>
      </c>
      <c r="K914" s="2" t="str">
        <v>Furniture</v>
      </c>
      <c r="L914" s="2" t="str">
        <v>Fuller PLC</v>
      </c>
      <c r="M914" s="2">
        <v>202.99</v>
      </c>
      <c r="N914" s="16">
        <f t="shared" si="14"/>
        <v>0.13132656071859167</v>
      </c>
    </row>
    <row r="915" spans="2:14" ht="14.4" customHeight="1" x14ac:dyDescent="0.3">
      <c r="B915" s="2" t="s">
        <v>920</v>
      </c>
      <c r="C915" s="3">
        <v>43935</v>
      </c>
      <c r="D915" s="2" t="s">
        <v>2011</v>
      </c>
      <c r="E915" s="2" t="s">
        <v>2018</v>
      </c>
      <c r="F915" s="4">
        <v>4864.33</v>
      </c>
      <c r="G915" s="5">
        <v>175.01</v>
      </c>
      <c r="H915" s="6">
        <v>12</v>
      </c>
      <c r="I915" s="2" t="s">
        <v>2116</v>
      </c>
      <c r="J915" s="2" t="str">
        <v>Deliver Sticky Networks</v>
      </c>
      <c r="K915" s="2" t="str">
        <v>Furniture</v>
      </c>
      <c r="L915" s="2" t="str">
        <v>Massey LLC</v>
      </c>
      <c r="M915" s="2">
        <v>272.33</v>
      </c>
      <c r="N915" s="16">
        <f t="shared" si="14"/>
        <v>3.5978233384659344E-2</v>
      </c>
    </row>
    <row r="916" spans="2:14" ht="14.4" customHeight="1" x14ac:dyDescent="0.3">
      <c r="B916" s="2" t="s">
        <v>921</v>
      </c>
      <c r="C916" s="3">
        <v>44367</v>
      </c>
      <c r="D916" s="2" t="s">
        <v>2012</v>
      </c>
      <c r="E916" s="2" t="s">
        <v>2046</v>
      </c>
      <c r="F916" s="4">
        <v>2892.74</v>
      </c>
      <c r="G916" s="5">
        <v>986.21</v>
      </c>
      <c r="H916" s="6">
        <v>10</v>
      </c>
      <c r="I916" s="2" t="s">
        <v>2118</v>
      </c>
      <c r="J916" s="2" t="str">
        <v>Facilitate End-To-End Experiences</v>
      </c>
      <c r="K916" s="2" t="str">
        <v>Office Supplies</v>
      </c>
      <c r="L916" s="2" t="str">
        <v>Pierce-Goodwin</v>
      </c>
      <c r="M916" s="2">
        <v>260.52999999999997</v>
      </c>
      <c r="N916" s="16">
        <f t="shared" si="14"/>
        <v>0.34092590416006974</v>
      </c>
    </row>
    <row r="917" spans="2:14" ht="14.4" customHeight="1" x14ac:dyDescent="0.3">
      <c r="B917" s="2" t="s">
        <v>922</v>
      </c>
      <c r="C917" s="3">
        <v>44254</v>
      </c>
      <c r="D917" s="2" t="s">
        <v>2010</v>
      </c>
      <c r="E917" s="2" t="s">
        <v>2062</v>
      </c>
      <c r="F917" s="4">
        <v>4935.7700000000004</v>
      </c>
      <c r="G917" s="5">
        <v>110.04</v>
      </c>
      <c r="H917" s="6">
        <v>17</v>
      </c>
      <c r="I917" s="2" t="s">
        <v>2117</v>
      </c>
      <c r="J917" s="2" t="str">
        <v>Incubate Real-Time E-Tailers</v>
      </c>
      <c r="K917" s="2" t="str">
        <v>Electronics</v>
      </c>
      <c r="L917" s="2" t="str">
        <v>Johnson-Riley</v>
      </c>
      <c r="M917" s="2">
        <v>86.67</v>
      </c>
      <c r="N917" s="16">
        <f t="shared" si="14"/>
        <v>2.2294393782530383E-2</v>
      </c>
    </row>
    <row r="918" spans="2:14" ht="14.4" customHeight="1" x14ac:dyDescent="0.3">
      <c r="B918" s="2" t="s">
        <v>923</v>
      </c>
      <c r="C918" s="3">
        <v>44655</v>
      </c>
      <c r="D918" s="2" t="s">
        <v>2011</v>
      </c>
      <c r="E918" s="2" t="s">
        <v>2053</v>
      </c>
      <c r="F918" s="4">
        <v>2656.9</v>
      </c>
      <c r="G918" s="5">
        <v>579.1</v>
      </c>
      <c r="H918" s="6">
        <v>19</v>
      </c>
      <c r="I918" s="2" t="s">
        <v>2116</v>
      </c>
      <c r="J918" s="2" t="str">
        <v>Transition Mission-Critical Interfaces</v>
      </c>
      <c r="K918" s="2" t="str">
        <v>Office Supplies</v>
      </c>
      <c r="L918" s="2" t="str">
        <v>Weaver Ltd</v>
      </c>
      <c r="M918" s="2">
        <v>34.64</v>
      </c>
      <c r="N918" s="16">
        <f t="shared" si="14"/>
        <v>0.21796078136173735</v>
      </c>
    </row>
    <row r="919" spans="2:14" ht="14.4" customHeight="1" x14ac:dyDescent="0.3">
      <c r="B919" s="2" t="s">
        <v>924</v>
      </c>
      <c r="C919" s="3">
        <v>45257</v>
      </c>
      <c r="D919" s="2" t="s">
        <v>2009</v>
      </c>
      <c r="E919" s="2" t="s">
        <v>2018</v>
      </c>
      <c r="F919" s="4">
        <v>3245.76</v>
      </c>
      <c r="G919" s="5">
        <v>537.34</v>
      </c>
      <c r="H919" s="6">
        <v>3</v>
      </c>
      <c r="I919" s="2" t="s">
        <v>2118</v>
      </c>
      <c r="J919" s="2" t="str">
        <v>Deliver Sticky Networks</v>
      </c>
      <c r="K919" s="2" t="str">
        <v>Furniture</v>
      </c>
      <c r="L919" s="2" t="str">
        <v>Massey LLC</v>
      </c>
      <c r="M919" s="2">
        <v>272.33</v>
      </c>
      <c r="N919" s="16">
        <f t="shared" si="14"/>
        <v>0.16555136547372573</v>
      </c>
    </row>
    <row r="920" spans="2:14" ht="14.4" customHeight="1" x14ac:dyDescent="0.3">
      <c r="B920" s="2" t="s">
        <v>925</v>
      </c>
      <c r="C920" s="3">
        <v>44823</v>
      </c>
      <c r="D920" s="2" t="s">
        <v>2011</v>
      </c>
      <c r="E920" s="2" t="s">
        <v>2035</v>
      </c>
      <c r="F920" s="4">
        <v>3456.85</v>
      </c>
      <c r="G920" s="5">
        <v>340</v>
      </c>
      <c r="H920" s="6">
        <v>18</v>
      </c>
      <c r="I920" s="2" t="s">
        <v>2117</v>
      </c>
      <c r="J920" s="2" t="str">
        <v>Optimize 24/365 E-Services</v>
      </c>
      <c r="K920" s="2" t="str">
        <v>Office Supplies</v>
      </c>
      <c r="L920" s="2" t="str">
        <v>Chase Ltd</v>
      </c>
      <c r="M920" s="2">
        <v>100.35</v>
      </c>
      <c r="N920" s="16">
        <f t="shared" si="14"/>
        <v>9.8355439200428135E-2</v>
      </c>
    </row>
    <row r="921" spans="2:14" ht="14.4" customHeight="1" x14ac:dyDescent="0.3">
      <c r="B921" s="2" t="s">
        <v>926</v>
      </c>
      <c r="C921" s="3">
        <v>44588</v>
      </c>
      <c r="D921" s="2" t="s">
        <v>2009</v>
      </c>
      <c r="E921" s="2" t="s">
        <v>2092</v>
      </c>
      <c r="F921" s="4">
        <v>2812.06</v>
      </c>
      <c r="G921" s="5">
        <v>628.69000000000005</v>
      </c>
      <c r="H921" s="6">
        <v>11</v>
      </c>
      <c r="I921" s="2" t="s">
        <v>2118</v>
      </c>
      <c r="J921" s="2" t="str">
        <v>Seize Clicks-And-Mortar Platforms</v>
      </c>
      <c r="K921" s="2" t="str">
        <v>Office Supplies</v>
      </c>
      <c r="L921" s="2" t="str">
        <v>Owens, Campos and Wood</v>
      </c>
      <c r="M921" s="2">
        <v>271.16000000000003</v>
      </c>
      <c r="N921" s="16">
        <f t="shared" si="14"/>
        <v>0.22356919838125788</v>
      </c>
    </row>
    <row r="922" spans="2:14" ht="14.4" customHeight="1" x14ac:dyDescent="0.3">
      <c r="B922" s="2" t="s">
        <v>927</v>
      </c>
      <c r="C922" s="3">
        <v>44089</v>
      </c>
      <c r="D922" s="2" t="s">
        <v>2010</v>
      </c>
      <c r="E922" s="2" t="s">
        <v>2063</v>
      </c>
      <c r="F922" s="4">
        <v>3859.4</v>
      </c>
      <c r="G922" s="5">
        <v>634.25</v>
      </c>
      <c r="H922" s="6">
        <v>17</v>
      </c>
      <c r="I922" s="2" t="s">
        <v>2118</v>
      </c>
      <c r="J922" s="2" t="str">
        <v>Unleash End-To-End Web Services</v>
      </c>
      <c r="K922" s="2" t="str">
        <v>Office Supplies</v>
      </c>
      <c r="L922" s="2" t="str">
        <v>Jones Ltd</v>
      </c>
      <c r="M922" s="2">
        <v>188.02</v>
      </c>
      <c r="N922" s="16">
        <f t="shared" si="14"/>
        <v>0.16433901642742396</v>
      </c>
    </row>
    <row r="923" spans="2:14" ht="14.4" customHeight="1" x14ac:dyDescent="0.3">
      <c r="B923" s="2" t="s">
        <v>928</v>
      </c>
      <c r="C923" s="3">
        <v>43934</v>
      </c>
      <c r="D923" s="2" t="s">
        <v>2011</v>
      </c>
      <c r="E923" s="2" t="s">
        <v>2013</v>
      </c>
      <c r="F923" s="4">
        <v>797.82</v>
      </c>
      <c r="G923" s="5">
        <v>238.06</v>
      </c>
      <c r="H923" s="6">
        <v>9</v>
      </c>
      <c r="I923" s="2" t="s">
        <v>2116</v>
      </c>
      <c r="J923" s="2" t="str">
        <v>Re-Intermediate Seamless Applications</v>
      </c>
      <c r="K923" s="2" t="str">
        <v>Office Supplies</v>
      </c>
      <c r="L923" s="2" t="str">
        <v>Welch-Reed</v>
      </c>
      <c r="M923" s="2">
        <v>45.82</v>
      </c>
      <c r="N923" s="16">
        <f t="shared" si="14"/>
        <v>0.29838810759319145</v>
      </c>
    </row>
    <row r="924" spans="2:14" ht="14.4" customHeight="1" x14ac:dyDescent="0.3">
      <c r="B924" s="2" t="s">
        <v>929</v>
      </c>
      <c r="C924" s="3">
        <v>45277</v>
      </c>
      <c r="D924" s="2" t="s">
        <v>2010</v>
      </c>
      <c r="E924" s="2" t="s">
        <v>2044</v>
      </c>
      <c r="F924" s="4">
        <v>4030.23</v>
      </c>
      <c r="G924" s="5">
        <v>163.66</v>
      </c>
      <c r="H924" s="6">
        <v>18</v>
      </c>
      <c r="I924" s="2" t="s">
        <v>2117</v>
      </c>
      <c r="J924" s="2" t="str">
        <v>Grow Back-End Supply-Chains</v>
      </c>
      <c r="K924" s="2" t="str">
        <v>Electronics</v>
      </c>
      <c r="L924" s="2" t="str">
        <v>Green LLC</v>
      </c>
      <c r="M924" s="2">
        <v>140.08000000000001</v>
      </c>
      <c r="N924" s="16">
        <f t="shared" si="14"/>
        <v>4.0608104252114641E-2</v>
      </c>
    </row>
    <row r="925" spans="2:14" ht="14.4" customHeight="1" x14ac:dyDescent="0.3">
      <c r="B925" s="2" t="s">
        <v>930</v>
      </c>
      <c r="C925" s="3">
        <v>44040</v>
      </c>
      <c r="D925" s="2" t="s">
        <v>2010</v>
      </c>
      <c r="E925" s="2" t="s">
        <v>2075</v>
      </c>
      <c r="F925" s="4">
        <v>4405.8100000000004</v>
      </c>
      <c r="G925" s="5">
        <v>125.66</v>
      </c>
      <c r="H925" s="6">
        <v>18</v>
      </c>
      <c r="I925" s="2" t="s">
        <v>2118</v>
      </c>
      <c r="J925" s="2" t="str">
        <v>Reinvent Visionary Niches</v>
      </c>
      <c r="K925" s="2" t="str">
        <v>Furniture</v>
      </c>
      <c r="L925" s="2" t="str">
        <v>Huber-Richmond</v>
      </c>
      <c r="M925" s="2">
        <v>219.81</v>
      </c>
      <c r="N925" s="16">
        <f t="shared" si="14"/>
        <v>2.852142965765659E-2</v>
      </c>
    </row>
    <row r="926" spans="2:14" ht="14.4" customHeight="1" x14ac:dyDescent="0.3">
      <c r="B926" s="2" t="s">
        <v>931</v>
      </c>
      <c r="C926" s="3">
        <v>44469</v>
      </c>
      <c r="D926" s="2" t="s">
        <v>2011</v>
      </c>
      <c r="E926" s="2" t="s">
        <v>2079</v>
      </c>
      <c r="F926" s="4">
        <v>4490.3599999999997</v>
      </c>
      <c r="G926" s="5">
        <v>179.89</v>
      </c>
      <c r="H926" s="6">
        <v>6</v>
      </c>
      <c r="I926" s="2" t="s">
        <v>2116</v>
      </c>
      <c r="J926" s="2" t="str">
        <v>Iterate Extensible Roi</v>
      </c>
      <c r="K926" s="2" t="str">
        <v>Office Supplies</v>
      </c>
      <c r="L926" s="2" t="str">
        <v>Hill-Kelly</v>
      </c>
      <c r="M926" s="2">
        <v>180</v>
      </c>
      <c r="N926" s="16">
        <f t="shared" si="14"/>
        <v>4.0061375925315564E-2</v>
      </c>
    </row>
    <row r="927" spans="2:14" ht="14.4" customHeight="1" x14ac:dyDescent="0.3">
      <c r="B927" s="2" t="s">
        <v>932</v>
      </c>
      <c r="C927" s="3">
        <v>43891</v>
      </c>
      <c r="D927" s="2" t="s">
        <v>2010</v>
      </c>
      <c r="E927" s="2" t="s">
        <v>2032</v>
      </c>
      <c r="F927" s="4">
        <v>4026.79</v>
      </c>
      <c r="G927" s="5">
        <v>606.91</v>
      </c>
      <c r="H927" s="6">
        <v>9</v>
      </c>
      <c r="I927" s="2" t="s">
        <v>2116</v>
      </c>
      <c r="J927" s="2" t="str">
        <v>Reinvent Frictionless Roi</v>
      </c>
      <c r="K927" s="2" t="str">
        <v>Furniture</v>
      </c>
      <c r="L927" s="2" t="str">
        <v>Bridges, Castillo and Rodriguez</v>
      </c>
      <c r="M927" s="2">
        <v>253.89</v>
      </c>
      <c r="N927" s="16">
        <f t="shared" si="14"/>
        <v>0.1507180657546085</v>
      </c>
    </row>
    <row r="928" spans="2:14" ht="14.4" customHeight="1" x14ac:dyDescent="0.3">
      <c r="B928" s="2" t="s">
        <v>933</v>
      </c>
      <c r="C928" s="3">
        <v>43898</v>
      </c>
      <c r="D928" s="2" t="s">
        <v>2009</v>
      </c>
      <c r="E928" s="2" t="s">
        <v>2042</v>
      </c>
      <c r="F928" s="4">
        <v>862.65</v>
      </c>
      <c r="G928" s="5">
        <v>276.13</v>
      </c>
      <c r="H928" s="6">
        <v>15</v>
      </c>
      <c r="I928" s="2" t="s">
        <v>2116</v>
      </c>
      <c r="J928" s="2" t="str">
        <v>Orchestrate E-Business Niches</v>
      </c>
      <c r="K928" s="2" t="str">
        <v>Furniture</v>
      </c>
      <c r="L928" s="2" t="str">
        <v>Johnson LLC</v>
      </c>
      <c r="M928" s="2">
        <v>198.99</v>
      </c>
      <c r="N928" s="16">
        <f t="shared" si="14"/>
        <v>0.32009505593230164</v>
      </c>
    </row>
    <row r="929" spans="2:14" ht="14.4" customHeight="1" x14ac:dyDescent="0.3">
      <c r="B929" s="2" t="s">
        <v>934</v>
      </c>
      <c r="C929" s="3">
        <v>44562</v>
      </c>
      <c r="D929" s="2" t="s">
        <v>2011</v>
      </c>
      <c r="E929" s="2" t="s">
        <v>2083</v>
      </c>
      <c r="F929" s="4">
        <v>1830.36</v>
      </c>
      <c r="G929" s="5">
        <v>532.41</v>
      </c>
      <c r="H929" s="6">
        <v>3</v>
      </c>
      <c r="I929" s="2" t="s">
        <v>2117</v>
      </c>
      <c r="J929" s="2" t="str">
        <v>Whiteboard Sticky Content</v>
      </c>
      <c r="K929" s="2" t="str">
        <v>Furniture</v>
      </c>
      <c r="L929" s="2" t="str">
        <v>Wolfe Group</v>
      </c>
      <c r="M929" s="2">
        <v>82.16</v>
      </c>
      <c r="N929" s="16">
        <f t="shared" si="14"/>
        <v>0.29087720448436372</v>
      </c>
    </row>
    <row r="930" spans="2:14" ht="14.4" customHeight="1" x14ac:dyDescent="0.3">
      <c r="B930" s="2" t="s">
        <v>935</v>
      </c>
      <c r="C930" s="3">
        <v>44366</v>
      </c>
      <c r="D930" s="2" t="s">
        <v>2012</v>
      </c>
      <c r="E930" s="2" t="s">
        <v>2070</v>
      </c>
      <c r="F930" s="4">
        <v>3671.1</v>
      </c>
      <c r="G930" s="5">
        <v>263.33999999999997</v>
      </c>
      <c r="H930" s="6">
        <v>6</v>
      </c>
      <c r="I930" s="2" t="s">
        <v>2118</v>
      </c>
      <c r="J930" s="2" t="str">
        <v>Seize Plug-And-Play Web-Readiness</v>
      </c>
      <c r="K930" s="2" t="str">
        <v>Electronics</v>
      </c>
      <c r="L930" s="2" t="str">
        <v>Joseph, Mayer and Carr</v>
      </c>
      <c r="M930" s="2">
        <v>102.73</v>
      </c>
      <c r="N930" s="16">
        <f t="shared" si="14"/>
        <v>7.1733267957832803E-2</v>
      </c>
    </row>
    <row r="931" spans="2:14" ht="14.4" customHeight="1" x14ac:dyDescent="0.3">
      <c r="B931" s="2" t="s">
        <v>936</v>
      </c>
      <c r="C931" s="3">
        <v>45459</v>
      </c>
      <c r="D931" s="2" t="s">
        <v>2010</v>
      </c>
      <c r="E931" s="2" t="s">
        <v>2073</v>
      </c>
      <c r="F931" s="4">
        <v>4822.9399999999996</v>
      </c>
      <c r="G931" s="5">
        <v>511.92</v>
      </c>
      <c r="H931" s="6">
        <v>5</v>
      </c>
      <c r="I931" s="2" t="s">
        <v>2117</v>
      </c>
      <c r="J931" s="2" t="str">
        <v>Visualize Dynamic E-Commerce</v>
      </c>
      <c r="K931" s="2" t="str">
        <v>Furniture</v>
      </c>
      <c r="L931" s="2" t="str">
        <v>Jones LLC</v>
      </c>
      <c r="M931" s="2">
        <v>92.61</v>
      </c>
      <c r="N931" s="16">
        <f t="shared" si="14"/>
        <v>0.10614272622093579</v>
      </c>
    </row>
    <row r="932" spans="2:14" ht="14.4" customHeight="1" x14ac:dyDescent="0.3">
      <c r="B932" s="2" t="s">
        <v>937</v>
      </c>
      <c r="C932" s="3">
        <v>44546</v>
      </c>
      <c r="D932" s="2" t="s">
        <v>2011</v>
      </c>
      <c r="E932" s="2" t="s">
        <v>2038</v>
      </c>
      <c r="F932" s="4">
        <v>50.76</v>
      </c>
      <c r="G932" s="5">
        <v>306.44</v>
      </c>
      <c r="H932" s="6">
        <v>13</v>
      </c>
      <c r="I932" s="2" t="s">
        <v>2118</v>
      </c>
      <c r="J932" s="2" t="str">
        <v>Reinvent Mission-Critical Markets</v>
      </c>
      <c r="K932" s="2" t="str">
        <v>Furniture</v>
      </c>
      <c r="L932" s="2" t="str">
        <v>Gilbert-Sanders</v>
      </c>
      <c r="M932" s="2">
        <v>154.21</v>
      </c>
      <c r="N932" s="16">
        <f t="shared" si="14"/>
        <v>6.0370370370370372</v>
      </c>
    </row>
    <row r="933" spans="2:14" ht="14.4" customHeight="1" x14ac:dyDescent="0.3">
      <c r="B933" s="2" t="s">
        <v>938</v>
      </c>
      <c r="C933" s="3">
        <v>44526</v>
      </c>
      <c r="D933" s="2" t="s">
        <v>2010</v>
      </c>
      <c r="E933" s="2" t="s">
        <v>2025</v>
      </c>
      <c r="F933" s="4">
        <v>1323.41</v>
      </c>
      <c r="G933" s="5">
        <v>961.55</v>
      </c>
      <c r="H933" s="6">
        <v>1</v>
      </c>
      <c r="I933" s="2" t="s">
        <v>2116</v>
      </c>
      <c r="J933" s="2" t="str">
        <v>Streamline Innovative Architectures</v>
      </c>
      <c r="K933" s="2" t="str">
        <v>Furniture</v>
      </c>
      <c r="L933" s="2" t="str">
        <v>Price, Valentine and Lutz</v>
      </c>
      <c r="M933" s="2">
        <v>291.14999999999998</v>
      </c>
      <c r="N933" s="16">
        <f t="shared" si="14"/>
        <v>0.72656999720419213</v>
      </c>
    </row>
    <row r="934" spans="2:14" ht="14.4" customHeight="1" x14ac:dyDescent="0.3">
      <c r="B934" s="2" t="s">
        <v>939</v>
      </c>
      <c r="C934" s="3">
        <v>43888</v>
      </c>
      <c r="D934" s="2" t="s">
        <v>2012</v>
      </c>
      <c r="E934" s="2" t="s">
        <v>2016</v>
      </c>
      <c r="F934" s="4">
        <v>1993</v>
      </c>
      <c r="G934" s="5">
        <v>140.44</v>
      </c>
      <c r="H934" s="6">
        <v>4</v>
      </c>
      <c r="I934" s="2" t="s">
        <v>2117</v>
      </c>
      <c r="J934" s="2" t="str">
        <v>Revolutionize Efficient Niches</v>
      </c>
      <c r="K934" s="2" t="str">
        <v>Electronics</v>
      </c>
      <c r="L934" s="2" t="str">
        <v>Lopez-Torres</v>
      </c>
      <c r="M934" s="2">
        <v>23.02</v>
      </c>
      <c r="N934" s="16">
        <f t="shared" si="14"/>
        <v>7.0466633216256902E-2</v>
      </c>
    </row>
    <row r="935" spans="2:14" ht="14.4" customHeight="1" x14ac:dyDescent="0.3">
      <c r="B935" s="2" t="s">
        <v>940</v>
      </c>
      <c r="C935" s="3">
        <v>43876</v>
      </c>
      <c r="D935" s="2" t="s">
        <v>2011</v>
      </c>
      <c r="E935" s="2" t="s">
        <v>2015</v>
      </c>
      <c r="F935" s="4">
        <v>4982.66</v>
      </c>
      <c r="G935" s="5">
        <v>145.22999999999999</v>
      </c>
      <c r="H935" s="6">
        <v>16</v>
      </c>
      <c r="I935" s="2" t="s">
        <v>2118</v>
      </c>
      <c r="J935" s="2" t="str">
        <v>Brand Web-Enabled Solutions</v>
      </c>
      <c r="K935" s="2" t="str">
        <v>Electronics</v>
      </c>
      <c r="L935" s="2" t="str">
        <v>Russell Group</v>
      </c>
      <c r="M935" s="2">
        <v>51.67</v>
      </c>
      <c r="N935" s="16">
        <f t="shared" si="14"/>
        <v>2.9147082080655713E-2</v>
      </c>
    </row>
    <row r="936" spans="2:14" ht="14.4" customHeight="1" x14ac:dyDescent="0.3">
      <c r="B936" s="2" t="s">
        <v>941</v>
      </c>
      <c r="C936" s="3">
        <v>44456</v>
      </c>
      <c r="D936" s="2" t="s">
        <v>2009</v>
      </c>
      <c r="E936" s="2" t="s">
        <v>2062</v>
      </c>
      <c r="F936" s="4">
        <v>3253.73</v>
      </c>
      <c r="G936" s="5">
        <v>921.66</v>
      </c>
      <c r="H936" s="6">
        <v>8</v>
      </c>
      <c r="I936" s="2" t="s">
        <v>2118</v>
      </c>
      <c r="J936" s="2" t="str">
        <v>Incubate Real-Time E-Tailers</v>
      </c>
      <c r="K936" s="2" t="str">
        <v>Electronics</v>
      </c>
      <c r="L936" s="2" t="str">
        <v>Johnson-Riley</v>
      </c>
      <c r="M936" s="2">
        <v>86.67</v>
      </c>
      <c r="N936" s="16">
        <f t="shared" si="14"/>
        <v>0.28326259400749293</v>
      </c>
    </row>
    <row r="937" spans="2:14" ht="14.4" customHeight="1" x14ac:dyDescent="0.3">
      <c r="B937" s="2" t="s">
        <v>942</v>
      </c>
      <c r="C937" s="3">
        <v>45401</v>
      </c>
      <c r="D937" s="2" t="s">
        <v>2009</v>
      </c>
      <c r="E937" s="2" t="s">
        <v>2020</v>
      </c>
      <c r="F937" s="4">
        <v>1435.62</v>
      </c>
      <c r="G937" s="5">
        <v>957.79</v>
      </c>
      <c r="H937" s="6">
        <v>17</v>
      </c>
      <c r="I937" s="2" t="s">
        <v>2117</v>
      </c>
      <c r="J937" s="2" t="str">
        <v>Harness Revolutionary Interfaces</v>
      </c>
      <c r="K937" s="2" t="str">
        <v>Furniture</v>
      </c>
      <c r="L937" s="2" t="str">
        <v>Davis, Short and Nguyen</v>
      </c>
      <c r="M937" s="2">
        <v>26.49</v>
      </c>
      <c r="N937" s="16">
        <f t="shared" si="14"/>
        <v>0.66716122650840759</v>
      </c>
    </row>
    <row r="938" spans="2:14" ht="14.4" customHeight="1" x14ac:dyDescent="0.3">
      <c r="B938" s="2" t="s">
        <v>943</v>
      </c>
      <c r="C938" s="3">
        <v>45416</v>
      </c>
      <c r="D938" s="2" t="s">
        <v>2012</v>
      </c>
      <c r="E938" s="2" t="s">
        <v>2080</v>
      </c>
      <c r="F938" s="4">
        <v>2718.57</v>
      </c>
      <c r="G938" s="5">
        <v>273.52</v>
      </c>
      <c r="H938" s="6">
        <v>1</v>
      </c>
      <c r="I938" s="2" t="s">
        <v>2118</v>
      </c>
      <c r="J938" s="2" t="str">
        <v>Scale Vertical Networks</v>
      </c>
      <c r="K938" s="2" t="str">
        <v>Furniture</v>
      </c>
      <c r="L938" s="2" t="str">
        <v>Lam, Wood and Jacobs</v>
      </c>
      <c r="M938" s="2">
        <v>133.24</v>
      </c>
      <c r="N938" s="16">
        <f t="shared" si="14"/>
        <v>0.10061171866091363</v>
      </c>
    </row>
    <row r="939" spans="2:14" ht="14.4" customHeight="1" x14ac:dyDescent="0.3">
      <c r="B939" s="2" t="s">
        <v>944</v>
      </c>
      <c r="C939" s="3">
        <v>44896</v>
      </c>
      <c r="D939" s="2" t="s">
        <v>2010</v>
      </c>
      <c r="E939" s="2" t="s">
        <v>2051</v>
      </c>
      <c r="F939" s="4">
        <v>2178.77</v>
      </c>
      <c r="G939" s="5">
        <v>420.58</v>
      </c>
      <c r="H939" s="6">
        <v>18</v>
      </c>
      <c r="I939" s="2" t="s">
        <v>2117</v>
      </c>
      <c r="J939" s="2" t="str">
        <v>Generate Front-End Functionalities</v>
      </c>
      <c r="K939" s="2" t="str">
        <v>Office Supplies</v>
      </c>
      <c r="L939" s="2" t="str">
        <v>Morales-Brown</v>
      </c>
      <c r="M939" s="2">
        <v>299.77</v>
      </c>
      <c r="N939" s="16">
        <f t="shared" si="14"/>
        <v>0.19303552004112412</v>
      </c>
    </row>
    <row r="940" spans="2:14" ht="14.4" customHeight="1" x14ac:dyDescent="0.3">
      <c r="B940" s="2" t="s">
        <v>945</v>
      </c>
      <c r="C940" s="3">
        <v>43917</v>
      </c>
      <c r="D940" s="2" t="s">
        <v>2011</v>
      </c>
      <c r="E940" s="2" t="s">
        <v>2014</v>
      </c>
      <c r="F940" s="4">
        <v>841.42</v>
      </c>
      <c r="G940" s="5">
        <v>837.31</v>
      </c>
      <c r="H940" s="6">
        <v>1</v>
      </c>
      <c r="I940" s="2" t="s">
        <v>2117</v>
      </c>
      <c r="J940" s="2" t="str">
        <v>E-Enable Synergistic Vortals</v>
      </c>
      <c r="K940" s="2" t="str">
        <v>Electronics</v>
      </c>
      <c r="L940" s="2" t="str">
        <v>Guzman Group</v>
      </c>
      <c r="M940" s="2">
        <v>278.43</v>
      </c>
      <c r="N940" s="16">
        <f t="shared" si="14"/>
        <v>0.99511540015687761</v>
      </c>
    </row>
    <row r="941" spans="2:14" ht="14.4" customHeight="1" x14ac:dyDescent="0.3">
      <c r="B941" s="2" t="s">
        <v>946</v>
      </c>
      <c r="C941" s="3">
        <v>44686</v>
      </c>
      <c r="D941" s="2" t="s">
        <v>2012</v>
      </c>
      <c r="E941" s="2" t="s">
        <v>2030</v>
      </c>
      <c r="F941" s="4">
        <v>1446.59</v>
      </c>
      <c r="G941" s="5">
        <v>297.89</v>
      </c>
      <c r="H941" s="6">
        <v>17</v>
      </c>
      <c r="I941" s="2" t="s">
        <v>2116</v>
      </c>
      <c r="J941" s="2" t="str">
        <v>Engage Rich Web-Readiness</v>
      </c>
      <c r="K941" s="2" t="str">
        <v>Office Supplies</v>
      </c>
      <c r="L941" s="2" t="str">
        <v>Turner Inc</v>
      </c>
      <c r="M941" s="2">
        <v>81.069999999999993</v>
      </c>
      <c r="N941" s="16">
        <f t="shared" si="14"/>
        <v>0.20592565965477433</v>
      </c>
    </row>
    <row r="942" spans="2:14" ht="14.4" customHeight="1" x14ac:dyDescent="0.3">
      <c r="B942" s="2" t="s">
        <v>947</v>
      </c>
      <c r="C942" s="3">
        <v>45353</v>
      </c>
      <c r="D942" s="2" t="s">
        <v>2010</v>
      </c>
      <c r="E942" s="2" t="s">
        <v>2108</v>
      </c>
      <c r="F942" s="4">
        <v>298.33999999999997</v>
      </c>
      <c r="G942" s="5">
        <v>519.16</v>
      </c>
      <c r="H942" s="6">
        <v>15</v>
      </c>
      <c r="I942" s="2" t="s">
        <v>2117</v>
      </c>
      <c r="J942" s="2" t="str">
        <v>Whiteboard B2B Content</v>
      </c>
      <c r="K942" s="2" t="str">
        <v>Office Supplies</v>
      </c>
      <c r="L942" s="2" t="str">
        <v>Romero PLC</v>
      </c>
      <c r="M942" s="2">
        <v>93.81</v>
      </c>
      <c r="N942" s="16">
        <f t="shared" si="14"/>
        <v>1.7401622310115976</v>
      </c>
    </row>
    <row r="943" spans="2:14" ht="14.4" customHeight="1" x14ac:dyDescent="0.3">
      <c r="B943" s="2" t="s">
        <v>948</v>
      </c>
      <c r="C943" s="3">
        <v>44729</v>
      </c>
      <c r="D943" s="2" t="s">
        <v>2012</v>
      </c>
      <c r="E943" s="2" t="s">
        <v>2021</v>
      </c>
      <c r="F943" s="4">
        <v>2330.0300000000002</v>
      </c>
      <c r="G943" s="5">
        <v>228.38</v>
      </c>
      <c r="H943" s="6">
        <v>20</v>
      </c>
      <c r="I943" s="2" t="s">
        <v>2116</v>
      </c>
      <c r="J943" s="2" t="str">
        <v>Whiteboard Compelling Experiences</v>
      </c>
      <c r="K943" s="2" t="str">
        <v>Furniture</v>
      </c>
      <c r="L943" s="2" t="str">
        <v>Carrillo, Carr and Ball</v>
      </c>
      <c r="M943" s="2">
        <v>206.54</v>
      </c>
      <c r="N943" s="16">
        <f t="shared" si="14"/>
        <v>9.80159053746089E-2</v>
      </c>
    </row>
    <row r="944" spans="2:14" ht="14.4" customHeight="1" x14ac:dyDescent="0.3">
      <c r="B944" s="2" t="s">
        <v>949</v>
      </c>
      <c r="C944" s="3">
        <v>44821</v>
      </c>
      <c r="D944" s="2" t="s">
        <v>2011</v>
      </c>
      <c r="E944" s="2" t="s">
        <v>2090</v>
      </c>
      <c r="F944" s="4">
        <v>2741.47</v>
      </c>
      <c r="G944" s="5">
        <v>923.52</v>
      </c>
      <c r="H944" s="6">
        <v>19</v>
      </c>
      <c r="I944" s="2" t="s">
        <v>2116</v>
      </c>
      <c r="J944" s="2" t="str">
        <v>Empower Bleeding-Edge Action-Items</v>
      </c>
      <c r="K944" s="2" t="str">
        <v>Furniture</v>
      </c>
      <c r="L944" s="2" t="str">
        <v>Gray, Hayes and Banks</v>
      </c>
      <c r="M944" s="2">
        <v>204.26</v>
      </c>
      <c r="N944" s="16">
        <f t="shared" si="14"/>
        <v>0.33687036516905167</v>
      </c>
    </row>
    <row r="945" spans="2:14" ht="14.4" customHeight="1" x14ac:dyDescent="0.3">
      <c r="B945" s="2" t="s">
        <v>950</v>
      </c>
      <c r="C945" s="3">
        <v>44287</v>
      </c>
      <c r="D945" s="2" t="s">
        <v>2011</v>
      </c>
      <c r="E945" s="2" t="s">
        <v>2089</v>
      </c>
      <c r="F945" s="4">
        <v>4104.59</v>
      </c>
      <c r="G945" s="5">
        <v>282.42</v>
      </c>
      <c r="H945" s="6">
        <v>17</v>
      </c>
      <c r="I945" s="2" t="s">
        <v>2118</v>
      </c>
      <c r="J945" s="2" t="str">
        <v>Morph World-Class Synergies</v>
      </c>
      <c r="K945" s="2" t="str">
        <v>Electronics</v>
      </c>
      <c r="L945" s="2" t="str">
        <v>Bryant Ltd</v>
      </c>
      <c r="M945" s="2">
        <v>20.69</v>
      </c>
      <c r="N945" s="16">
        <f t="shared" si="14"/>
        <v>6.8805897787598769E-2</v>
      </c>
    </row>
    <row r="946" spans="2:14" ht="14.4" customHeight="1" x14ac:dyDescent="0.3">
      <c r="B946" s="2" t="s">
        <v>951</v>
      </c>
      <c r="C946" s="3">
        <v>44492</v>
      </c>
      <c r="D946" s="2" t="s">
        <v>2009</v>
      </c>
      <c r="E946" s="2" t="s">
        <v>2073</v>
      </c>
      <c r="F946" s="4">
        <v>3288.58</v>
      </c>
      <c r="G946" s="5">
        <v>285.17</v>
      </c>
      <c r="H946" s="6">
        <v>19</v>
      </c>
      <c r="I946" s="2" t="s">
        <v>2118</v>
      </c>
      <c r="J946" s="2" t="str">
        <v>Visualize Dynamic E-Commerce</v>
      </c>
      <c r="K946" s="2" t="str">
        <v>Furniture</v>
      </c>
      <c r="L946" s="2" t="str">
        <v>Jones LLC</v>
      </c>
      <c r="M946" s="2">
        <v>92.61</v>
      </c>
      <c r="N946" s="16">
        <f t="shared" si="14"/>
        <v>8.6715238796076122E-2</v>
      </c>
    </row>
    <row r="947" spans="2:14" ht="14.4" customHeight="1" x14ac:dyDescent="0.3">
      <c r="B947" s="2" t="s">
        <v>952</v>
      </c>
      <c r="C947" s="3">
        <v>45143</v>
      </c>
      <c r="D947" s="2" t="s">
        <v>2012</v>
      </c>
      <c r="E947" s="2" t="s">
        <v>2025</v>
      </c>
      <c r="F947" s="4">
        <v>3502.73</v>
      </c>
      <c r="G947" s="5">
        <v>761.58</v>
      </c>
      <c r="H947" s="6">
        <v>14</v>
      </c>
      <c r="I947" s="2" t="s">
        <v>2117</v>
      </c>
      <c r="J947" s="2" t="str">
        <v>Streamline Innovative Architectures</v>
      </c>
      <c r="K947" s="2" t="str">
        <v>Furniture</v>
      </c>
      <c r="L947" s="2" t="str">
        <v>Price, Valentine and Lutz</v>
      </c>
      <c r="M947" s="2">
        <v>291.14999999999998</v>
      </c>
      <c r="N947" s="16">
        <f t="shared" si="14"/>
        <v>0.2174246944526127</v>
      </c>
    </row>
    <row r="948" spans="2:14" ht="14.4" customHeight="1" x14ac:dyDescent="0.3">
      <c r="B948" s="2" t="s">
        <v>953</v>
      </c>
      <c r="C948" s="3">
        <v>44556</v>
      </c>
      <c r="D948" s="2" t="s">
        <v>2012</v>
      </c>
      <c r="E948" s="2" t="s">
        <v>2022</v>
      </c>
      <c r="F948" s="4">
        <v>613.15</v>
      </c>
      <c r="G948" s="5">
        <v>768.16</v>
      </c>
      <c r="H948" s="6">
        <v>1</v>
      </c>
      <c r="I948" s="2" t="s">
        <v>2118</v>
      </c>
      <c r="J948" s="2" t="str">
        <v>Monetize Collaborative Metrics</v>
      </c>
      <c r="K948" s="2" t="str">
        <v>Electronics</v>
      </c>
      <c r="L948" s="2" t="str">
        <v>Ramirez-Brown</v>
      </c>
      <c r="M948" s="2">
        <v>286.04000000000002</v>
      </c>
      <c r="N948" s="16">
        <f t="shared" si="14"/>
        <v>1.2528092636385877</v>
      </c>
    </row>
    <row r="949" spans="2:14" ht="14.4" customHeight="1" x14ac:dyDescent="0.3">
      <c r="B949" s="2" t="s">
        <v>954</v>
      </c>
      <c r="C949" s="3">
        <v>44056</v>
      </c>
      <c r="D949" s="2" t="s">
        <v>2012</v>
      </c>
      <c r="E949" s="2" t="s">
        <v>2109</v>
      </c>
      <c r="F949" s="4">
        <v>840.2</v>
      </c>
      <c r="G949" s="5">
        <v>251.16</v>
      </c>
      <c r="H949" s="6">
        <v>12</v>
      </c>
      <c r="I949" s="2" t="s">
        <v>2118</v>
      </c>
      <c r="J949" s="2" t="str">
        <v>Deliver Viral Eyeballs</v>
      </c>
      <c r="K949" s="2" t="str">
        <v>Office Supplies</v>
      </c>
      <c r="L949" s="2" t="str">
        <v>Estes, Chan and Thomas</v>
      </c>
      <c r="M949" s="2">
        <v>16.89</v>
      </c>
      <c r="N949" s="16">
        <f t="shared" si="14"/>
        <v>0.29892882646988811</v>
      </c>
    </row>
    <row r="950" spans="2:14" ht="14.4" customHeight="1" x14ac:dyDescent="0.3">
      <c r="B950" s="2" t="s">
        <v>955</v>
      </c>
      <c r="C950" s="3">
        <v>44055</v>
      </c>
      <c r="D950" s="2" t="s">
        <v>2009</v>
      </c>
      <c r="E950" s="2" t="s">
        <v>2051</v>
      </c>
      <c r="F950" s="4">
        <v>1448.73</v>
      </c>
      <c r="G950" s="5">
        <v>558.6</v>
      </c>
      <c r="H950" s="6">
        <v>4</v>
      </c>
      <c r="I950" s="2" t="s">
        <v>2118</v>
      </c>
      <c r="J950" s="2" t="str">
        <v>Generate Front-End Functionalities</v>
      </c>
      <c r="K950" s="2" t="str">
        <v>Office Supplies</v>
      </c>
      <c r="L950" s="2" t="str">
        <v>Morales-Brown</v>
      </c>
      <c r="M950" s="2">
        <v>299.77</v>
      </c>
      <c r="N950" s="16">
        <f t="shared" si="14"/>
        <v>0.38557909341285129</v>
      </c>
    </row>
    <row r="951" spans="2:14" ht="14.4" customHeight="1" x14ac:dyDescent="0.3">
      <c r="B951" s="2" t="s">
        <v>956</v>
      </c>
      <c r="C951" s="3">
        <v>44924</v>
      </c>
      <c r="D951" s="2" t="s">
        <v>2010</v>
      </c>
      <c r="E951" s="2" t="s">
        <v>2098</v>
      </c>
      <c r="F951" s="4">
        <v>1271.48</v>
      </c>
      <c r="G951" s="5">
        <v>108.01</v>
      </c>
      <c r="H951" s="6">
        <v>8</v>
      </c>
      <c r="I951" s="2" t="s">
        <v>2118</v>
      </c>
      <c r="J951" s="2" t="str">
        <v>Deliver Viral Channels</v>
      </c>
      <c r="K951" s="2" t="str">
        <v>Furniture</v>
      </c>
      <c r="L951" s="2" t="str">
        <v>Parker LLC</v>
      </c>
      <c r="M951" s="2">
        <v>45.41</v>
      </c>
      <c r="N951" s="16">
        <f t="shared" si="14"/>
        <v>8.4948249284298616E-2</v>
      </c>
    </row>
    <row r="952" spans="2:14" ht="14.4" customHeight="1" x14ac:dyDescent="0.3">
      <c r="B952" s="2" t="s">
        <v>957</v>
      </c>
      <c r="C952" s="3">
        <v>44090</v>
      </c>
      <c r="D952" s="2" t="s">
        <v>2012</v>
      </c>
      <c r="E952" s="2" t="s">
        <v>2034</v>
      </c>
      <c r="F952" s="4">
        <v>1004.42</v>
      </c>
      <c r="G952" s="5">
        <v>833.97</v>
      </c>
      <c r="H952" s="6">
        <v>18</v>
      </c>
      <c r="I952" s="2" t="s">
        <v>2118</v>
      </c>
      <c r="J952" s="2" t="str">
        <v>Utilize Virtual Partnerships</v>
      </c>
      <c r="K952" s="2" t="str">
        <v>Furniture</v>
      </c>
      <c r="L952" s="2" t="str">
        <v>Smith, Diaz and Heath</v>
      </c>
      <c r="M952" s="2">
        <v>193.02</v>
      </c>
      <c r="N952" s="16">
        <f t="shared" si="14"/>
        <v>0.83030007367435943</v>
      </c>
    </row>
    <row r="953" spans="2:14" ht="14.4" customHeight="1" x14ac:dyDescent="0.3">
      <c r="B953" s="2" t="s">
        <v>958</v>
      </c>
      <c r="C953" s="3">
        <v>45104</v>
      </c>
      <c r="D953" s="2" t="s">
        <v>2012</v>
      </c>
      <c r="E953" s="2" t="s">
        <v>2098</v>
      </c>
      <c r="F953" s="4">
        <v>3577.83</v>
      </c>
      <c r="G953" s="5">
        <v>649.44000000000005</v>
      </c>
      <c r="H953" s="6">
        <v>14</v>
      </c>
      <c r="I953" s="2" t="s">
        <v>2118</v>
      </c>
      <c r="J953" s="2" t="str">
        <v>Deliver Viral Channels</v>
      </c>
      <c r="K953" s="2" t="str">
        <v>Furniture</v>
      </c>
      <c r="L953" s="2" t="str">
        <v>Parker LLC</v>
      </c>
      <c r="M953" s="2">
        <v>45.41</v>
      </c>
      <c r="N953" s="16">
        <f t="shared" si="14"/>
        <v>0.1815178474103018</v>
      </c>
    </row>
    <row r="954" spans="2:14" ht="14.4" customHeight="1" x14ac:dyDescent="0.3">
      <c r="B954" s="2" t="s">
        <v>959</v>
      </c>
      <c r="C954" s="3">
        <v>45518</v>
      </c>
      <c r="D954" s="2" t="s">
        <v>2010</v>
      </c>
      <c r="E954" s="2" t="s">
        <v>2041</v>
      </c>
      <c r="F954" s="4">
        <v>3018.25</v>
      </c>
      <c r="G954" s="5">
        <v>828.61</v>
      </c>
      <c r="H954" s="6">
        <v>5</v>
      </c>
      <c r="I954" s="2" t="s">
        <v>2116</v>
      </c>
      <c r="J954" s="2" t="str">
        <v>Expedite Synergistic Web-Readiness</v>
      </c>
      <c r="K954" s="2" t="str">
        <v>Electronics</v>
      </c>
      <c r="L954" s="2" t="str">
        <v>Dunlap, Carpenter and Monroe</v>
      </c>
      <c r="M954" s="2">
        <v>289.66000000000003</v>
      </c>
      <c r="N954" s="16">
        <f t="shared" si="14"/>
        <v>0.27453325602584278</v>
      </c>
    </row>
    <row r="955" spans="2:14" ht="14.4" customHeight="1" x14ac:dyDescent="0.3">
      <c r="B955" s="2" t="s">
        <v>960</v>
      </c>
      <c r="C955" s="3">
        <v>44362</v>
      </c>
      <c r="D955" s="2" t="s">
        <v>2011</v>
      </c>
      <c r="E955" s="2" t="s">
        <v>2097</v>
      </c>
      <c r="F955" s="4">
        <v>894.54</v>
      </c>
      <c r="G955" s="5">
        <v>511.13</v>
      </c>
      <c r="H955" s="6">
        <v>5</v>
      </c>
      <c r="I955" s="2" t="s">
        <v>2116</v>
      </c>
      <c r="J955" s="2" t="str">
        <v>Generate End-To-End Functionalities</v>
      </c>
      <c r="K955" s="2" t="str">
        <v>Electronics</v>
      </c>
      <c r="L955" s="2" t="str">
        <v>Sanchez-Stewart</v>
      </c>
      <c r="M955" s="2">
        <v>196.15</v>
      </c>
      <c r="N955" s="16">
        <f t="shared" si="14"/>
        <v>0.5713886466787399</v>
      </c>
    </row>
    <row r="956" spans="2:14" ht="14.4" customHeight="1" x14ac:dyDescent="0.3">
      <c r="B956" s="2" t="s">
        <v>961</v>
      </c>
      <c r="C956" s="3">
        <v>44136</v>
      </c>
      <c r="D956" s="2" t="s">
        <v>2012</v>
      </c>
      <c r="E956" s="2" t="s">
        <v>2048</v>
      </c>
      <c r="F956" s="4">
        <v>800.53</v>
      </c>
      <c r="G956" s="5">
        <v>840.1</v>
      </c>
      <c r="H956" s="6">
        <v>18</v>
      </c>
      <c r="I956" s="2" t="s">
        <v>2118</v>
      </c>
      <c r="J956" s="2" t="str">
        <v>Drive Compelling E-Services</v>
      </c>
      <c r="K956" s="2" t="str">
        <v>Office Supplies</v>
      </c>
      <c r="L956" s="2" t="str">
        <v>Morris-Villanueva</v>
      </c>
      <c r="M956" s="2">
        <v>27.22</v>
      </c>
      <c r="N956" s="16">
        <f t="shared" si="14"/>
        <v>1.0494297527887775</v>
      </c>
    </row>
    <row r="957" spans="2:14" ht="14.4" customHeight="1" x14ac:dyDescent="0.3">
      <c r="B957" s="2" t="s">
        <v>962</v>
      </c>
      <c r="C957" s="3">
        <v>44226</v>
      </c>
      <c r="D957" s="2" t="s">
        <v>2009</v>
      </c>
      <c r="E957" s="2" t="s">
        <v>2085</v>
      </c>
      <c r="F957" s="4">
        <v>1476.83</v>
      </c>
      <c r="G957" s="5">
        <v>48.63</v>
      </c>
      <c r="H957" s="6">
        <v>14</v>
      </c>
      <c r="I957" s="2" t="s">
        <v>2118</v>
      </c>
      <c r="J957" s="2" t="str">
        <v>Incentivize User-Centric Mindshare</v>
      </c>
      <c r="K957" s="2" t="str">
        <v>Electronics</v>
      </c>
      <c r="L957" s="2" t="str">
        <v>Becker, Wright and Wong</v>
      </c>
      <c r="M957" s="2">
        <v>38.51</v>
      </c>
      <c r="N957" s="16">
        <f t="shared" si="14"/>
        <v>3.2928637690187772E-2</v>
      </c>
    </row>
    <row r="958" spans="2:14" ht="14.4" customHeight="1" x14ac:dyDescent="0.3">
      <c r="B958" s="2" t="s">
        <v>963</v>
      </c>
      <c r="C958" s="3">
        <v>45581</v>
      </c>
      <c r="D958" s="2" t="s">
        <v>2009</v>
      </c>
      <c r="E958" s="2" t="s">
        <v>2077</v>
      </c>
      <c r="F958" s="4">
        <v>1073</v>
      </c>
      <c r="G958" s="5">
        <v>40.71</v>
      </c>
      <c r="H958" s="6">
        <v>17</v>
      </c>
      <c r="I958" s="2" t="s">
        <v>2116</v>
      </c>
      <c r="J958" s="2" t="str">
        <v>Synthesize Wireless Initiatives</v>
      </c>
      <c r="K958" s="2" t="str">
        <v>Electronics</v>
      </c>
      <c r="L958" s="2" t="str">
        <v>Mosley Ltd</v>
      </c>
      <c r="M958" s="2">
        <v>162.69999999999999</v>
      </c>
      <c r="N958" s="16">
        <f t="shared" si="14"/>
        <v>3.79403541472507E-2</v>
      </c>
    </row>
    <row r="959" spans="2:14" ht="14.4" customHeight="1" x14ac:dyDescent="0.3">
      <c r="B959" s="2" t="s">
        <v>964</v>
      </c>
      <c r="C959" s="3">
        <v>45170</v>
      </c>
      <c r="D959" s="2" t="s">
        <v>2012</v>
      </c>
      <c r="E959" s="2" t="s">
        <v>2015</v>
      </c>
      <c r="F959" s="4">
        <v>268.33</v>
      </c>
      <c r="G959" s="5">
        <v>392.27</v>
      </c>
      <c r="H959" s="6">
        <v>19</v>
      </c>
      <c r="I959" s="2" t="s">
        <v>2117</v>
      </c>
      <c r="J959" s="2" t="str">
        <v>Brand Web-Enabled Solutions</v>
      </c>
      <c r="K959" s="2" t="str">
        <v>Electronics</v>
      </c>
      <c r="L959" s="2" t="str">
        <v>Russell Group</v>
      </c>
      <c r="M959" s="2">
        <v>51.67</v>
      </c>
      <c r="N959" s="16">
        <f t="shared" si="14"/>
        <v>1.4618939365706407</v>
      </c>
    </row>
    <row r="960" spans="2:14" ht="14.4" customHeight="1" x14ac:dyDescent="0.3">
      <c r="B960" s="2" t="s">
        <v>965</v>
      </c>
      <c r="C960" s="3">
        <v>44866</v>
      </c>
      <c r="D960" s="2" t="s">
        <v>2010</v>
      </c>
      <c r="E960" s="2" t="s">
        <v>2021</v>
      </c>
      <c r="F960" s="4">
        <v>1984.08</v>
      </c>
      <c r="G960" s="5">
        <v>221.48</v>
      </c>
      <c r="H960" s="6">
        <v>19</v>
      </c>
      <c r="I960" s="2" t="s">
        <v>2116</v>
      </c>
      <c r="J960" s="2" t="str">
        <v>Whiteboard Compelling Experiences</v>
      </c>
      <c r="K960" s="2" t="str">
        <v>Furniture</v>
      </c>
      <c r="L960" s="2" t="str">
        <v>Carrillo, Carr and Ball</v>
      </c>
      <c r="M960" s="2">
        <v>206.54</v>
      </c>
      <c r="N960" s="16">
        <f t="shared" si="14"/>
        <v>0.11162856336438047</v>
      </c>
    </row>
    <row r="961" spans="2:14" ht="14.4" customHeight="1" x14ac:dyDescent="0.3">
      <c r="B961" s="2" t="s">
        <v>966</v>
      </c>
      <c r="C961" s="3">
        <v>44869</v>
      </c>
      <c r="D961" s="2" t="s">
        <v>2009</v>
      </c>
      <c r="E961" s="2" t="s">
        <v>2029</v>
      </c>
      <c r="F961" s="4">
        <v>2269.63</v>
      </c>
      <c r="G961" s="5">
        <v>312.88</v>
      </c>
      <c r="H961" s="6">
        <v>17</v>
      </c>
      <c r="I961" s="2" t="s">
        <v>2118</v>
      </c>
      <c r="J961" s="2" t="str">
        <v>E-Enable Next-Generation Experiences</v>
      </c>
      <c r="K961" s="2" t="str">
        <v>Furniture</v>
      </c>
      <c r="L961" s="2" t="str">
        <v>Sanchez-Quinn</v>
      </c>
      <c r="M961" s="2">
        <v>266.93</v>
      </c>
      <c r="N961" s="16">
        <f t="shared" si="14"/>
        <v>0.13785506888788041</v>
      </c>
    </row>
    <row r="962" spans="2:14" ht="14.4" customHeight="1" x14ac:dyDescent="0.3">
      <c r="B962" s="2" t="s">
        <v>967</v>
      </c>
      <c r="C962" s="3">
        <v>44673</v>
      </c>
      <c r="D962" s="2" t="s">
        <v>2009</v>
      </c>
      <c r="E962" s="2" t="s">
        <v>2101</v>
      </c>
      <c r="F962" s="4">
        <v>754.18</v>
      </c>
      <c r="G962" s="5">
        <v>916.25</v>
      </c>
      <c r="H962" s="6">
        <v>14</v>
      </c>
      <c r="I962" s="2" t="s">
        <v>2116</v>
      </c>
      <c r="J962" s="2" t="str">
        <v>Deploy Granular Channels</v>
      </c>
      <c r="K962" s="2" t="str">
        <v>Furniture</v>
      </c>
      <c r="L962" s="2" t="str">
        <v>Barnes Ltd</v>
      </c>
      <c r="M962" s="2">
        <v>288.99</v>
      </c>
      <c r="N962" s="16">
        <f t="shared" si="14"/>
        <v>1.2148956482537325</v>
      </c>
    </row>
    <row r="963" spans="2:14" ht="14.4" customHeight="1" x14ac:dyDescent="0.3">
      <c r="B963" s="2" t="s">
        <v>968</v>
      </c>
      <c r="C963" s="3">
        <v>44062</v>
      </c>
      <c r="D963" s="2" t="s">
        <v>2009</v>
      </c>
      <c r="E963" s="2" t="s">
        <v>2074</v>
      </c>
      <c r="F963" s="4">
        <v>4462.37</v>
      </c>
      <c r="G963" s="5">
        <v>619.49</v>
      </c>
      <c r="H963" s="6">
        <v>8</v>
      </c>
      <c r="I963" s="2" t="s">
        <v>2118</v>
      </c>
      <c r="J963" s="2" t="str">
        <v>Utilize Ubiquitous Synergies</v>
      </c>
      <c r="K963" s="2" t="str">
        <v>Electronics</v>
      </c>
      <c r="L963" s="2" t="str">
        <v>Kramer, Huang and Shaw</v>
      </c>
      <c r="M963" s="2">
        <v>295.89999999999998</v>
      </c>
      <c r="N963" s="16">
        <f t="shared" si="14"/>
        <v>0.13882533272677972</v>
      </c>
    </row>
    <row r="964" spans="2:14" ht="14.4" customHeight="1" x14ac:dyDescent="0.3">
      <c r="B964" s="2" t="s">
        <v>969</v>
      </c>
      <c r="C964" s="3">
        <v>44262</v>
      </c>
      <c r="D964" s="2" t="s">
        <v>2011</v>
      </c>
      <c r="E964" s="2" t="s">
        <v>2021</v>
      </c>
      <c r="F964" s="4">
        <v>775</v>
      </c>
      <c r="G964" s="5">
        <v>716.83</v>
      </c>
      <c r="H964" s="6">
        <v>15</v>
      </c>
      <c r="I964" s="2" t="s">
        <v>2117</v>
      </c>
      <c r="J964" s="2" t="str">
        <v>Whiteboard Compelling Experiences</v>
      </c>
      <c r="K964" s="2" t="str">
        <v>Furniture</v>
      </c>
      <c r="L964" s="2" t="str">
        <v>Carrillo, Carr and Ball</v>
      </c>
      <c r="M964" s="2">
        <v>206.54</v>
      </c>
      <c r="N964" s="16">
        <f t="shared" si="14"/>
        <v>0.92494193548387105</v>
      </c>
    </row>
    <row r="965" spans="2:14" ht="14.4" customHeight="1" x14ac:dyDescent="0.3">
      <c r="B965" s="2" t="s">
        <v>970</v>
      </c>
      <c r="C965" s="3">
        <v>44513</v>
      </c>
      <c r="D965" s="2" t="s">
        <v>2009</v>
      </c>
      <c r="E965" s="2" t="s">
        <v>2096</v>
      </c>
      <c r="F965" s="4">
        <v>4743.5600000000004</v>
      </c>
      <c r="G965" s="5">
        <v>754.94</v>
      </c>
      <c r="H965" s="6">
        <v>2</v>
      </c>
      <c r="I965" s="2" t="s">
        <v>2116</v>
      </c>
      <c r="J965" s="2" t="str">
        <v>Disintermediate Scalable Bandwidth</v>
      </c>
      <c r="K965" s="2" t="str">
        <v>Electronics</v>
      </c>
      <c r="L965" s="2" t="str">
        <v>Levy PLC</v>
      </c>
      <c r="M965" s="2">
        <v>19.86</v>
      </c>
      <c r="N965" s="16">
        <f t="shared" ref="N965:N1028" si="15">(G965/F965)</f>
        <v>0.15915051143023384</v>
      </c>
    </row>
    <row r="966" spans="2:14" ht="14.4" customHeight="1" x14ac:dyDescent="0.3">
      <c r="B966" s="2" t="s">
        <v>971</v>
      </c>
      <c r="C966" s="3">
        <v>44767</v>
      </c>
      <c r="D966" s="2" t="s">
        <v>2011</v>
      </c>
      <c r="E966" s="2" t="s">
        <v>2034</v>
      </c>
      <c r="F966" s="4">
        <v>1309.54</v>
      </c>
      <c r="G966" s="5">
        <v>222.8</v>
      </c>
      <c r="H966" s="6">
        <v>14</v>
      </c>
      <c r="I966" s="2" t="s">
        <v>2118</v>
      </c>
      <c r="J966" s="2" t="str">
        <v>Utilize Virtual Partnerships</v>
      </c>
      <c r="K966" s="2" t="str">
        <v>Furniture</v>
      </c>
      <c r="L966" s="2" t="str">
        <v>Smith, Diaz and Heath</v>
      </c>
      <c r="M966" s="2">
        <v>193.02</v>
      </c>
      <c r="N966" s="16">
        <f t="shared" si="15"/>
        <v>0.17013607831757718</v>
      </c>
    </row>
    <row r="967" spans="2:14" ht="14.4" customHeight="1" x14ac:dyDescent="0.3">
      <c r="B967" s="2" t="s">
        <v>972</v>
      </c>
      <c r="C967" s="3">
        <v>44598</v>
      </c>
      <c r="D967" s="2" t="s">
        <v>2011</v>
      </c>
      <c r="E967" s="2" t="s">
        <v>2022</v>
      </c>
      <c r="F967" s="4">
        <v>2670.84</v>
      </c>
      <c r="G967" s="5">
        <v>259.07</v>
      </c>
      <c r="H967" s="6">
        <v>5</v>
      </c>
      <c r="I967" s="2" t="s">
        <v>2116</v>
      </c>
      <c r="J967" s="2" t="str">
        <v>Monetize Collaborative Metrics</v>
      </c>
      <c r="K967" s="2" t="str">
        <v>Electronics</v>
      </c>
      <c r="L967" s="2" t="str">
        <v>Ramirez-Brown</v>
      </c>
      <c r="M967" s="2">
        <v>286.04000000000002</v>
      </c>
      <c r="N967" s="16">
        <f t="shared" si="15"/>
        <v>9.6999445867217801E-2</v>
      </c>
    </row>
    <row r="968" spans="2:14" ht="14.4" customHeight="1" x14ac:dyDescent="0.3">
      <c r="B968" s="2" t="s">
        <v>973</v>
      </c>
      <c r="C968" s="3">
        <v>44631</v>
      </c>
      <c r="D968" s="2" t="s">
        <v>2012</v>
      </c>
      <c r="E968" s="2" t="s">
        <v>2099</v>
      </c>
      <c r="F968" s="4">
        <v>3344.33</v>
      </c>
      <c r="G968" s="5">
        <v>930.54</v>
      </c>
      <c r="H968" s="6">
        <v>10</v>
      </c>
      <c r="I968" s="2" t="s">
        <v>2116</v>
      </c>
      <c r="J968" s="2" t="str">
        <v>Synergize Cross-Platform Vortals</v>
      </c>
      <c r="K968" s="2" t="str">
        <v>Furniture</v>
      </c>
      <c r="L968" s="2" t="str">
        <v>Edwards Group</v>
      </c>
      <c r="M968" s="2">
        <v>87.18</v>
      </c>
      <c r="N968" s="16">
        <f t="shared" si="15"/>
        <v>0.27824407280382019</v>
      </c>
    </row>
    <row r="969" spans="2:14" ht="14.4" customHeight="1" x14ac:dyDescent="0.3">
      <c r="B969" s="2" t="s">
        <v>974</v>
      </c>
      <c r="C969" s="3">
        <v>45340</v>
      </c>
      <c r="D969" s="2" t="s">
        <v>2010</v>
      </c>
      <c r="E969" s="2" t="s">
        <v>2099</v>
      </c>
      <c r="F969" s="4">
        <v>3141.47</v>
      </c>
      <c r="G969" s="5">
        <v>53.41</v>
      </c>
      <c r="H969" s="6">
        <v>16</v>
      </c>
      <c r="I969" s="2" t="s">
        <v>2117</v>
      </c>
      <c r="J969" s="2" t="str">
        <v>Synergize Cross-Platform Vortals</v>
      </c>
      <c r="K969" s="2" t="str">
        <v>Furniture</v>
      </c>
      <c r="L969" s="2" t="str">
        <v>Edwards Group</v>
      </c>
      <c r="M969" s="2">
        <v>87.18</v>
      </c>
      <c r="N969" s="16">
        <f t="shared" si="15"/>
        <v>1.7001594794793521E-2</v>
      </c>
    </row>
    <row r="970" spans="2:14" ht="14.4" customHeight="1" x14ac:dyDescent="0.3">
      <c r="B970" s="2" t="s">
        <v>975</v>
      </c>
      <c r="C970" s="3">
        <v>45550</v>
      </c>
      <c r="D970" s="2" t="s">
        <v>2011</v>
      </c>
      <c r="E970" s="2" t="s">
        <v>2017</v>
      </c>
      <c r="F970" s="4">
        <v>2821.79</v>
      </c>
      <c r="G970" s="5">
        <v>272.37</v>
      </c>
      <c r="H970" s="6">
        <v>11</v>
      </c>
      <c r="I970" s="2" t="s">
        <v>2117</v>
      </c>
      <c r="J970" s="2" t="str">
        <v>Target Bricks-And-Clicks Channels</v>
      </c>
      <c r="K970" s="2" t="str">
        <v>Electronics</v>
      </c>
      <c r="L970" s="2" t="str">
        <v>Dunn, Christensen and Meyer</v>
      </c>
      <c r="M970" s="2">
        <v>126.86</v>
      </c>
      <c r="N970" s="16">
        <f t="shared" si="15"/>
        <v>9.6523837705853377E-2</v>
      </c>
    </row>
    <row r="971" spans="2:14" ht="14.4" customHeight="1" x14ac:dyDescent="0.3">
      <c r="B971" s="2" t="s">
        <v>976</v>
      </c>
      <c r="C971" s="3">
        <v>44234</v>
      </c>
      <c r="D971" s="2" t="s">
        <v>2010</v>
      </c>
      <c r="E971" s="2" t="s">
        <v>2014</v>
      </c>
      <c r="F971" s="4">
        <v>3106.47</v>
      </c>
      <c r="G971" s="5">
        <v>244.31</v>
      </c>
      <c r="H971" s="6">
        <v>5</v>
      </c>
      <c r="I971" s="2" t="s">
        <v>2117</v>
      </c>
      <c r="J971" s="2" t="str">
        <v>E-Enable Synergistic Vortals</v>
      </c>
      <c r="K971" s="2" t="str">
        <v>Electronics</v>
      </c>
      <c r="L971" s="2" t="str">
        <v>Guzman Group</v>
      </c>
      <c r="M971" s="2">
        <v>278.43</v>
      </c>
      <c r="N971" s="16">
        <f t="shared" si="15"/>
        <v>7.8645536573667227E-2</v>
      </c>
    </row>
    <row r="972" spans="2:14" ht="14.4" customHeight="1" x14ac:dyDescent="0.3">
      <c r="B972" s="2" t="s">
        <v>977</v>
      </c>
      <c r="C972" s="3">
        <v>44369</v>
      </c>
      <c r="D972" s="2" t="s">
        <v>2011</v>
      </c>
      <c r="E972" s="2" t="s">
        <v>2101</v>
      </c>
      <c r="F972" s="4">
        <v>4920.63</v>
      </c>
      <c r="G972" s="5">
        <v>310.27999999999997</v>
      </c>
      <c r="H972" s="6">
        <v>3</v>
      </c>
      <c r="I972" s="2" t="s">
        <v>2117</v>
      </c>
      <c r="J972" s="2" t="str">
        <v>Deploy Granular Channels</v>
      </c>
      <c r="K972" s="2" t="str">
        <v>Furniture</v>
      </c>
      <c r="L972" s="2" t="str">
        <v>Barnes Ltd</v>
      </c>
      <c r="M972" s="2">
        <v>288.99</v>
      </c>
      <c r="N972" s="16">
        <f t="shared" si="15"/>
        <v>6.3056966282772728E-2</v>
      </c>
    </row>
    <row r="973" spans="2:14" ht="14.4" customHeight="1" x14ac:dyDescent="0.3">
      <c r="B973" s="2" t="s">
        <v>978</v>
      </c>
      <c r="C973" s="3">
        <v>45541</v>
      </c>
      <c r="D973" s="2" t="s">
        <v>2012</v>
      </c>
      <c r="E973" s="2" t="s">
        <v>2028</v>
      </c>
      <c r="F973" s="4">
        <v>3598.89</v>
      </c>
      <c r="G973" s="5">
        <v>26.38</v>
      </c>
      <c r="H973" s="6">
        <v>6</v>
      </c>
      <c r="I973" s="2" t="s">
        <v>2117</v>
      </c>
      <c r="J973" s="2" t="str">
        <v>Synergize World-Class Networks</v>
      </c>
      <c r="K973" s="2" t="str">
        <v>Electronics</v>
      </c>
      <c r="L973" s="2" t="str">
        <v>Gomez-Lawrence</v>
      </c>
      <c r="M973" s="2">
        <v>72.37</v>
      </c>
      <c r="N973" s="16">
        <f t="shared" si="15"/>
        <v>7.3300378727885543E-3</v>
      </c>
    </row>
    <row r="974" spans="2:14" ht="14.4" customHeight="1" x14ac:dyDescent="0.3">
      <c r="B974" s="2" t="s">
        <v>979</v>
      </c>
      <c r="C974" s="3">
        <v>43926</v>
      </c>
      <c r="D974" s="2" t="s">
        <v>2012</v>
      </c>
      <c r="E974" s="2" t="s">
        <v>2024</v>
      </c>
      <c r="F974" s="4">
        <v>4912.47</v>
      </c>
      <c r="G974" s="5">
        <v>292.92</v>
      </c>
      <c r="H974" s="6">
        <v>13</v>
      </c>
      <c r="I974" s="2" t="s">
        <v>2116</v>
      </c>
      <c r="J974" s="2" t="str">
        <v>Target Viral Methodologies</v>
      </c>
      <c r="K974" s="2" t="str">
        <v>Electronics</v>
      </c>
      <c r="L974" s="2" t="str">
        <v>Alvarez, Myers and Walter</v>
      </c>
      <c r="M974" s="2">
        <v>149.26</v>
      </c>
      <c r="N974" s="16">
        <f t="shared" si="15"/>
        <v>5.9627845055542326E-2</v>
      </c>
    </row>
    <row r="975" spans="2:14" ht="14.4" customHeight="1" x14ac:dyDescent="0.3">
      <c r="B975" s="2" t="s">
        <v>980</v>
      </c>
      <c r="C975" s="3">
        <v>44166</v>
      </c>
      <c r="D975" s="2" t="s">
        <v>2012</v>
      </c>
      <c r="E975" s="2" t="s">
        <v>2093</v>
      </c>
      <c r="F975" s="4">
        <v>323.39999999999998</v>
      </c>
      <c r="G975" s="5">
        <v>900.09</v>
      </c>
      <c r="H975" s="6">
        <v>1</v>
      </c>
      <c r="I975" s="2" t="s">
        <v>2116</v>
      </c>
      <c r="J975" s="2" t="str">
        <v>Synergize Frictionless Synergies</v>
      </c>
      <c r="K975" s="2" t="str">
        <v>Furniture</v>
      </c>
      <c r="L975" s="2" t="str">
        <v>Hester and Sons</v>
      </c>
      <c r="M975" s="2">
        <v>289.06</v>
      </c>
      <c r="N975" s="16">
        <f t="shared" si="15"/>
        <v>2.783209647495362</v>
      </c>
    </row>
    <row r="976" spans="2:14" ht="14.4" customHeight="1" x14ac:dyDescent="0.3">
      <c r="B976" s="2" t="s">
        <v>981</v>
      </c>
      <c r="C976" s="3">
        <v>45380</v>
      </c>
      <c r="D976" s="2" t="s">
        <v>2012</v>
      </c>
      <c r="E976" s="2" t="s">
        <v>2028</v>
      </c>
      <c r="F976" s="4">
        <v>1542.23</v>
      </c>
      <c r="G976" s="5">
        <v>196.75</v>
      </c>
      <c r="H976" s="6">
        <v>3</v>
      </c>
      <c r="I976" s="2" t="s">
        <v>2117</v>
      </c>
      <c r="J976" s="2" t="str">
        <v>Synergize World-Class Networks</v>
      </c>
      <c r="K976" s="2" t="str">
        <v>Electronics</v>
      </c>
      <c r="L976" s="2" t="str">
        <v>Gomez-Lawrence</v>
      </c>
      <c r="M976" s="2">
        <v>72.37</v>
      </c>
      <c r="N976" s="16">
        <f t="shared" si="15"/>
        <v>0.12757500502519079</v>
      </c>
    </row>
    <row r="977" spans="2:14" ht="14.4" customHeight="1" x14ac:dyDescent="0.3">
      <c r="B977" s="2" t="s">
        <v>982</v>
      </c>
      <c r="C977" s="3">
        <v>44326</v>
      </c>
      <c r="D977" s="2" t="s">
        <v>2010</v>
      </c>
      <c r="E977" s="2" t="s">
        <v>2046</v>
      </c>
      <c r="F977" s="4">
        <v>4853.8900000000003</v>
      </c>
      <c r="G977" s="5">
        <v>211.16</v>
      </c>
      <c r="H977" s="6">
        <v>13</v>
      </c>
      <c r="I977" s="2" t="s">
        <v>2118</v>
      </c>
      <c r="J977" s="2" t="str">
        <v>Facilitate End-To-End Experiences</v>
      </c>
      <c r="K977" s="2" t="str">
        <v>Office Supplies</v>
      </c>
      <c r="L977" s="2" t="str">
        <v>Pierce-Goodwin</v>
      </c>
      <c r="M977" s="2">
        <v>260.52999999999997</v>
      </c>
      <c r="N977" s="16">
        <f t="shared" si="15"/>
        <v>4.350325203084536E-2</v>
      </c>
    </row>
    <row r="978" spans="2:14" ht="14.4" customHeight="1" x14ac:dyDescent="0.3">
      <c r="B978" s="2" t="s">
        <v>983</v>
      </c>
      <c r="C978" s="3">
        <v>45538</v>
      </c>
      <c r="D978" s="2" t="s">
        <v>2010</v>
      </c>
      <c r="E978" s="2" t="s">
        <v>2036</v>
      </c>
      <c r="F978" s="4">
        <v>4604.28</v>
      </c>
      <c r="G978" s="5">
        <v>542.63</v>
      </c>
      <c r="H978" s="6">
        <v>9</v>
      </c>
      <c r="I978" s="2" t="s">
        <v>2116</v>
      </c>
      <c r="J978" s="2" t="str">
        <v>Innovate Strategic Systems</v>
      </c>
      <c r="K978" s="2" t="str">
        <v>Office Supplies</v>
      </c>
      <c r="L978" s="2" t="str">
        <v>Mcfarland, Parker and Armstrong</v>
      </c>
      <c r="M978" s="2">
        <v>70.239999999999995</v>
      </c>
      <c r="N978" s="16">
        <f t="shared" si="15"/>
        <v>0.11785338858627191</v>
      </c>
    </row>
    <row r="979" spans="2:14" ht="14.4" customHeight="1" x14ac:dyDescent="0.3">
      <c r="B979" s="2" t="s">
        <v>984</v>
      </c>
      <c r="C979" s="3">
        <v>45237</v>
      </c>
      <c r="D979" s="2" t="s">
        <v>2009</v>
      </c>
      <c r="E979" s="2" t="s">
        <v>2021</v>
      </c>
      <c r="F979" s="4">
        <v>3244.25</v>
      </c>
      <c r="G979" s="5">
        <v>901.96</v>
      </c>
      <c r="H979" s="6">
        <v>3</v>
      </c>
      <c r="I979" s="2" t="s">
        <v>2117</v>
      </c>
      <c r="J979" s="2" t="str">
        <v>Whiteboard Compelling Experiences</v>
      </c>
      <c r="K979" s="2" t="str">
        <v>Furniture</v>
      </c>
      <c r="L979" s="2" t="str">
        <v>Carrillo, Carr and Ball</v>
      </c>
      <c r="M979" s="2">
        <v>206.54</v>
      </c>
      <c r="N979" s="16">
        <f t="shared" si="15"/>
        <v>0.27801803190259694</v>
      </c>
    </row>
    <row r="980" spans="2:14" ht="14.4" customHeight="1" x14ac:dyDescent="0.3">
      <c r="B980" s="2" t="s">
        <v>985</v>
      </c>
      <c r="C980" s="3">
        <v>44630</v>
      </c>
      <c r="D980" s="2" t="s">
        <v>2011</v>
      </c>
      <c r="E980" s="2" t="s">
        <v>2084</v>
      </c>
      <c r="F980" s="4">
        <v>1747.38</v>
      </c>
      <c r="G980" s="5">
        <v>423.17</v>
      </c>
      <c r="H980" s="6">
        <v>10</v>
      </c>
      <c r="I980" s="2" t="s">
        <v>2116</v>
      </c>
      <c r="J980" s="2" t="str">
        <v>Grow Synergistic Infrastructures</v>
      </c>
      <c r="K980" s="2" t="str">
        <v>Furniture</v>
      </c>
      <c r="L980" s="2" t="str">
        <v>Adams-Carter</v>
      </c>
      <c r="M980" s="2">
        <v>113.17</v>
      </c>
      <c r="N980" s="16">
        <f t="shared" si="15"/>
        <v>0.24217399764218428</v>
      </c>
    </row>
    <row r="981" spans="2:14" ht="14.4" customHeight="1" x14ac:dyDescent="0.3">
      <c r="B981" s="2" t="s">
        <v>986</v>
      </c>
      <c r="C981" s="3">
        <v>45187</v>
      </c>
      <c r="D981" s="2" t="s">
        <v>2011</v>
      </c>
      <c r="E981" s="2" t="s">
        <v>2110</v>
      </c>
      <c r="F981" s="4">
        <v>4260.82</v>
      </c>
      <c r="G981" s="5">
        <v>443.27</v>
      </c>
      <c r="H981" s="6">
        <v>17</v>
      </c>
      <c r="I981" s="2" t="s">
        <v>2117</v>
      </c>
      <c r="J981" s="2" t="str">
        <v>Repurpose End-To-End Networks</v>
      </c>
      <c r="K981" s="2" t="str">
        <v>Office Supplies</v>
      </c>
      <c r="L981" s="2" t="str">
        <v>Torres-Rush</v>
      </c>
      <c r="M981" s="2">
        <v>97.02</v>
      </c>
      <c r="N981" s="16">
        <f t="shared" si="15"/>
        <v>0.10403396529306566</v>
      </c>
    </row>
    <row r="982" spans="2:14" ht="14.4" customHeight="1" x14ac:dyDescent="0.3">
      <c r="B982" s="2" t="s">
        <v>987</v>
      </c>
      <c r="C982" s="3">
        <v>43847</v>
      </c>
      <c r="D982" s="2" t="s">
        <v>2009</v>
      </c>
      <c r="E982" s="2" t="s">
        <v>2081</v>
      </c>
      <c r="F982" s="4">
        <v>3916.09</v>
      </c>
      <c r="G982" s="5">
        <v>481.54</v>
      </c>
      <c r="H982" s="6">
        <v>4</v>
      </c>
      <c r="I982" s="2" t="s">
        <v>2118</v>
      </c>
      <c r="J982" s="2" t="str">
        <v>Orchestrate User-Centric Platforms</v>
      </c>
      <c r="K982" s="2" t="str">
        <v>Furniture</v>
      </c>
      <c r="L982" s="2" t="str">
        <v>Wells Ltd</v>
      </c>
      <c r="M982" s="2">
        <v>201.87</v>
      </c>
      <c r="N982" s="16">
        <f t="shared" si="15"/>
        <v>0.12296448753731401</v>
      </c>
    </row>
    <row r="983" spans="2:14" ht="14.4" customHeight="1" x14ac:dyDescent="0.3">
      <c r="B983" s="2" t="s">
        <v>988</v>
      </c>
      <c r="C983" s="3">
        <v>45572</v>
      </c>
      <c r="D983" s="2" t="s">
        <v>2011</v>
      </c>
      <c r="E983" s="2" t="s">
        <v>2035</v>
      </c>
      <c r="F983" s="4">
        <v>262.92</v>
      </c>
      <c r="G983" s="5">
        <v>205.66</v>
      </c>
      <c r="H983" s="6">
        <v>17</v>
      </c>
      <c r="I983" s="2" t="s">
        <v>2116</v>
      </c>
      <c r="J983" s="2" t="str">
        <v>Optimize 24/365 E-Services</v>
      </c>
      <c r="K983" s="2" t="str">
        <v>Office Supplies</v>
      </c>
      <c r="L983" s="2" t="str">
        <v>Chase Ltd</v>
      </c>
      <c r="M983" s="2">
        <v>100.35</v>
      </c>
      <c r="N983" s="16">
        <f t="shared" si="15"/>
        <v>0.78221512247071345</v>
      </c>
    </row>
    <row r="984" spans="2:14" ht="14.4" customHeight="1" x14ac:dyDescent="0.3">
      <c r="B984" s="2" t="s">
        <v>989</v>
      </c>
      <c r="C984" s="3">
        <v>44002</v>
      </c>
      <c r="D984" s="2" t="s">
        <v>2009</v>
      </c>
      <c r="E984" s="2" t="s">
        <v>2094</v>
      </c>
      <c r="F984" s="4">
        <v>1188.7</v>
      </c>
      <c r="G984" s="5">
        <v>258.86</v>
      </c>
      <c r="H984" s="6">
        <v>16</v>
      </c>
      <c r="I984" s="2" t="s">
        <v>2117</v>
      </c>
      <c r="J984" s="2" t="str">
        <v>Implement Rich Platforms</v>
      </c>
      <c r="K984" s="2" t="str">
        <v>Electronics</v>
      </c>
      <c r="L984" s="2" t="str">
        <v>Parker, Anderson and Salazar</v>
      </c>
      <c r="M984" s="2">
        <v>53.59</v>
      </c>
      <c r="N984" s="16">
        <f t="shared" si="15"/>
        <v>0.21776730882476655</v>
      </c>
    </row>
    <row r="985" spans="2:14" ht="14.4" customHeight="1" x14ac:dyDescent="0.3">
      <c r="B985" s="2" t="s">
        <v>990</v>
      </c>
      <c r="C985" s="3">
        <v>44405</v>
      </c>
      <c r="D985" s="2" t="s">
        <v>2009</v>
      </c>
      <c r="E985" s="2" t="s">
        <v>2048</v>
      </c>
      <c r="F985" s="4">
        <v>4272.4399999999996</v>
      </c>
      <c r="G985" s="5">
        <v>134.59</v>
      </c>
      <c r="H985" s="6">
        <v>11</v>
      </c>
      <c r="I985" s="2" t="s">
        <v>2117</v>
      </c>
      <c r="J985" s="2" t="str">
        <v>Drive Compelling E-Services</v>
      </c>
      <c r="K985" s="2" t="str">
        <v>Office Supplies</v>
      </c>
      <c r="L985" s="2" t="str">
        <v>Morris-Villanueva</v>
      </c>
      <c r="M985" s="2">
        <v>27.22</v>
      </c>
      <c r="N985" s="16">
        <f t="shared" si="15"/>
        <v>3.1501905234479599E-2</v>
      </c>
    </row>
    <row r="986" spans="2:14" ht="14.4" customHeight="1" x14ac:dyDescent="0.3">
      <c r="B986" s="2" t="s">
        <v>991</v>
      </c>
      <c r="C986" s="3">
        <v>45352</v>
      </c>
      <c r="D986" s="2" t="s">
        <v>2012</v>
      </c>
      <c r="E986" s="2" t="s">
        <v>2066</v>
      </c>
      <c r="F986" s="4">
        <v>2285.06</v>
      </c>
      <c r="G986" s="5">
        <v>743.15</v>
      </c>
      <c r="H986" s="6">
        <v>7</v>
      </c>
      <c r="I986" s="2" t="s">
        <v>2118</v>
      </c>
      <c r="J986" s="2" t="str">
        <v>Facilitate Integrated E-Business</v>
      </c>
      <c r="K986" s="2" t="str">
        <v>Office Supplies</v>
      </c>
      <c r="L986" s="2" t="str">
        <v>Chang-Vargas</v>
      </c>
      <c r="M986" s="2">
        <v>130.33000000000001</v>
      </c>
      <c r="N986" s="16">
        <f t="shared" si="15"/>
        <v>0.3252212195741031</v>
      </c>
    </row>
    <row r="987" spans="2:14" ht="14.4" customHeight="1" x14ac:dyDescent="0.3">
      <c r="B987" s="2" t="s">
        <v>992</v>
      </c>
      <c r="C987" s="3">
        <v>45407</v>
      </c>
      <c r="D987" s="2" t="s">
        <v>2011</v>
      </c>
      <c r="E987" s="2" t="s">
        <v>2079</v>
      </c>
      <c r="F987" s="4">
        <v>4848.45</v>
      </c>
      <c r="G987" s="5">
        <v>285.51</v>
      </c>
      <c r="H987" s="6">
        <v>16</v>
      </c>
      <c r="I987" s="2" t="s">
        <v>2117</v>
      </c>
      <c r="J987" s="2" t="str">
        <v>Iterate Extensible Roi</v>
      </c>
      <c r="K987" s="2" t="str">
        <v>Office Supplies</v>
      </c>
      <c r="L987" s="2" t="str">
        <v>Hill-Kelly</v>
      </c>
      <c r="M987" s="2">
        <v>180</v>
      </c>
      <c r="N987" s="16">
        <f t="shared" si="15"/>
        <v>5.8886860749311633E-2</v>
      </c>
    </row>
    <row r="988" spans="2:14" ht="14.4" customHeight="1" x14ac:dyDescent="0.3">
      <c r="B988" s="2" t="s">
        <v>993</v>
      </c>
      <c r="C988" s="3">
        <v>43869</v>
      </c>
      <c r="D988" s="2" t="s">
        <v>2012</v>
      </c>
      <c r="E988" s="2" t="s">
        <v>2063</v>
      </c>
      <c r="F988" s="4">
        <v>2098.0100000000002</v>
      </c>
      <c r="G988" s="5">
        <v>469.47</v>
      </c>
      <c r="H988" s="6">
        <v>1</v>
      </c>
      <c r="I988" s="2" t="s">
        <v>2117</v>
      </c>
      <c r="J988" s="2" t="str">
        <v>Unleash End-To-End Web Services</v>
      </c>
      <c r="K988" s="2" t="str">
        <v>Office Supplies</v>
      </c>
      <c r="L988" s="2" t="str">
        <v>Jones Ltd</v>
      </c>
      <c r="M988" s="2">
        <v>188.02</v>
      </c>
      <c r="N988" s="16">
        <f t="shared" si="15"/>
        <v>0.2237691908046196</v>
      </c>
    </row>
    <row r="989" spans="2:14" ht="14.4" customHeight="1" x14ac:dyDescent="0.3">
      <c r="B989" s="2" t="s">
        <v>994</v>
      </c>
      <c r="C989" s="3">
        <v>44200</v>
      </c>
      <c r="D989" s="2" t="s">
        <v>2010</v>
      </c>
      <c r="E989" s="2" t="s">
        <v>2094</v>
      </c>
      <c r="F989" s="4">
        <v>464.24</v>
      </c>
      <c r="G989" s="5">
        <v>816.94</v>
      </c>
      <c r="H989" s="6">
        <v>1</v>
      </c>
      <c r="I989" s="2" t="s">
        <v>2117</v>
      </c>
      <c r="J989" s="2" t="str">
        <v>Implement Rich Platforms</v>
      </c>
      <c r="K989" s="2" t="str">
        <v>Electronics</v>
      </c>
      <c r="L989" s="2" t="str">
        <v>Parker, Anderson and Salazar</v>
      </c>
      <c r="M989" s="2">
        <v>53.59</v>
      </c>
      <c r="N989" s="16">
        <f t="shared" si="15"/>
        <v>1.759736343270722</v>
      </c>
    </row>
    <row r="990" spans="2:14" ht="14.4" customHeight="1" x14ac:dyDescent="0.3">
      <c r="B990" s="2" t="s">
        <v>995</v>
      </c>
      <c r="C990" s="3">
        <v>45449</v>
      </c>
      <c r="D990" s="2" t="s">
        <v>2010</v>
      </c>
      <c r="E990" s="2" t="s">
        <v>2081</v>
      </c>
      <c r="F990" s="4">
        <v>1077.5</v>
      </c>
      <c r="G990" s="5">
        <v>731.26</v>
      </c>
      <c r="H990" s="6">
        <v>17</v>
      </c>
      <c r="I990" s="2" t="s">
        <v>2116</v>
      </c>
      <c r="J990" s="2" t="str">
        <v>Orchestrate User-Centric Platforms</v>
      </c>
      <c r="K990" s="2" t="str">
        <v>Furniture</v>
      </c>
      <c r="L990" s="2" t="str">
        <v>Wells Ltd</v>
      </c>
      <c r="M990" s="2">
        <v>201.87</v>
      </c>
      <c r="N990" s="16">
        <f t="shared" si="15"/>
        <v>0.67866357308584691</v>
      </c>
    </row>
    <row r="991" spans="2:14" ht="14.4" customHeight="1" x14ac:dyDescent="0.3">
      <c r="B991" s="2" t="s">
        <v>996</v>
      </c>
      <c r="C991" s="3">
        <v>44348</v>
      </c>
      <c r="D991" s="2" t="s">
        <v>2010</v>
      </c>
      <c r="E991" s="2" t="s">
        <v>2019</v>
      </c>
      <c r="F991" s="4">
        <v>4763.84</v>
      </c>
      <c r="G991" s="5">
        <v>299.14999999999998</v>
      </c>
      <c r="H991" s="6">
        <v>4</v>
      </c>
      <c r="I991" s="2" t="s">
        <v>2118</v>
      </c>
      <c r="J991" s="2" t="str">
        <v>Implement Clicks-And-Mortar Partnerships</v>
      </c>
      <c r="K991" s="2" t="str">
        <v>Electronics</v>
      </c>
      <c r="L991" s="2" t="str">
        <v>Smith Inc</v>
      </c>
      <c r="M991" s="2">
        <v>195.53</v>
      </c>
      <c r="N991" s="16">
        <f t="shared" si="15"/>
        <v>6.2795979713844291E-2</v>
      </c>
    </row>
    <row r="992" spans="2:14" ht="14.4" customHeight="1" x14ac:dyDescent="0.3">
      <c r="B992" s="2" t="s">
        <v>997</v>
      </c>
      <c r="C992" s="3">
        <v>44394</v>
      </c>
      <c r="D992" s="2" t="s">
        <v>2009</v>
      </c>
      <c r="E992" s="2" t="s">
        <v>2036</v>
      </c>
      <c r="F992" s="4">
        <v>4816.6000000000004</v>
      </c>
      <c r="G992" s="5">
        <v>209.1</v>
      </c>
      <c r="H992" s="6">
        <v>11</v>
      </c>
      <c r="I992" s="2" t="s">
        <v>2116</v>
      </c>
      <c r="J992" s="2" t="str">
        <v>Innovate Strategic Systems</v>
      </c>
      <c r="K992" s="2" t="str">
        <v>Office Supplies</v>
      </c>
      <c r="L992" s="2" t="str">
        <v>Mcfarland, Parker and Armstrong</v>
      </c>
      <c r="M992" s="2">
        <v>70.239999999999995</v>
      </c>
      <c r="N992" s="16">
        <f t="shared" si="15"/>
        <v>4.3412365569073616E-2</v>
      </c>
    </row>
    <row r="993" spans="2:14" ht="14.4" customHeight="1" x14ac:dyDescent="0.3">
      <c r="B993" s="2" t="s">
        <v>998</v>
      </c>
      <c r="C993" s="3">
        <v>44625</v>
      </c>
      <c r="D993" s="2" t="s">
        <v>2012</v>
      </c>
      <c r="E993" s="2" t="s">
        <v>2086</v>
      </c>
      <c r="F993" s="4">
        <v>2801.61</v>
      </c>
      <c r="G993" s="5">
        <v>590.53</v>
      </c>
      <c r="H993" s="6">
        <v>1</v>
      </c>
      <c r="I993" s="2" t="s">
        <v>2118</v>
      </c>
      <c r="J993" s="2" t="str">
        <v>Harness Proactive Eyeballs</v>
      </c>
      <c r="K993" s="2" t="str">
        <v>Electronics</v>
      </c>
      <c r="L993" s="2" t="str">
        <v>Moran and Sons</v>
      </c>
      <c r="M993" s="2">
        <v>58.01</v>
      </c>
      <c r="N993" s="16">
        <f t="shared" si="15"/>
        <v>0.21078237156492158</v>
      </c>
    </row>
    <row r="994" spans="2:14" ht="14.4" customHeight="1" x14ac:dyDescent="0.3">
      <c r="B994" s="2" t="s">
        <v>999</v>
      </c>
      <c r="C994" s="3">
        <v>45496</v>
      </c>
      <c r="D994" s="2" t="s">
        <v>2010</v>
      </c>
      <c r="E994" s="2" t="s">
        <v>2099</v>
      </c>
      <c r="F994" s="4">
        <v>1859.18</v>
      </c>
      <c r="G994" s="5">
        <v>643.78</v>
      </c>
      <c r="H994" s="6">
        <v>5</v>
      </c>
      <c r="I994" s="2" t="s">
        <v>2116</v>
      </c>
      <c r="J994" s="2" t="str">
        <v>Synergize Cross-Platform Vortals</v>
      </c>
      <c r="K994" s="2" t="str">
        <v>Furniture</v>
      </c>
      <c r="L994" s="2" t="str">
        <v>Edwards Group</v>
      </c>
      <c r="M994" s="2">
        <v>87.18</v>
      </c>
      <c r="N994" s="16">
        <f t="shared" si="15"/>
        <v>0.3462709366494906</v>
      </c>
    </row>
    <row r="995" spans="2:14" ht="14.4" customHeight="1" x14ac:dyDescent="0.3">
      <c r="B995" s="2" t="s">
        <v>1000</v>
      </c>
      <c r="C995" s="3">
        <v>43894</v>
      </c>
      <c r="D995" s="2" t="s">
        <v>2012</v>
      </c>
      <c r="E995" s="2" t="s">
        <v>2061</v>
      </c>
      <c r="F995" s="4">
        <v>80.36</v>
      </c>
      <c r="G995" s="5">
        <v>755.11</v>
      </c>
      <c r="H995" s="6">
        <v>17</v>
      </c>
      <c r="I995" s="2" t="s">
        <v>2118</v>
      </c>
      <c r="J995" s="2" t="str">
        <v>Optimize Collaborative Initiatives</v>
      </c>
      <c r="K995" s="2" t="str">
        <v>Electronics</v>
      </c>
      <c r="L995" s="2" t="str">
        <v>Adkins Ltd</v>
      </c>
      <c r="M995" s="2">
        <v>34.46</v>
      </c>
      <c r="N995" s="16">
        <f t="shared" si="15"/>
        <v>9.3965903434544558</v>
      </c>
    </row>
    <row r="996" spans="2:14" ht="14.4" customHeight="1" x14ac:dyDescent="0.3">
      <c r="B996" s="2" t="s">
        <v>1001</v>
      </c>
      <c r="C996" s="3">
        <v>45330</v>
      </c>
      <c r="D996" s="2" t="s">
        <v>2010</v>
      </c>
      <c r="E996" s="2" t="s">
        <v>2018</v>
      </c>
      <c r="F996" s="4">
        <v>1898.9</v>
      </c>
      <c r="G996" s="5">
        <v>225.73</v>
      </c>
      <c r="H996" s="6">
        <v>15</v>
      </c>
      <c r="I996" s="2" t="s">
        <v>2117</v>
      </c>
      <c r="J996" s="2" t="str">
        <v>Deliver Sticky Networks</v>
      </c>
      <c r="K996" s="2" t="str">
        <v>Furniture</v>
      </c>
      <c r="L996" s="2" t="str">
        <v>Massey LLC</v>
      </c>
      <c r="M996" s="2">
        <v>272.33</v>
      </c>
      <c r="N996" s="16">
        <f t="shared" si="15"/>
        <v>0.11887408499657695</v>
      </c>
    </row>
    <row r="997" spans="2:14" ht="14.4" customHeight="1" x14ac:dyDescent="0.3">
      <c r="B997" s="2" t="s">
        <v>1002</v>
      </c>
      <c r="C997" s="3">
        <v>44387</v>
      </c>
      <c r="D997" s="2" t="s">
        <v>2009</v>
      </c>
      <c r="E997" s="2" t="s">
        <v>2026</v>
      </c>
      <c r="F997" s="4">
        <v>4001.97</v>
      </c>
      <c r="G997" s="5">
        <v>677.16</v>
      </c>
      <c r="H997" s="6">
        <v>15</v>
      </c>
      <c r="I997" s="2" t="s">
        <v>2116</v>
      </c>
      <c r="J997" s="2" t="str">
        <v>Monetize Wireless Functionalities</v>
      </c>
      <c r="K997" s="2" t="str">
        <v>Furniture</v>
      </c>
      <c r="L997" s="2" t="str">
        <v>Robinson, Rodriguez and Hernandez</v>
      </c>
      <c r="M997" s="2">
        <v>162.22</v>
      </c>
      <c r="N997" s="16">
        <f t="shared" si="15"/>
        <v>0.1692066657171343</v>
      </c>
    </row>
    <row r="998" spans="2:14" ht="14.4" customHeight="1" x14ac:dyDescent="0.3">
      <c r="B998" s="2" t="s">
        <v>1003</v>
      </c>
      <c r="C998" s="3">
        <v>44211</v>
      </c>
      <c r="D998" s="2" t="s">
        <v>2012</v>
      </c>
      <c r="E998" s="2" t="s">
        <v>2088</v>
      </c>
      <c r="F998" s="4">
        <v>2685.68</v>
      </c>
      <c r="G998" s="5">
        <v>76.989999999999995</v>
      </c>
      <c r="H998" s="6">
        <v>8</v>
      </c>
      <c r="I998" s="2" t="s">
        <v>2116</v>
      </c>
      <c r="J998" s="2" t="str">
        <v>E-Enable Holistic Supply-Chains</v>
      </c>
      <c r="K998" s="2" t="str">
        <v>Furniture</v>
      </c>
      <c r="L998" s="2" t="str">
        <v>Lin-Mcdaniel</v>
      </c>
      <c r="M998" s="2">
        <v>160.33000000000001</v>
      </c>
      <c r="N998" s="16">
        <f t="shared" si="15"/>
        <v>2.8666855321557296E-2</v>
      </c>
    </row>
    <row r="999" spans="2:14" ht="14.4" customHeight="1" x14ac:dyDescent="0.3">
      <c r="B999" s="2" t="s">
        <v>1004</v>
      </c>
      <c r="C999" s="3">
        <v>44162</v>
      </c>
      <c r="D999" s="2" t="s">
        <v>2012</v>
      </c>
      <c r="E999" s="2" t="s">
        <v>2016</v>
      </c>
      <c r="F999" s="4">
        <v>1818.34</v>
      </c>
      <c r="G999" s="5">
        <v>997.33</v>
      </c>
      <c r="H999" s="6">
        <v>7</v>
      </c>
      <c r="I999" s="2" t="s">
        <v>2117</v>
      </c>
      <c r="J999" s="2" t="str">
        <v>Revolutionize Efficient Niches</v>
      </c>
      <c r="K999" s="2" t="str">
        <v>Electronics</v>
      </c>
      <c r="L999" s="2" t="str">
        <v>Lopez-Torres</v>
      </c>
      <c r="M999" s="2">
        <v>23.02</v>
      </c>
      <c r="N999" s="16">
        <f t="shared" si="15"/>
        <v>0.5484837819109738</v>
      </c>
    </row>
    <row r="1000" spans="2:14" ht="14.4" customHeight="1" x14ac:dyDescent="0.3">
      <c r="B1000" s="2" t="s">
        <v>1005</v>
      </c>
      <c r="C1000" s="3">
        <v>45311</v>
      </c>
      <c r="D1000" s="2" t="s">
        <v>2010</v>
      </c>
      <c r="E1000" s="2" t="s">
        <v>2040</v>
      </c>
      <c r="F1000" s="4">
        <v>461.86</v>
      </c>
      <c r="G1000" s="5">
        <v>87.92</v>
      </c>
      <c r="H1000" s="6">
        <v>13</v>
      </c>
      <c r="I1000" s="2" t="s">
        <v>2118</v>
      </c>
      <c r="J1000" s="2" t="str">
        <v>Synergize End-To-End Supply-Chains</v>
      </c>
      <c r="K1000" s="2" t="str">
        <v>Office Supplies</v>
      </c>
      <c r="L1000" s="2" t="str">
        <v>Higgins-Espinoza</v>
      </c>
      <c r="M1000" s="2">
        <v>279.8</v>
      </c>
      <c r="N1000" s="16">
        <f t="shared" si="15"/>
        <v>0.19036071536829341</v>
      </c>
    </row>
    <row r="1001" spans="2:14" ht="14.4" customHeight="1" x14ac:dyDescent="0.3">
      <c r="B1001" s="2" t="s">
        <v>1006</v>
      </c>
      <c r="C1001" s="3">
        <v>44335</v>
      </c>
      <c r="D1001" s="2" t="s">
        <v>2011</v>
      </c>
      <c r="E1001" s="2" t="s">
        <v>2013</v>
      </c>
      <c r="F1001" s="4">
        <v>3397.67</v>
      </c>
      <c r="G1001" s="5">
        <v>712.63</v>
      </c>
      <c r="H1001" s="6">
        <v>17</v>
      </c>
      <c r="I1001" s="2" t="s">
        <v>2117</v>
      </c>
      <c r="J1001" s="2" t="str">
        <v>Re-Intermediate Seamless Applications</v>
      </c>
      <c r="K1001" s="2" t="str">
        <v>Office Supplies</v>
      </c>
      <c r="L1001" s="2" t="str">
        <v>Welch-Reed</v>
      </c>
      <c r="M1001" s="2">
        <v>45.82</v>
      </c>
      <c r="N1001" s="16">
        <f t="shared" si="15"/>
        <v>0.20974079295517223</v>
      </c>
    </row>
    <row r="1002" spans="2:14" ht="14.4" customHeight="1" x14ac:dyDescent="0.3">
      <c r="B1002" s="2" t="s">
        <v>1007</v>
      </c>
      <c r="C1002" s="3">
        <v>43956</v>
      </c>
      <c r="D1002" s="2" t="s">
        <v>2012</v>
      </c>
      <c r="E1002" s="2" t="s">
        <v>2061</v>
      </c>
      <c r="F1002" s="4">
        <v>4210.71</v>
      </c>
      <c r="G1002" s="5">
        <v>203.21</v>
      </c>
      <c r="H1002" s="6">
        <v>14</v>
      </c>
      <c r="I1002" s="2" t="s">
        <v>2116</v>
      </c>
      <c r="J1002" s="2" t="str">
        <v>Optimize Collaborative Initiatives</v>
      </c>
      <c r="K1002" s="2" t="str">
        <v>Electronics</v>
      </c>
      <c r="L1002" s="2" t="str">
        <v>Adkins Ltd</v>
      </c>
      <c r="M1002" s="2">
        <v>34.46</v>
      </c>
      <c r="N1002" s="16">
        <f t="shared" si="15"/>
        <v>4.8260269645736709E-2</v>
      </c>
    </row>
    <row r="1003" spans="2:14" ht="14.4" customHeight="1" x14ac:dyDescent="0.3">
      <c r="B1003" s="2" t="s">
        <v>1008</v>
      </c>
      <c r="C1003" s="3">
        <v>45299</v>
      </c>
      <c r="D1003" s="2" t="s">
        <v>2011</v>
      </c>
      <c r="E1003" s="2" t="s">
        <v>2042</v>
      </c>
      <c r="F1003" s="4">
        <v>4461.79</v>
      </c>
      <c r="G1003" s="5">
        <v>94.19</v>
      </c>
      <c r="H1003" s="6">
        <v>5</v>
      </c>
      <c r="I1003" s="2" t="s">
        <v>2118</v>
      </c>
      <c r="J1003" s="2" t="str">
        <v>Orchestrate E-Business Niches</v>
      </c>
      <c r="K1003" s="2" t="str">
        <v>Furniture</v>
      </c>
      <c r="L1003" s="2" t="str">
        <v>Johnson LLC</v>
      </c>
      <c r="M1003" s="2">
        <v>198.99</v>
      </c>
      <c r="N1003" s="16">
        <f t="shared" si="15"/>
        <v>2.1110361536513373E-2</v>
      </c>
    </row>
    <row r="1004" spans="2:14" ht="14.4" customHeight="1" x14ac:dyDescent="0.3">
      <c r="B1004" s="2" t="s">
        <v>1009</v>
      </c>
      <c r="C1004" s="3">
        <v>45048</v>
      </c>
      <c r="D1004" s="2" t="s">
        <v>2010</v>
      </c>
      <c r="E1004" s="2" t="s">
        <v>2013</v>
      </c>
      <c r="F1004" s="4">
        <v>915.4</v>
      </c>
      <c r="G1004" s="5">
        <v>265.13</v>
      </c>
      <c r="H1004" s="6">
        <v>20</v>
      </c>
      <c r="I1004" s="2" t="s">
        <v>2116</v>
      </c>
      <c r="J1004" s="2" t="str">
        <v>Re-Intermediate Seamless Applications</v>
      </c>
      <c r="K1004" s="2" t="str">
        <v>Office Supplies</v>
      </c>
      <c r="L1004" s="2" t="str">
        <v>Welch-Reed</v>
      </c>
      <c r="M1004" s="2">
        <v>45.82</v>
      </c>
      <c r="N1004" s="16">
        <f t="shared" si="15"/>
        <v>0.28963294734542278</v>
      </c>
    </row>
    <row r="1005" spans="2:14" ht="14.4" customHeight="1" x14ac:dyDescent="0.3">
      <c r="B1005" s="2" t="s">
        <v>1010</v>
      </c>
      <c r="C1005" s="3">
        <v>44699</v>
      </c>
      <c r="D1005" s="2" t="s">
        <v>2009</v>
      </c>
      <c r="E1005" s="2" t="s">
        <v>2057</v>
      </c>
      <c r="F1005" s="4">
        <v>1005.26</v>
      </c>
      <c r="G1005" s="5">
        <v>886.87</v>
      </c>
      <c r="H1005" s="6">
        <v>13</v>
      </c>
      <c r="I1005" s="2" t="s">
        <v>2116</v>
      </c>
      <c r="J1005" s="2" t="str">
        <v>Reinvent Out-Of-The-Box Models</v>
      </c>
      <c r="K1005" s="2" t="str">
        <v>Office Supplies</v>
      </c>
      <c r="L1005" s="2" t="str">
        <v>Wagner-Curtis</v>
      </c>
      <c r="M1005" s="2">
        <v>172.34</v>
      </c>
      <c r="N1005" s="16">
        <f t="shared" si="15"/>
        <v>0.88222947297216636</v>
      </c>
    </row>
    <row r="1006" spans="2:14" ht="14.4" customHeight="1" x14ac:dyDescent="0.3">
      <c r="B1006" s="2" t="s">
        <v>1011</v>
      </c>
      <c r="C1006" s="3">
        <v>44974</v>
      </c>
      <c r="D1006" s="2" t="s">
        <v>2010</v>
      </c>
      <c r="E1006" s="2" t="s">
        <v>2088</v>
      </c>
      <c r="F1006" s="4">
        <v>3879.86</v>
      </c>
      <c r="G1006" s="5">
        <v>135.75</v>
      </c>
      <c r="H1006" s="6">
        <v>17</v>
      </c>
      <c r="I1006" s="2" t="s">
        <v>2118</v>
      </c>
      <c r="J1006" s="2" t="str">
        <v>E-Enable Holistic Supply-Chains</v>
      </c>
      <c r="K1006" s="2" t="str">
        <v>Furniture</v>
      </c>
      <c r="L1006" s="2" t="str">
        <v>Lin-Mcdaniel</v>
      </c>
      <c r="M1006" s="2">
        <v>160.33000000000001</v>
      </c>
      <c r="N1006" s="16">
        <f t="shared" si="15"/>
        <v>3.4988375869232397E-2</v>
      </c>
    </row>
    <row r="1007" spans="2:14" ht="14.4" customHeight="1" x14ac:dyDescent="0.3">
      <c r="B1007" s="2" t="s">
        <v>1012</v>
      </c>
      <c r="C1007" s="3">
        <v>44834</v>
      </c>
      <c r="D1007" s="2" t="s">
        <v>2010</v>
      </c>
      <c r="E1007" s="2" t="s">
        <v>2034</v>
      </c>
      <c r="F1007" s="4">
        <v>413.73</v>
      </c>
      <c r="G1007" s="5">
        <v>819.15</v>
      </c>
      <c r="H1007" s="6">
        <v>6</v>
      </c>
      <c r="I1007" s="2" t="s">
        <v>2118</v>
      </c>
      <c r="J1007" s="2" t="str">
        <v>Utilize Virtual Partnerships</v>
      </c>
      <c r="K1007" s="2" t="str">
        <v>Furniture</v>
      </c>
      <c r="L1007" s="2" t="str">
        <v>Smith, Diaz and Heath</v>
      </c>
      <c r="M1007" s="2">
        <v>193.02</v>
      </c>
      <c r="N1007" s="16">
        <f t="shared" si="15"/>
        <v>1.979914436951635</v>
      </c>
    </row>
    <row r="1008" spans="2:14" ht="14.4" customHeight="1" x14ac:dyDescent="0.3">
      <c r="B1008" s="2" t="s">
        <v>1013</v>
      </c>
      <c r="C1008" s="3">
        <v>45482</v>
      </c>
      <c r="D1008" s="2" t="s">
        <v>2009</v>
      </c>
      <c r="E1008" s="2" t="s">
        <v>2042</v>
      </c>
      <c r="F1008" s="4">
        <v>3304.82</v>
      </c>
      <c r="G1008" s="5">
        <v>19.28</v>
      </c>
      <c r="H1008" s="6">
        <v>13</v>
      </c>
      <c r="I1008" s="2" t="s">
        <v>2117</v>
      </c>
      <c r="J1008" s="2" t="str">
        <v>Orchestrate E-Business Niches</v>
      </c>
      <c r="K1008" s="2" t="str">
        <v>Furniture</v>
      </c>
      <c r="L1008" s="2" t="str">
        <v>Johnson LLC</v>
      </c>
      <c r="M1008" s="2">
        <v>198.99</v>
      </c>
      <c r="N1008" s="16">
        <f t="shared" si="15"/>
        <v>5.833903208041588E-3</v>
      </c>
    </row>
    <row r="1009" spans="2:14" ht="14.4" customHeight="1" x14ac:dyDescent="0.3">
      <c r="B1009" s="2" t="s">
        <v>1014</v>
      </c>
      <c r="C1009" s="3">
        <v>45486</v>
      </c>
      <c r="D1009" s="2" t="s">
        <v>2009</v>
      </c>
      <c r="E1009" s="2" t="s">
        <v>2013</v>
      </c>
      <c r="F1009" s="4">
        <v>288.11</v>
      </c>
      <c r="G1009" s="5">
        <v>915.71</v>
      </c>
      <c r="H1009" s="6">
        <v>12</v>
      </c>
      <c r="I1009" s="2" t="s">
        <v>2118</v>
      </c>
      <c r="J1009" s="2" t="str">
        <v>Re-Intermediate Seamless Applications</v>
      </c>
      <c r="K1009" s="2" t="str">
        <v>Office Supplies</v>
      </c>
      <c r="L1009" s="2" t="str">
        <v>Welch-Reed</v>
      </c>
      <c r="M1009" s="2">
        <v>45.82</v>
      </c>
      <c r="N1009" s="16">
        <f t="shared" si="15"/>
        <v>3.1783346638436707</v>
      </c>
    </row>
    <row r="1010" spans="2:14" ht="14.4" customHeight="1" x14ac:dyDescent="0.3">
      <c r="B1010" s="2" t="s">
        <v>1015</v>
      </c>
      <c r="C1010" s="3">
        <v>45130</v>
      </c>
      <c r="D1010" s="2" t="s">
        <v>2009</v>
      </c>
      <c r="E1010" s="2" t="s">
        <v>2024</v>
      </c>
      <c r="F1010" s="4">
        <v>4781.9399999999996</v>
      </c>
      <c r="G1010" s="5">
        <v>622.63</v>
      </c>
      <c r="H1010" s="6">
        <v>8</v>
      </c>
      <c r="I1010" s="2" t="s">
        <v>2116</v>
      </c>
      <c r="J1010" s="2" t="str">
        <v>Target Viral Methodologies</v>
      </c>
      <c r="K1010" s="2" t="str">
        <v>Electronics</v>
      </c>
      <c r="L1010" s="2" t="str">
        <v>Alvarez, Myers and Walter</v>
      </c>
      <c r="M1010" s="2">
        <v>149.26</v>
      </c>
      <c r="N1010" s="16">
        <f t="shared" si="15"/>
        <v>0.13020447768060664</v>
      </c>
    </row>
    <row r="1011" spans="2:14" ht="14.4" customHeight="1" x14ac:dyDescent="0.3">
      <c r="B1011" s="2" t="s">
        <v>1016</v>
      </c>
      <c r="C1011" s="3">
        <v>44469</v>
      </c>
      <c r="D1011" s="2" t="s">
        <v>2011</v>
      </c>
      <c r="E1011" s="2" t="s">
        <v>2071</v>
      </c>
      <c r="F1011" s="4">
        <v>3101.86</v>
      </c>
      <c r="G1011" s="5">
        <v>958.81</v>
      </c>
      <c r="H1011" s="6">
        <v>8</v>
      </c>
      <c r="I1011" s="2" t="s">
        <v>2116</v>
      </c>
      <c r="J1011" s="2" t="str">
        <v>Incentivize Front-End Mindshare</v>
      </c>
      <c r="K1011" s="2" t="str">
        <v>Electronics</v>
      </c>
      <c r="L1011" s="2" t="str">
        <v>Phillips-Tran</v>
      </c>
      <c r="M1011" s="2">
        <v>196.86</v>
      </c>
      <c r="N1011" s="16">
        <f t="shared" si="15"/>
        <v>0.30910808353697455</v>
      </c>
    </row>
    <row r="1012" spans="2:14" ht="14.4" customHeight="1" x14ac:dyDescent="0.3">
      <c r="B1012" s="2" t="s">
        <v>1017</v>
      </c>
      <c r="C1012" s="3">
        <v>45467</v>
      </c>
      <c r="D1012" s="2" t="s">
        <v>2009</v>
      </c>
      <c r="E1012" s="2" t="s">
        <v>2033</v>
      </c>
      <c r="F1012" s="4">
        <v>3099.97</v>
      </c>
      <c r="G1012" s="5">
        <v>791.55</v>
      </c>
      <c r="H1012" s="6">
        <v>11</v>
      </c>
      <c r="I1012" s="2" t="s">
        <v>2117</v>
      </c>
      <c r="J1012" s="2" t="str">
        <v>Leverage Rich Portals</v>
      </c>
      <c r="K1012" s="2" t="str">
        <v>Office Supplies</v>
      </c>
      <c r="L1012" s="2" t="str">
        <v>Wilson PLC</v>
      </c>
      <c r="M1012" s="2">
        <v>46.35</v>
      </c>
      <c r="N1012" s="16">
        <f t="shared" si="15"/>
        <v>0.25534118072110373</v>
      </c>
    </row>
    <row r="1013" spans="2:14" ht="14.4" customHeight="1" x14ac:dyDescent="0.3">
      <c r="B1013" s="2" t="s">
        <v>1018</v>
      </c>
      <c r="C1013" s="3">
        <v>45517</v>
      </c>
      <c r="D1013" s="2" t="s">
        <v>2009</v>
      </c>
      <c r="E1013" s="2" t="s">
        <v>2058</v>
      </c>
      <c r="F1013" s="4">
        <v>169.95</v>
      </c>
      <c r="G1013" s="5">
        <v>718.1</v>
      </c>
      <c r="H1013" s="6">
        <v>4</v>
      </c>
      <c r="I1013" s="2" t="s">
        <v>2117</v>
      </c>
      <c r="J1013" s="2" t="str">
        <v>Envisioneer B2C Web-Readiness</v>
      </c>
      <c r="K1013" s="2" t="str">
        <v>Electronics</v>
      </c>
      <c r="L1013" s="2" t="str">
        <v>Kemp Group</v>
      </c>
      <c r="M1013" s="2">
        <v>97.23</v>
      </c>
      <c r="N1013" s="16">
        <f t="shared" si="15"/>
        <v>4.2253604001176823</v>
      </c>
    </row>
    <row r="1014" spans="2:14" ht="14.4" customHeight="1" x14ac:dyDescent="0.3">
      <c r="B1014" s="2" t="s">
        <v>1019</v>
      </c>
      <c r="C1014" s="3">
        <v>44094</v>
      </c>
      <c r="D1014" s="2" t="s">
        <v>2011</v>
      </c>
      <c r="E1014" s="2" t="s">
        <v>2065</v>
      </c>
      <c r="F1014" s="4">
        <v>2569.11</v>
      </c>
      <c r="G1014" s="5">
        <v>89.15</v>
      </c>
      <c r="H1014" s="6">
        <v>4</v>
      </c>
      <c r="I1014" s="2" t="s">
        <v>2116</v>
      </c>
      <c r="J1014" s="2" t="str">
        <v>Re-Contextualize Integrated Info-Mediaries</v>
      </c>
      <c r="K1014" s="2" t="str">
        <v>Electronics</v>
      </c>
      <c r="L1014" s="2" t="str">
        <v>Jones-Schroeder</v>
      </c>
      <c r="M1014" s="2">
        <v>26.02</v>
      </c>
      <c r="N1014" s="16">
        <f t="shared" si="15"/>
        <v>3.4700732938644126E-2</v>
      </c>
    </row>
    <row r="1015" spans="2:14" ht="14.4" customHeight="1" x14ac:dyDescent="0.3">
      <c r="B1015" s="2" t="s">
        <v>1020</v>
      </c>
      <c r="C1015" s="3">
        <v>44916</v>
      </c>
      <c r="D1015" s="2" t="s">
        <v>2012</v>
      </c>
      <c r="E1015" s="2" t="s">
        <v>2018</v>
      </c>
      <c r="F1015" s="4">
        <v>1165.6600000000001</v>
      </c>
      <c r="G1015" s="5">
        <v>735.14</v>
      </c>
      <c r="H1015" s="6">
        <v>2</v>
      </c>
      <c r="I1015" s="2" t="s">
        <v>2117</v>
      </c>
      <c r="J1015" s="2" t="str">
        <v>Deliver Sticky Networks</v>
      </c>
      <c r="K1015" s="2" t="str">
        <v>Furniture</v>
      </c>
      <c r="L1015" s="2" t="str">
        <v>Massey LLC</v>
      </c>
      <c r="M1015" s="2">
        <v>272.33</v>
      </c>
      <c r="N1015" s="16">
        <f t="shared" si="15"/>
        <v>0.6306641730864917</v>
      </c>
    </row>
    <row r="1016" spans="2:14" ht="14.4" customHeight="1" x14ac:dyDescent="0.3">
      <c r="B1016" s="2" t="s">
        <v>1021</v>
      </c>
      <c r="C1016" s="3">
        <v>44817</v>
      </c>
      <c r="D1016" s="2" t="s">
        <v>2009</v>
      </c>
      <c r="E1016" s="2" t="s">
        <v>2111</v>
      </c>
      <c r="F1016" s="4">
        <v>424.59</v>
      </c>
      <c r="G1016" s="5">
        <v>114.97</v>
      </c>
      <c r="H1016" s="6">
        <v>7</v>
      </c>
      <c r="I1016" s="2" t="s">
        <v>2117</v>
      </c>
      <c r="J1016" s="2" t="str">
        <v>Evolve Intuitive Bandwidth</v>
      </c>
      <c r="K1016" s="2" t="str">
        <v>Office Supplies</v>
      </c>
      <c r="L1016" s="2" t="str">
        <v>Rogers Group</v>
      </c>
      <c r="M1016" s="2">
        <v>131.63</v>
      </c>
      <c r="N1016" s="16">
        <f t="shared" si="15"/>
        <v>0.27077886902659037</v>
      </c>
    </row>
    <row r="1017" spans="2:14" ht="14.4" customHeight="1" x14ac:dyDescent="0.3">
      <c r="B1017" s="2" t="s">
        <v>1022</v>
      </c>
      <c r="C1017" s="3">
        <v>45401</v>
      </c>
      <c r="D1017" s="2" t="s">
        <v>2009</v>
      </c>
      <c r="E1017" s="2" t="s">
        <v>2074</v>
      </c>
      <c r="F1017" s="4">
        <v>3626.6</v>
      </c>
      <c r="G1017" s="5">
        <v>359.7</v>
      </c>
      <c r="H1017" s="6">
        <v>16</v>
      </c>
      <c r="I1017" s="2" t="s">
        <v>2116</v>
      </c>
      <c r="J1017" s="2" t="str">
        <v>Utilize Ubiquitous Synergies</v>
      </c>
      <c r="K1017" s="2" t="str">
        <v>Electronics</v>
      </c>
      <c r="L1017" s="2" t="str">
        <v>Kramer, Huang and Shaw</v>
      </c>
      <c r="M1017" s="2">
        <v>295.89999999999998</v>
      </c>
      <c r="N1017" s="16">
        <f t="shared" si="15"/>
        <v>9.9183808525892023E-2</v>
      </c>
    </row>
    <row r="1018" spans="2:14" ht="14.4" customHeight="1" x14ac:dyDescent="0.3">
      <c r="B1018" s="2" t="s">
        <v>1023</v>
      </c>
      <c r="C1018" s="3">
        <v>44539</v>
      </c>
      <c r="D1018" s="2" t="s">
        <v>2012</v>
      </c>
      <c r="E1018" s="2" t="s">
        <v>2032</v>
      </c>
      <c r="F1018" s="4">
        <v>3704</v>
      </c>
      <c r="G1018" s="5">
        <v>916.19</v>
      </c>
      <c r="H1018" s="6">
        <v>12</v>
      </c>
      <c r="I1018" s="2" t="s">
        <v>2116</v>
      </c>
      <c r="J1018" s="2" t="str">
        <v>Reinvent Frictionless Roi</v>
      </c>
      <c r="K1018" s="2" t="str">
        <v>Furniture</v>
      </c>
      <c r="L1018" s="2" t="str">
        <v>Bridges, Castillo and Rodriguez</v>
      </c>
      <c r="M1018" s="2">
        <v>253.89</v>
      </c>
      <c r="N1018" s="16">
        <f t="shared" si="15"/>
        <v>0.24735151187904969</v>
      </c>
    </row>
    <row r="1019" spans="2:14" ht="14.4" customHeight="1" x14ac:dyDescent="0.3">
      <c r="B1019" s="2" t="s">
        <v>1024</v>
      </c>
      <c r="C1019" s="3">
        <v>43904</v>
      </c>
      <c r="D1019" s="2" t="s">
        <v>2011</v>
      </c>
      <c r="E1019" s="2" t="s">
        <v>2055</v>
      </c>
      <c r="F1019" s="4">
        <v>4125.41</v>
      </c>
      <c r="G1019" s="5">
        <v>677.21</v>
      </c>
      <c r="H1019" s="6">
        <v>14</v>
      </c>
      <c r="I1019" s="2" t="s">
        <v>2116</v>
      </c>
      <c r="J1019" s="2" t="str">
        <v>Engineer Real-Time Architectures</v>
      </c>
      <c r="K1019" s="2" t="str">
        <v>Furniture</v>
      </c>
      <c r="L1019" s="2" t="str">
        <v>James and Sons</v>
      </c>
      <c r="M1019" s="2">
        <v>127.23</v>
      </c>
      <c r="N1019" s="16">
        <f t="shared" si="15"/>
        <v>0.16415580511997596</v>
      </c>
    </row>
    <row r="1020" spans="2:14" ht="14.4" customHeight="1" x14ac:dyDescent="0.3">
      <c r="B1020" s="2" t="s">
        <v>1025</v>
      </c>
      <c r="C1020" s="3">
        <v>44704</v>
      </c>
      <c r="D1020" s="2" t="s">
        <v>2011</v>
      </c>
      <c r="E1020" s="2" t="s">
        <v>2042</v>
      </c>
      <c r="F1020" s="4">
        <v>3949.47</v>
      </c>
      <c r="G1020" s="5">
        <v>184.96</v>
      </c>
      <c r="H1020" s="6">
        <v>15</v>
      </c>
      <c r="I1020" s="2" t="s">
        <v>2116</v>
      </c>
      <c r="J1020" s="2" t="str">
        <v>Orchestrate E-Business Niches</v>
      </c>
      <c r="K1020" s="2" t="str">
        <v>Furniture</v>
      </c>
      <c r="L1020" s="2" t="str">
        <v>Johnson LLC</v>
      </c>
      <c r="M1020" s="2">
        <v>198.99</v>
      </c>
      <c r="N1020" s="16">
        <f t="shared" si="15"/>
        <v>4.6831600189392503E-2</v>
      </c>
    </row>
    <row r="1021" spans="2:14" ht="14.4" customHeight="1" x14ac:dyDescent="0.3">
      <c r="B1021" s="2" t="s">
        <v>1026</v>
      </c>
      <c r="C1021" s="3">
        <v>44889</v>
      </c>
      <c r="D1021" s="2" t="s">
        <v>2011</v>
      </c>
      <c r="E1021" s="2" t="s">
        <v>2112</v>
      </c>
      <c r="F1021" s="4">
        <v>1199.1600000000001</v>
      </c>
      <c r="G1021" s="5">
        <v>604.57000000000005</v>
      </c>
      <c r="H1021" s="6">
        <v>12</v>
      </c>
      <c r="I1021" s="2" t="s">
        <v>2116</v>
      </c>
      <c r="J1021" s="2" t="str">
        <v>Mesh B2B Platforms</v>
      </c>
      <c r="K1021" s="2" t="str">
        <v>Furniture</v>
      </c>
      <c r="L1021" s="2" t="str">
        <v>Stevens, Walton and Riddle</v>
      </c>
      <c r="M1021" s="2">
        <v>236.57</v>
      </c>
      <c r="N1021" s="16">
        <f t="shared" si="15"/>
        <v>0.50416124620567726</v>
      </c>
    </row>
    <row r="1022" spans="2:14" ht="14.4" customHeight="1" x14ac:dyDescent="0.3">
      <c r="B1022" s="2" t="s">
        <v>1027</v>
      </c>
      <c r="C1022" s="3">
        <v>45517</v>
      </c>
      <c r="D1022" s="2" t="s">
        <v>2010</v>
      </c>
      <c r="E1022" s="2" t="s">
        <v>2033</v>
      </c>
      <c r="F1022" s="4">
        <v>1765.99</v>
      </c>
      <c r="G1022" s="5">
        <v>493.75</v>
      </c>
      <c r="H1022" s="6">
        <v>5</v>
      </c>
      <c r="I1022" s="2" t="s">
        <v>2116</v>
      </c>
      <c r="J1022" s="2" t="str">
        <v>Leverage Rich Portals</v>
      </c>
      <c r="K1022" s="2" t="str">
        <v>Office Supplies</v>
      </c>
      <c r="L1022" s="2" t="str">
        <v>Wilson PLC</v>
      </c>
      <c r="M1022" s="2">
        <v>46.35</v>
      </c>
      <c r="N1022" s="16">
        <f t="shared" si="15"/>
        <v>0.27958821963884278</v>
      </c>
    </row>
    <row r="1023" spans="2:14" ht="14.4" customHeight="1" x14ac:dyDescent="0.3">
      <c r="B1023" s="2" t="s">
        <v>1028</v>
      </c>
      <c r="C1023" s="3">
        <v>44661</v>
      </c>
      <c r="D1023" s="2" t="s">
        <v>2011</v>
      </c>
      <c r="E1023" s="2" t="s">
        <v>2081</v>
      </c>
      <c r="F1023" s="4">
        <v>3905.95</v>
      </c>
      <c r="G1023" s="5">
        <v>771.15</v>
      </c>
      <c r="H1023" s="6">
        <v>6</v>
      </c>
      <c r="I1023" s="2" t="s">
        <v>2118</v>
      </c>
      <c r="J1023" s="2" t="str">
        <v>Orchestrate User-Centric Platforms</v>
      </c>
      <c r="K1023" s="2" t="str">
        <v>Furniture</v>
      </c>
      <c r="L1023" s="2" t="str">
        <v>Wells Ltd</v>
      </c>
      <c r="M1023" s="2">
        <v>201.87</v>
      </c>
      <c r="N1023" s="16">
        <f t="shared" si="15"/>
        <v>0.19742956259040695</v>
      </c>
    </row>
    <row r="1024" spans="2:14" ht="14.4" customHeight="1" x14ac:dyDescent="0.3">
      <c r="B1024" s="2" t="s">
        <v>1029</v>
      </c>
      <c r="C1024" s="3">
        <v>45560</v>
      </c>
      <c r="D1024" s="2" t="s">
        <v>2012</v>
      </c>
      <c r="E1024" s="2" t="s">
        <v>2034</v>
      </c>
      <c r="F1024" s="4">
        <v>3413.6</v>
      </c>
      <c r="G1024" s="5">
        <v>964.91</v>
      </c>
      <c r="H1024" s="6">
        <v>13</v>
      </c>
      <c r="I1024" s="2" t="s">
        <v>2118</v>
      </c>
      <c r="J1024" s="2" t="str">
        <v>Utilize Virtual Partnerships</v>
      </c>
      <c r="K1024" s="2" t="str">
        <v>Furniture</v>
      </c>
      <c r="L1024" s="2" t="str">
        <v>Smith, Diaz and Heath</v>
      </c>
      <c r="M1024" s="2">
        <v>193.02</v>
      </c>
      <c r="N1024" s="16">
        <f t="shared" si="15"/>
        <v>0.28266639325052728</v>
      </c>
    </row>
    <row r="1025" spans="2:14" ht="14.4" customHeight="1" x14ac:dyDescent="0.3">
      <c r="B1025" s="2" t="s">
        <v>1030</v>
      </c>
      <c r="C1025" s="3">
        <v>45605</v>
      </c>
      <c r="D1025" s="2" t="s">
        <v>2011</v>
      </c>
      <c r="E1025" s="2" t="s">
        <v>2044</v>
      </c>
      <c r="F1025" s="4">
        <v>4930.71</v>
      </c>
      <c r="G1025" s="5">
        <v>408.55</v>
      </c>
      <c r="H1025" s="6">
        <v>4</v>
      </c>
      <c r="I1025" s="2" t="s">
        <v>2116</v>
      </c>
      <c r="J1025" s="2" t="str">
        <v>Grow Back-End Supply-Chains</v>
      </c>
      <c r="K1025" s="2" t="str">
        <v>Electronics</v>
      </c>
      <c r="L1025" s="2" t="str">
        <v>Green LLC</v>
      </c>
      <c r="M1025" s="2">
        <v>140.08000000000001</v>
      </c>
      <c r="N1025" s="16">
        <f t="shared" si="15"/>
        <v>8.2858249623279409E-2</v>
      </c>
    </row>
    <row r="1026" spans="2:14" ht="14.4" customHeight="1" x14ac:dyDescent="0.3">
      <c r="B1026" s="2" t="s">
        <v>1031</v>
      </c>
      <c r="C1026" s="3">
        <v>44137</v>
      </c>
      <c r="D1026" s="2" t="s">
        <v>2009</v>
      </c>
      <c r="E1026" s="2" t="s">
        <v>2017</v>
      </c>
      <c r="F1026" s="4">
        <v>3120.29</v>
      </c>
      <c r="G1026" s="5">
        <v>74.849999999999994</v>
      </c>
      <c r="H1026" s="6">
        <v>16</v>
      </c>
      <c r="I1026" s="2" t="s">
        <v>2116</v>
      </c>
      <c r="J1026" s="2" t="str">
        <v>Target Bricks-And-Clicks Channels</v>
      </c>
      <c r="K1026" s="2" t="str">
        <v>Electronics</v>
      </c>
      <c r="L1026" s="2" t="str">
        <v>Dunn, Christensen and Meyer</v>
      </c>
      <c r="M1026" s="2">
        <v>126.86</v>
      </c>
      <c r="N1026" s="16">
        <f t="shared" si="15"/>
        <v>2.3988154947136322E-2</v>
      </c>
    </row>
    <row r="1027" spans="2:14" ht="14.4" customHeight="1" x14ac:dyDescent="0.3">
      <c r="B1027" s="2" t="s">
        <v>1032</v>
      </c>
      <c r="C1027" s="3">
        <v>44418</v>
      </c>
      <c r="D1027" s="2" t="s">
        <v>2012</v>
      </c>
      <c r="E1027" s="2" t="s">
        <v>2056</v>
      </c>
      <c r="F1027" s="4">
        <v>847.74</v>
      </c>
      <c r="G1027" s="5">
        <v>385.76</v>
      </c>
      <c r="H1027" s="6">
        <v>20</v>
      </c>
      <c r="I1027" s="2" t="s">
        <v>2118</v>
      </c>
      <c r="J1027" s="2" t="str">
        <v>Mesh Intuitive Supply-Chains</v>
      </c>
      <c r="K1027" s="2" t="str">
        <v>Electronics</v>
      </c>
      <c r="L1027" s="2" t="str">
        <v>Soto, Barnett and Heath</v>
      </c>
      <c r="M1027" s="2">
        <v>281</v>
      </c>
      <c r="N1027" s="16">
        <f t="shared" si="15"/>
        <v>0.45504517894637503</v>
      </c>
    </row>
    <row r="1028" spans="2:14" ht="14.4" customHeight="1" x14ac:dyDescent="0.3">
      <c r="B1028" s="2" t="s">
        <v>1033</v>
      </c>
      <c r="C1028" s="3">
        <v>44583</v>
      </c>
      <c r="D1028" s="2" t="s">
        <v>2009</v>
      </c>
      <c r="E1028" s="2" t="s">
        <v>2082</v>
      </c>
      <c r="F1028" s="4">
        <v>2324.75</v>
      </c>
      <c r="G1028" s="5">
        <v>518.75</v>
      </c>
      <c r="H1028" s="6">
        <v>6</v>
      </c>
      <c r="I1028" s="2" t="s">
        <v>2117</v>
      </c>
      <c r="J1028" s="2" t="str">
        <v>Re-Contextualize Viral Markets</v>
      </c>
      <c r="K1028" s="2" t="str">
        <v>Electronics</v>
      </c>
      <c r="L1028" s="2" t="str">
        <v>Meadows-Barber</v>
      </c>
      <c r="M1028" s="2">
        <v>177.52</v>
      </c>
      <c r="N1028" s="16">
        <f t="shared" si="15"/>
        <v>0.22314227336272718</v>
      </c>
    </row>
    <row r="1029" spans="2:14" ht="14.4" customHeight="1" x14ac:dyDescent="0.3">
      <c r="B1029" s="2" t="s">
        <v>1034</v>
      </c>
      <c r="C1029" s="3">
        <v>45139</v>
      </c>
      <c r="D1029" s="2" t="s">
        <v>2010</v>
      </c>
      <c r="E1029" s="2" t="s">
        <v>2108</v>
      </c>
      <c r="F1029" s="4">
        <v>4935.58</v>
      </c>
      <c r="G1029" s="5">
        <v>679.43</v>
      </c>
      <c r="H1029" s="6">
        <v>14</v>
      </c>
      <c r="I1029" s="2" t="s">
        <v>2117</v>
      </c>
      <c r="J1029" s="2" t="str">
        <v>Whiteboard B2B Content</v>
      </c>
      <c r="K1029" s="2" t="str">
        <v>Office Supplies</v>
      </c>
      <c r="L1029" s="2" t="str">
        <v>Romero PLC</v>
      </c>
      <c r="M1029" s="2">
        <v>93.81</v>
      </c>
      <c r="N1029" s="16">
        <f t="shared" ref="N1029:N1092" si="16">(G1029/F1029)</f>
        <v>0.13765960636845112</v>
      </c>
    </row>
    <row r="1030" spans="2:14" ht="14.4" customHeight="1" x14ac:dyDescent="0.3">
      <c r="B1030" s="2" t="s">
        <v>1035</v>
      </c>
      <c r="C1030" s="3">
        <v>44911</v>
      </c>
      <c r="D1030" s="2" t="s">
        <v>2010</v>
      </c>
      <c r="E1030" s="2" t="s">
        <v>2089</v>
      </c>
      <c r="F1030" s="4">
        <v>2091.9699999999998</v>
      </c>
      <c r="G1030" s="5">
        <v>412.09</v>
      </c>
      <c r="H1030" s="6">
        <v>4</v>
      </c>
      <c r="I1030" s="2" t="s">
        <v>2117</v>
      </c>
      <c r="J1030" s="2" t="str">
        <v>Morph World-Class Synergies</v>
      </c>
      <c r="K1030" s="2" t="str">
        <v>Electronics</v>
      </c>
      <c r="L1030" s="2" t="str">
        <v>Bryant Ltd</v>
      </c>
      <c r="M1030" s="2">
        <v>20.69</v>
      </c>
      <c r="N1030" s="16">
        <f t="shared" si="16"/>
        <v>0.19698657246518833</v>
      </c>
    </row>
    <row r="1031" spans="2:14" ht="14.4" customHeight="1" x14ac:dyDescent="0.3">
      <c r="B1031" s="2" t="s">
        <v>1036</v>
      </c>
      <c r="C1031" s="3">
        <v>44397</v>
      </c>
      <c r="D1031" s="2" t="s">
        <v>2009</v>
      </c>
      <c r="E1031" s="2" t="s">
        <v>2024</v>
      </c>
      <c r="F1031" s="4">
        <v>2698.88</v>
      </c>
      <c r="G1031" s="5">
        <v>502.7</v>
      </c>
      <c r="H1031" s="6">
        <v>19</v>
      </c>
      <c r="I1031" s="2" t="s">
        <v>2118</v>
      </c>
      <c r="J1031" s="2" t="str">
        <v>Target Viral Methodologies</v>
      </c>
      <c r="K1031" s="2" t="str">
        <v>Electronics</v>
      </c>
      <c r="L1031" s="2" t="str">
        <v>Alvarez, Myers and Walter</v>
      </c>
      <c r="M1031" s="2">
        <v>149.26</v>
      </c>
      <c r="N1031" s="16">
        <f t="shared" si="16"/>
        <v>0.18626244960872657</v>
      </c>
    </row>
    <row r="1032" spans="2:14" ht="14.4" customHeight="1" x14ac:dyDescent="0.3">
      <c r="B1032" s="2" t="s">
        <v>1037</v>
      </c>
      <c r="C1032" s="3">
        <v>45206</v>
      </c>
      <c r="D1032" s="2" t="s">
        <v>2011</v>
      </c>
      <c r="E1032" s="2" t="s">
        <v>2093</v>
      </c>
      <c r="F1032" s="4">
        <v>1972.7</v>
      </c>
      <c r="G1032" s="5">
        <v>498.29</v>
      </c>
      <c r="H1032" s="6">
        <v>15</v>
      </c>
      <c r="I1032" s="2" t="s">
        <v>2118</v>
      </c>
      <c r="J1032" s="2" t="str">
        <v>Synergize Frictionless Synergies</v>
      </c>
      <c r="K1032" s="2" t="str">
        <v>Furniture</v>
      </c>
      <c r="L1032" s="2" t="str">
        <v>Hester and Sons</v>
      </c>
      <c r="M1032" s="2">
        <v>289.06</v>
      </c>
      <c r="N1032" s="16">
        <f t="shared" si="16"/>
        <v>0.25259289298930399</v>
      </c>
    </row>
    <row r="1033" spans="2:14" ht="14.4" customHeight="1" x14ac:dyDescent="0.3">
      <c r="B1033" s="2" t="s">
        <v>1038</v>
      </c>
      <c r="C1033" s="3">
        <v>44475</v>
      </c>
      <c r="D1033" s="2" t="s">
        <v>2011</v>
      </c>
      <c r="E1033" s="2" t="s">
        <v>2029</v>
      </c>
      <c r="F1033" s="4">
        <v>3882.27</v>
      </c>
      <c r="G1033" s="5">
        <v>637.54</v>
      </c>
      <c r="H1033" s="6">
        <v>16</v>
      </c>
      <c r="I1033" s="2" t="s">
        <v>2118</v>
      </c>
      <c r="J1033" s="2" t="str">
        <v>E-Enable Next-Generation Experiences</v>
      </c>
      <c r="K1033" s="2" t="str">
        <v>Furniture</v>
      </c>
      <c r="L1033" s="2" t="str">
        <v>Sanchez-Quinn</v>
      </c>
      <c r="M1033" s="2">
        <v>266.93</v>
      </c>
      <c r="N1033" s="16">
        <f t="shared" si="16"/>
        <v>0.16421835678610708</v>
      </c>
    </row>
    <row r="1034" spans="2:14" ht="14.4" customHeight="1" x14ac:dyDescent="0.3">
      <c r="B1034" s="2" t="s">
        <v>1039</v>
      </c>
      <c r="C1034" s="3">
        <v>45472</v>
      </c>
      <c r="D1034" s="2" t="s">
        <v>2011</v>
      </c>
      <c r="E1034" s="2" t="s">
        <v>2074</v>
      </c>
      <c r="F1034" s="4">
        <v>4703.51</v>
      </c>
      <c r="G1034" s="5">
        <v>450.33</v>
      </c>
      <c r="H1034" s="6">
        <v>12</v>
      </c>
      <c r="I1034" s="2" t="s">
        <v>2116</v>
      </c>
      <c r="J1034" s="2" t="str">
        <v>Utilize Ubiquitous Synergies</v>
      </c>
      <c r="K1034" s="2" t="str">
        <v>Electronics</v>
      </c>
      <c r="L1034" s="2" t="str">
        <v>Kramer, Huang and Shaw</v>
      </c>
      <c r="M1034" s="2">
        <v>295.89999999999998</v>
      </c>
      <c r="N1034" s="16">
        <f t="shared" si="16"/>
        <v>9.5743391637309147E-2</v>
      </c>
    </row>
    <row r="1035" spans="2:14" ht="14.4" customHeight="1" x14ac:dyDescent="0.3">
      <c r="B1035" s="2" t="s">
        <v>1040</v>
      </c>
      <c r="C1035" s="3">
        <v>45209</v>
      </c>
      <c r="D1035" s="2" t="s">
        <v>2010</v>
      </c>
      <c r="E1035" s="2" t="s">
        <v>2089</v>
      </c>
      <c r="F1035" s="4">
        <v>1066.3900000000001</v>
      </c>
      <c r="G1035" s="5">
        <v>468.46</v>
      </c>
      <c r="H1035" s="6">
        <v>18</v>
      </c>
      <c r="I1035" s="2" t="s">
        <v>2116</v>
      </c>
      <c r="J1035" s="2" t="str">
        <v>Morph World-Class Synergies</v>
      </c>
      <c r="K1035" s="2" t="str">
        <v>Electronics</v>
      </c>
      <c r="L1035" s="2" t="str">
        <v>Bryant Ltd</v>
      </c>
      <c r="M1035" s="2">
        <v>20.69</v>
      </c>
      <c r="N1035" s="16">
        <f t="shared" si="16"/>
        <v>0.43929519219047436</v>
      </c>
    </row>
    <row r="1036" spans="2:14" ht="14.4" customHeight="1" x14ac:dyDescent="0.3">
      <c r="B1036" s="2" t="s">
        <v>1041</v>
      </c>
      <c r="C1036" s="3">
        <v>45542</v>
      </c>
      <c r="D1036" s="2" t="s">
        <v>2009</v>
      </c>
      <c r="E1036" s="2" t="s">
        <v>2069</v>
      </c>
      <c r="F1036" s="4">
        <v>2637.67</v>
      </c>
      <c r="G1036" s="5">
        <v>451.71</v>
      </c>
      <c r="H1036" s="6">
        <v>6</v>
      </c>
      <c r="I1036" s="2" t="s">
        <v>2116</v>
      </c>
      <c r="J1036" s="2" t="str">
        <v>Optimize Transparent E-Markets</v>
      </c>
      <c r="K1036" s="2" t="str">
        <v>Office Supplies</v>
      </c>
      <c r="L1036" s="2" t="str">
        <v>Lee, Tyler and Blevins</v>
      </c>
      <c r="M1036" s="2">
        <v>111.22</v>
      </c>
      <c r="N1036" s="16">
        <f t="shared" si="16"/>
        <v>0.17125341684137893</v>
      </c>
    </row>
    <row r="1037" spans="2:14" ht="14.4" customHeight="1" x14ac:dyDescent="0.3">
      <c r="B1037" s="2" t="s">
        <v>1042</v>
      </c>
      <c r="C1037" s="3">
        <v>44119</v>
      </c>
      <c r="D1037" s="2" t="s">
        <v>2011</v>
      </c>
      <c r="E1037" s="2" t="s">
        <v>2099</v>
      </c>
      <c r="F1037" s="4">
        <v>78.39</v>
      </c>
      <c r="G1037" s="5">
        <v>697.78</v>
      </c>
      <c r="H1037" s="6">
        <v>6</v>
      </c>
      <c r="I1037" s="2" t="s">
        <v>2117</v>
      </c>
      <c r="J1037" s="2" t="str">
        <v>Synergize Cross-Platform Vortals</v>
      </c>
      <c r="K1037" s="2" t="str">
        <v>Furniture</v>
      </c>
      <c r="L1037" s="2" t="str">
        <v>Edwards Group</v>
      </c>
      <c r="M1037" s="2">
        <v>87.18</v>
      </c>
      <c r="N1037" s="16">
        <f t="shared" si="16"/>
        <v>8.9013904834800357</v>
      </c>
    </row>
    <row r="1038" spans="2:14" ht="14.4" customHeight="1" x14ac:dyDescent="0.3">
      <c r="B1038" s="2" t="s">
        <v>1043</v>
      </c>
      <c r="C1038" s="3">
        <v>44280</v>
      </c>
      <c r="D1038" s="2" t="s">
        <v>2010</v>
      </c>
      <c r="E1038" s="2" t="s">
        <v>2050</v>
      </c>
      <c r="F1038" s="4">
        <v>492.38</v>
      </c>
      <c r="G1038" s="5">
        <v>396.37</v>
      </c>
      <c r="H1038" s="6">
        <v>6</v>
      </c>
      <c r="I1038" s="2" t="s">
        <v>2116</v>
      </c>
      <c r="J1038" s="2" t="str">
        <v>Extend Bricks-And-Clicks Architectures</v>
      </c>
      <c r="K1038" s="2" t="str">
        <v>Furniture</v>
      </c>
      <c r="L1038" s="2" t="str">
        <v>Fuller PLC</v>
      </c>
      <c r="M1038" s="2">
        <v>202.99</v>
      </c>
      <c r="N1038" s="16">
        <f t="shared" si="16"/>
        <v>0.80500832690198632</v>
      </c>
    </row>
    <row r="1039" spans="2:14" ht="14.4" customHeight="1" x14ac:dyDescent="0.3">
      <c r="B1039" s="2" t="s">
        <v>1044</v>
      </c>
      <c r="C1039" s="3">
        <v>44222</v>
      </c>
      <c r="D1039" s="2" t="s">
        <v>2009</v>
      </c>
      <c r="E1039" s="2" t="s">
        <v>2108</v>
      </c>
      <c r="F1039" s="4">
        <v>3083.84</v>
      </c>
      <c r="G1039" s="5">
        <v>918.69</v>
      </c>
      <c r="H1039" s="6">
        <v>19</v>
      </c>
      <c r="I1039" s="2" t="s">
        <v>2118</v>
      </c>
      <c r="J1039" s="2" t="str">
        <v>Whiteboard B2B Content</v>
      </c>
      <c r="K1039" s="2" t="str">
        <v>Office Supplies</v>
      </c>
      <c r="L1039" s="2" t="str">
        <v>Romero PLC</v>
      </c>
      <c r="M1039" s="2">
        <v>93.81</v>
      </c>
      <c r="N1039" s="16">
        <f t="shared" si="16"/>
        <v>0.29790456054788833</v>
      </c>
    </row>
    <row r="1040" spans="2:14" ht="14.4" customHeight="1" x14ac:dyDescent="0.3">
      <c r="B1040" s="2" t="s">
        <v>1045</v>
      </c>
      <c r="C1040" s="3">
        <v>45299</v>
      </c>
      <c r="D1040" s="2" t="s">
        <v>2009</v>
      </c>
      <c r="E1040" s="2" t="s">
        <v>2016</v>
      </c>
      <c r="F1040" s="4">
        <v>1418.03</v>
      </c>
      <c r="G1040" s="5">
        <v>908.23</v>
      </c>
      <c r="H1040" s="6">
        <v>14</v>
      </c>
      <c r="I1040" s="2" t="s">
        <v>2116</v>
      </c>
      <c r="J1040" s="2" t="str">
        <v>Revolutionize Efficient Niches</v>
      </c>
      <c r="K1040" s="2" t="str">
        <v>Electronics</v>
      </c>
      <c r="L1040" s="2" t="str">
        <v>Lopez-Torres</v>
      </c>
      <c r="M1040" s="2">
        <v>23.02</v>
      </c>
      <c r="N1040" s="16">
        <f t="shared" si="16"/>
        <v>0.64048715471463935</v>
      </c>
    </row>
    <row r="1041" spans="2:14" ht="14.4" customHeight="1" x14ac:dyDescent="0.3">
      <c r="B1041" s="2" t="s">
        <v>1046</v>
      </c>
      <c r="C1041" s="3">
        <v>45539</v>
      </c>
      <c r="D1041" s="2" t="s">
        <v>2011</v>
      </c>
      <c r="E1041" s="2" t="s">
        <v>2035</v>
      </c>
      <c r="F1041" s="4">
        <v>1330.05</v>
      </c>
      <c r="G1041" s="5">
        <v>939.5</v>
      </c>
      <c r="H1041" s="6">
        <v>15</v>
      </c>
      <c r="I1041" s="2" t="s">
        <v>2117</v>
      </c>
      <c r="J1041" s="2" t="str">
        <v>Optimize 24/365 E-Services</v>
      </c>
      <c r="K1041" s="2" t="str">
        <v>Office Supplies</v>
      </c>
      <c r="L1041" s="2" t="str">
        <v>Chase Ltd</v>
      </c>
      <c r="M1041" s="2">
        <v>100.35</v>
      </c>
      <c r="N1041" s="16">
        <f t="shared" si="16"/>
        <v>0.70636442239013575</v>
      </c>
    </row>
    <row r="1042" spans="2:14" ht="14.4" customHeight="1" x14ac:dyDescent="0.3">
      <c r="B1042" s="2" t="s">
        <v>1047</v>
      </c>
      <c r="C1042" s="3">
        <v>45295</v>
      </c>
      <c r="D1042" s="2" t="s">
        <v>2012</v>
      </c>
      <c r="E1042" s="2" t="s">
        <v>2041</v>
      </c>
      <c r="F1042" s="4">
        <v>4818.84</v>
      </c>
      <c r="G1042" s="5">
        <v>760.23</v>
      </c>
      <c r="H1042" s="6">
        <v>14</v>
      </c>
      <c r="I1042" s="2" t="s">
        <v>2118</v>
      </c>
      <c r="J1042" s="2" t="str">
        <v>Expedite Synergistic Web-Readiness</v>
      </c>
      <c r="K1042" s="2" t="str">
        <v>Electronics</v>
      </c>
      <c r="L1042" s="2" t="str">
        <v>Dunlap, Carpenter and Monroe</v>
      </c>
      <c r="M1042" s="2">
        <v>289.66000000000003</v>
      </c>
      <c r="N1042" s="16">
        <f t="shared" si="16"/>
        <v>0.15776203401648528</v>
      </c>
    </row>
    <row r="1043" spans="2:14" ht="14.4" customHeight="1" x14ac:dyDescent="0.3">
      <c r="B1043" s="2" t="s">
        <v>1048</v>
      </c>
      <c r="C1043" s="3">
        <v>44790</v>
      </c>
      <c r="D1043" s="2" t="s">
        <v>2010</v>
      </c>
      <c r="E1043" s="2" t="s">
        <v>2111</v>
      </c>
      <c r="F1043" s="4">
        <v>3377.11</v>
      </c>
      <c r="G1043" s="5">
        <v>796.73</v>
      </c>
      <c r="H1043" s="6">
        <v>12</v>
      </c>
      <c r="I1043" s="2" t="s">
        <v>2118</v>
      </c>
      <c r="J1043" s="2" t="str">
        <v>Evolve Intuitive Bandwidth</v>
      </c>
      <c r="K1043" s="2" t="str">
        <v>Office Supplies</v>
      </c>
      <c r="L1043" s="2" t="str">
        <v>Rogers Group</v>
      </c>
      <c r="M1043" s="2">
        <v>131.63</v>
      </c>
      <c r="N1043" s="16">
        <f t="shared" si="16"/>
        <v>0.23592065405035667</v>
      </c>
    </row>
    <row r="1044" spans="2:14" ht="14.4" customHeight="1" x14ac:dyDescent="0.3">
      <c r="B1044" s="2" t="s">
        <v>1049</v>
      </c>
      <c r="C1044" s="3">
        <v>44418</v>
      </c>
      <c r="D1044" s="2" t="s">
        <v>2010</v>
      </c>
      <c r="E1044" s="2" t="s">
        <v>2085</v>
      </c>
      <c r="F1044" s="4">
        <v>736.71</v>
      </c>
      <c r="G1044" s="5">
        <v>480.11</v>
      </c>
      <c r="H1044" s="6">
        <v>1</v>
      </c>
      <c r="I1044" s="2" t="s">
        <v>2118</v>
      </c>
      <c r="J1044" s="2" t="str">
        <v>Incentivize User-Centric Mindshare</v>
      </c>
      <c r="K1044" s="2" t="str">
        <v>Electronics</v>
      </c>
      <c r="L1044" s="2" t="str">
        <v>Becker, Wright and Wong</v>
      </c>
      <c r="M1044" s="2">
        <v>38.51</v>
      </c>
      <c r="N1044" s="16">
        <f t="shared" si="16"/>
        <v>0.65169469669204982</v>
      </c>
    </row>
    <row r="1045" spans="2:14" ht="14.4" customHeight="1" x14ac:dyDescent="0.3">
      <c r="B1045" s="2" t="s">
        <v>1050</v>
      </c>
      <c r="C1045" s="3">
        <v>44179</v>
      </c>
      <c r="D1045" s="2" t="s">
        <v>2009</v>
      </c>
      <c r="E1045" s="2" t="s">
        <v>2014</v>
      </c>
      <c r="F1045" s="4">
        <v>3690.52</v>
      </c>
      <c r="G1045" s="5">
        <v>295.85000000000002</v>
      </c>
      <c r="H1045" s="6">
        <v>9</v>
      </c>
      <c r="I1045" s="2" t="s">
        <v>2117</v>
      </c>
      <c r="J1045" s="2" t="str">
        <v>E-Enable Synergistic Vortals</v>
      </c>
      <c r="K1045" s="2" t="str">
        <v>Electronics</v>
      </c>
      <c r="L1045" s="2" t="str">
        <v>Guzman Group</v>
      </c>
      <c r="M1045" s="2">
        <v>278.43</v>
      </c>
      <c r="N1045" s="16">
        <f t="shared" si="16"/>
        <v>8.0164854817207337E-2</v>
      </c>
    </row>
    <row r="1046" spans="2:14" ht="14.4" customHeight="1" x14ac:dyDescent="0.3">
      <c r="B1046" s="2" t="s">
        <v>1051</v>
      </c>
      <c r="C1046" s="3">
        <v>45217</v>
      </c>
      <c r="D1046" s="2" t="s">
        <v>2009</v>
      </c>
      <c r="E1046" s="2" t="s">
        <v>2041</v>
      </c>
      <c r="F1046" s="4">
        <v>2846.69</v>
      </c>
      <c r="G1046" s="5">
        <v>413.53</v>
      </c>
      <c r="H1046" s="6">
        <v>4</v>
      </c>
      <c r="I1046" s="2" t="s">
        <v>2118</v>
      </c>
      <c r="J1046" s="2" t="str">
        <v>Expedite Synergistic Web-Readiness</v>
      </c>
      <c r="K1046" s="2" t="str">
        <v>Electronics</v>
      </c>
      <c r="L1046" s="2" t="str">
        <v>Dunlap, Carpenter and Monroe</v>
      </c>
      <c r="M1046" s="2">
        <v>289.66000000000003</v>
      </c>
      <c r="N1046" s="16">
        <f t="shared" si="16"/>
        <v>0.14526695917012389</v>
      </c>
    </row>
    <row r="1047" spans="2:14" ht="14.4" customHeight="1" x14ac:dyDescent="0.3">
      <c r="B1047" s="2" t="s">
        <v>1052</v>
      </c>
      <c r="C1047" s="3">
        <v>44461</v>
      </c>
      <c r="D1047" s="2" t="s">
        <v>2009</v>
      </c>
      <c r="E1047" s="2" t="s">
        <v>2093</v>
      </c>
      <c r="F1047" s="4">
        <v>1656.3</v>
      </c>
      <c r="G1047" s="5">
        <v>130.74</v>
      </c>
      <c r="H1047" s="6">
        <v>13</v>
      </c>
      <c r="I1047" s="2" t="s">
        <v>2116</v>
      </c>
      <c r="J1047" s="2" t="str">
        <v>Synergize Frictionless Synergies</v>
      </c>
      <c r="K1047" s="2" t="str">
        <v>Furniture</v>
      </c>
      <c r="L1047" s="2" t="str">
        <v>Hester and Sons</v>
      </c>
      <c r="M1047" s="2">
        <v>289.06</v>
      </c>
      <c r="N1047" s="16">
        <f t="shared" si="16"/>
        <v>7.8934975547908001E-2</v>
      </c>
    </row>
    <row r="1048" spans="2:14" ht="14.4" customHeight="1" x14ac:dyDescent="0.3">
      <c r="B1048" s="2" t="s">
        <v>1053</v>
      </c>
      <c r="C1048" s="3">
        <v>45122</v>
      </c>
      <c r="D1048" s="2" t="s">
        <v>2011</v>
      </c>
      <c r="E1048" s="2" t="s">
        <v>2054</v>
      </c>
      <c r="F1048" s="4">
        <v>1919.15</v>
      </c>
      <c r="G1048" s="5">
        <v>589.96</v>
      </c>
      <c r="H1048" s="6">
        <v>12</v>
      </c>
      <c r="I1048" s="2" t="s">
        <v>2116</v>
      </c>
      <c r="J1048" s="2" t="str">
        <v>Empower Killer Info-Mediaries</v>
      </c>
      <c r="K1048" s="2" t="str">
        <v>Furniture</v>
      </c>
      <c r="L1048" s="2" t="str">
        <v>Jones Ltd</v>
      </c>
      <c r="M1048" s="2">
        <v>213.24</v>
      </c>
      <c r="N1048" s="16">
        <f t="shared" si="16"/>
        <v>0.30740692494072897</v>
      </c>
    </row>
    <row r="1049" spans="2:14" ht="14.4" customHeight="1" x14ac:dyDescent="0.3">
      <c r="B1049" s="2" t="s">
        <v>1054</v>
      </c>
      <c r="C1049" s="3">
        <v>45315</v>
      </c>
      <c r="D1049" s="2" t="s">
        <v>2010</v>
      </c>
      <c r="E1049" s="2" t="s">
        <v>2111</v>
      </c>
      <c r="F1049" s="4">
        <v>2821.64</v>
      </c>
      <c r="G1049" s="5">
        <v>457.16</v>
      </c>
      <c r="H1049" s="6">
        <v>16</v>
      </c>
      <c r="I1049" s="2" t="s">
        <v>2118</v>
      </c>
      <c r="J1049" s="2" t="str">
        <v>Evolve Intuitive Bandwidth</v>
      </c>
      <c r="K1049" s="2" t="str">
        <v>Office Supplies</v>
      </c>
      <c r="L1049" s="2" t="str">
        <v>Rogers Group</v>
      </c>
      <c r="M1049" s="2">
        <v>131.63</v>
      </c>
      <c r="N1049" s="16">
        <f t="shared" si="16"/>
        <v>0.16201925121560512</v>
      </c>
    </row>
    <row r="1050" spans="2:14" ht="14.4" customHeight="1" x14ac:dyDescent="0.3">
      <c r="B1050" s="2" t="s">
        <v>1055</v>
      </c>
      <c r="C1050" s="3">
        <v>44798</v>
      </c>
      <c r="D1050" s="2" t="s">
        <v>2010</v>
      </c>
      <c r="E1050" s="2" t="s">
        <v>2093</v>
      </c>
      <c r="F1050" s="4">
        <v>472.96</v>
      </c>
      <c r="G1050" s="5">
        <v>930.77</v>
      </c>
      <c r="H1050" s="6">
        <v>9</v>
      </c>
      <c r="I1050" s="2" t="s">
        <v>2117</v>
      </c>
      <c r="J1050" s="2" t="str">
        <v>Synergize Frictionless Synergies</v>
      </c>
      <c r="K1050" s="2" t="str">
        <v>Furniture</v>
      </c>
      <c r="L1050" s="2" t="str">
        <v>Hester and Sons</v>
      </c>
      <c r="M1050" s="2">
        <v>289.06</v>
      </c>
      <c r="N1050" s="16">
        <f t="shared" si="16"/>
        <v>1.9679676928281462</v>
      </c>
    </row>
    <row r="1051" spans="2:14" ht="14.4" customHeight="1" x14ac:dyDescent="0.3">
      <c r="B1051" s="2" t="s">
        <v>1056</v>
      </c>
      <c r="C1051" s="3">
        <v>43840</v>
      </c>
      <c r="D1051" s="2" t="s">
        <v>2011</v>
      </c>
      <c r="E1051" s="2" t="s">
        <v>2044</v>
      </c>
      <c r="F1051" s="4">
        <v>4603.0200000000004</v>
      </c>
      <c r="G1051" s="5">
        <v>19.5</v>
      </c>
      <c r="H1051" s="6">
        <v>19</v>
      </c>
      <c r="I1051" s="2" t="s">
        <v>2118</v>
      </c>
      <c r="J1051" s="2" t="str">
        <v>Grow Back-End Supply-Chains</v>
      </c>
      <c r="K1051" s="2" t="str">
        <v>Electronics</v>
      </c>
      <c r="L1051" s="2" t="str">
        <v>Green LLC</v>
      </c>
      <c r="M1051" s="2">
        <v>140.08000000000001</v>
      </c>
      <c r="N1051" s="16">
        <f t="shared" si="16"/>
        <v>4.2363491794517507E-3</v>
      </c>
    </row>
    <row r="1052" spans="2:14" ht="14.4" customHeight="1" x14ac:dyDescent="0.3">
      <c r="B1052" s="2" t="s">
        <v>1057</v>
      </c>
      <c r="C1052" s="3">
        <v>43845</v>
      </c>
      <c r="D1052" s="2" t="s">
        <v>2012</v>
      </c>
      <c r="E1052" s="2" t="s">
        <v>2112</v>
      </c>
      <c r="F1052" s="4">
        <v>3544.31</v>
      </c>
      <c r="G1052" s="5">
        <v>986.58</v>
      </c>
      <c r="H1052" s="6">
        <v>14</v>
      </c>
      <c r="I1052" s="2" t="s">
        <v>2116</v>
      </c>
      <c r="J1052" s="2" t="str">
        <v>Mesh B2B Platforms</v>
      </c>
      <c r="K1052" s="2" t="str">
        <v>Furniture</v>
      </c>
      <c r="L1052" s="2" t="str">
        <v>Stevens, Walton and Riddle</v>
      </c>
      <c r="M1052" s="2">
        <v>236.57</v>
      </c>
      <c r="N1052" s="16">
        <f t="shared" si="16"/>
        <v>0.27835601287697748</v>
      </c>
    </row>
    <row r="1053" spans="2:14" ht="14.4" customHeight="1" x14ac:dyDescent="0.3">
      <c r="B1053" s="2" t="s">
        <v>1058</v>
      </c>
      <c r="C1053" s="3">
        <v>44669</v>
      </c>
      <c r="D1053" s="2" t="s">
        <v>2009</v>
      </c>
      <c r="E1053" s="2" t="s">
        <v>2068</v>
      </c>
      <c r="F1053" s="4">
        <v>1206.08</v>
      </c>
      <c r="G1053" s="5">
        <v>589.77</v>
      </c>
      <c r="H1053" s="6">
        <v>6</v>
      </c>
      <c r="I1053" s="2" t="s">
        <v>2116</v>
      </c>
      <c r="J1053" s="2" t="str">
        <v>E-Enable Virtual Methodologies</v>
      </c>
      <c r="K1053" s="2" t="str">
        <v>Office Supplies</v>
      </c>
      <c r="L1053" s="2" t="str">
        <v>Floyd-Love</v>
      </c>
      <c r="M1053" s="2">
        <v>283.64999999999998</v>
      </c>
      <c r="N1053" s="16">
        <f t="shared" si="16"/>
        <v>0.48899741310692491</v>
      </c>
    </row>
    <row r="1054" spans="2:14" ht="14.4" customHeight="1" x14ac:dyDescent="0.3">
      <c r="B1054" s="2" t="s">
        <v>1059</v>
      </c>
      <c r="C1054" s="3">
        <v>43981</v>
      </c>
      <c r="D1054" s="2" t="s">
        <v>2011</v>
      </c>
      <c r="E1054" s="2" t="s">
        <v>2081</v>
      </c>
      <c r="F1054" s="4">
        <v>2407.64</v>
      </c>
      <c r="G1054" s="5">
        <v>793.39</v>
      </c>
      <c r="H1054" s="6">
        <v>18</v>
      </c>
      <c r="I1054" s="2" t="s">
        <v>2118</v>
      </c>
      <c r="J1054" s="2" t="str">
        <v>Orchestrate User-Centric Platforms</v>
      </c>
      <c r="K1054" s="2" t="str">
        <v>Furniture</v>
      </c>
      <c r="L1054" s="2" t="str">
        <v>Wells Ltd</v>
      </c>
      <c r="M1054" s="2">
        <v>201.87</v>
      </c>
      <c r="N1054" s="16">
        <f t="shared" si="16"/>
        <v>0.32953016231662541</v>
      </c>
    </row>
    <row r="1055" spans="2:14" ht="14.4" customHeight="1" x14ac:dyDescent="0.3">
      <c r="B1055" s="2" t="s">
        <v>1060</v>
      </c>
      <c r="C1055" s="3">
        <v>44106</v>
      </c>
      <c r="D1055" s="2" t="s">
        <v>2010</v>
      </c>
      <c r="E1055" s="2" t="s">
        <v>2061</v>
      </c>
      <c r="F1055" s="4">
        <v>3828.59</v>
      </c>
      <c r="G1055" s="5">
        <v>42.56</v>
      </c>
      <c r="H1055" s="6">
        <v>13</v>
      </c>
      <c r="I1055" s="2" t="s">
        <v>2118</v>
      </c>
      <c r="J1055" s="2" t="str">
        <v>Optimize Collaborative Initiatives</v>
      </c>
      <c r="K1055" s="2" t="str">
        <v>Electronics</v>
      </c>
      <c r="L1055" s="2" t="str">
        <v>Adkins Ltd</v>
      </c>
      <c r="M1055" s="2">
        <v>34.46</v>
      </c>
      <c r="N1055" s="16">
        <f t="shared" si="16"/>
        <v>1.1116363987786627E-2</v>
      </c>
    </row>
    <row r="1056" spans="2:14" ht="14.4" customHeight="1" x14ac:dyDescent="0.3">
      <c r="B1056" s="2" t="s">
        <v>1061</v>
      </c>
      <c r="C1056" s="3">
        <v>44041</v>
      </c>
      <c r="D1056" s="2" t="s">
        <v>2009</v>
      </c>
      <c r="E1056" s="2" t="s">
        <v>2111</v>
      </c>
      <c r="F1056" s="4">
        <v>1436.98</v>
      </c>
      <c r="G1056" s="5">
        <v>898.33</v>
      </c>
      <c r="H1056" s="6">
        <v>19</v>
      </c>
      <c r="I1056" s="2" t="s">
        <v>2116</v>
      </c>
      <c r="J1056" s="2" t="str">
        <v>Evolve Intuitive Bandwidth</v>
      </c>
      <c r="K1056" s="2" t="str">
        <v>Office Supplies</v>
      </c>
      <c r="L1056" s="2" t="str">
        <v>Rogers Group</v>
      </c>
      <c r="M1056" s="2">
        <v>131.63</v>
      </c>
      <c r="N1056" s="16">
        <f t="shared" si="16"/>
        <v>0.62515135910033548</v>
      </c>
    </row>
    <row r="1057" spans="2:14" ht="14.4" customHeight="1" x14ac:dyDescent="0.3">
      <c r="B1057" s="2" t="s">
        <v>1062</v>
      </c>
      <c r="C1057" s="3">
        <v>44365</v>
      </c>
      <c r="D1057" s="2" t="s">
        <v>2011</v>
      </c>
      <c r="E1057" s="2" t="s">
        <v>2065</v>
      </c>
      <c r="F1057" s="4">
        <v>769.44</v>
      </c>
      <c r="G1057" s="5">
        <v>150.04</v>
      </c>
      <c r="H1057" s="6">
        <v>16</v>
      </c>
      <c r="I1057" s="2" t="s">
        <v>2116</v>
      </c>
      <c r="J1057" s="2" t="str">
        <v>Re-Contextualize Integrated Info-Mediaries</v>
      </c>
      <c r="K1057" s="2" t="str">
        <v>Electronics</v>
      </c>
      <c r="L1057" s="2" t="str">
        <v>Jones-Schroeder</v>
      </c>
      <c r="M1057" s="2">
        <v>26.02</v>
      </c>
      <c r="N1057" s="16">
        <f t="shared" si="16"/>
        <v>0.19499896028280306</v>
      </c>
    </row>
    <row r="1058" spans="2:14" ht="14.4" customHeight="1" x14ac:dyDescent="0.3">
      <c r="B1058" s="2" t="s">
        <v>1063</v>
      </c>
      <c r="C1058" s="3">
        <v>45232</v>
      </c>
      <c r="D1058" s="2" t="s">
        <v>2010</v>
      </c>
      <c r="E1058" s="2" t="s">
        <v>2025</v>
      </c>
      <c r="F1058" s="4">
        <v>3720.49</v>
      </c>
      <c r="G1058" s="5">
        <v>685.11</v>
      </c>
      <c r="H1058" s="6">
        <v>4</v>
      </c>
      <c r="I1058" s="2" t="s">
        <v>2116</v>
      </c>
      <c r="J1058" s="2" t="str">
        <v>Streamline Innovative Architectures</v>
      </c>
      <c r="K1058" s="2" t="str">
        <v>Furniture</v>
      </c>
      <c r="L1058" s="2" t="str">
        <v>Price, Valentine and Lutz</v>
      </c>
      <c r="M1058" s="2">
        <v>291.14999999999998</v>
      </c>
      <c r="N1058" s="16">
        <f t="shared" si="16"/>
        <v>0.18414509916704522</v>
      </c>
    </row>
    <row r="1059" spans="2:14" ht="14.4" customHeight="1" x14ac:dyDescent="0.3">
      <c r="B1059" s="2" t="s">
        <v>1064</v>
      </c>
      <c r="C1059" s="3">
        <v>43936</v>
      </c>
      <c r="D1059" s="2" t="s">
        <v>2012</v>
      </c>
      <c r="E1059" s="2" t="s">
        <v>2079</v>
      </c>
      <c r="F1059" s="4">
        <v>3790.57</v>
      </c>
      <c r="G1059" s="5">
        <v>929.24</v>
      </c>
      <c r="H1059" s="6">
        <v>3</v>
      </c>
      <c r="I1059" s="2" t="s">
        <v>2116</v>
      </c>
      <c r="J1059" s="2" t="str">
        <v>Iterate Extensible Roi</v>
      </c>
      <c r="K1059" s="2" t="str">
        <v>Office Supplies</v>
      </c>
      <c r="L1059" s="2" t="str">
        <v>Hill-Kelly</v>
      </c>
      <c r="M1059" s="2">
        <v>180</v>
      </c>
      <c r="N1059" s="16">
        <f t="shared" si="16"/>
        <v>0.24514518924594453</v>
      </c>
    </row>
    <row r="1060" spans="2:14" ht="14.4" customHeight="1" x14ac:dyDescent="0.3">
      <c r="B1060" s="2" t="s">
        <v>1065</v>
      </c>
      <c r="C1060" s="3">
        <v>44889</v>
      </c>
      <c r="D1060" s="2" t="s">
        <v>2009</v>
      </c>
      <c r="E1060" s="2" t="s">
        <v>2052</v>
      </c>
      <c r="F1060" s="4">
        <v>849</v>
      </c>
      <c r="G1060" s="5">
        <v>633.39</v>
      </c>
      <c r="H1060" s="6">
        <v>17</v>
      </c>
      <c r="I1060" s="2" t="s">
        <v>2116</v>
      </c>
      <c r="J1060" s="2" t="str">
        <v>Innovate Sticky Web Services</v>
      </c>
      <c r="K1060" s="2" t="str">
        <v>Electronics</v>
      </c>
      <c r="L1060" s="2" t="str">
        <v>Friedman, Sanders and Adams</v>
      </c>
      <c r="M1060" s="2">
        <v>125.85</v>
      </c>
      <c r="N1060" s="16">
        <f t="shared" si="16"/>
        <v>0.74604240282685508</v>
      </c>
    </row>
    <row r="1061" spans="2:14" ht="14.4" customHeight="1" x14ac:dyDescent="0.3">
      <c r="B1061" s="2" t="s">
        <v>1066</v>
      </c>
      <c r="C1061" s="3">
        <v>45263</v>
      </c>
      <c r="D1061" s="2" t="s">
        <v>2012</v>
      </c>
      <c r="E1061" s="2" t="s">
        <v>2031</v>
      </c>
      <c r="F1061" s="4">
        <v>3088.48</v>
      </c>
      <c r="G1061" s="5">
        <v>890.83</v>
      </c>
      <c r="H1061" s="6">
        <v>16</v>
      </c>
      <c r="I1061" s="2" t="s">
        <v>2116</v>
      </c>
      <c r="J1061" s="2" t="str">
        <v>Embrace 24/365 Functionalities</v>
      </c>
      <c r="K1061" s="2" t="str">
        <v>Office Supplies</v>
      </c>
      <c r="L1061" s="2" t="str">
        <v>Smith LLC</v>
      </c>
      <c r="M1061" s="2">
        <v>204.04</v>
      </c>
      <c r="N1061" s="16">
        <f t="shared" si="16"/>
        <v>0.2884363829456561</v>
      </c>
    </row>
    <row r="1062" spans="2:14" ht="14.4" customHeight="1" x14ac:dyDescent="0.3">
      <c r="B1062" s="2" t="s">
        <v>1067</v>
      </c>
      <c r="C1062" s="3">
        <v>44768</v>
      </c>
      <c r="D1062" s="2" t="s">
        <v>2011</v>
      </c>
      <c r="E1062" s="2" t="s">
        <v>2042</v>
      </c>
      <c r="F1062" s="4">
        <v>2072.5500000000002</v>
      </c>
      <c r="G1062" s="5">
        <v>786.38</v>
      </c>
      <c r="H1062" s="6">
        <v>5</v>
      </c>
      <c r="I1062" s="2" t="s">
        <v>2117</v>
      </c>
      <c r="J1062" s="2" t="str">
        <v>Orchestrate E-Business Niches</v>
      </c>
      <c r="K1062" s="2" t="str">
        <v>Furniture</v>
      </c>
      <c r="L1062" s="2" t="str">
        <v>Johnson LLC</v>
      </c>
      <c r="M1062" s="2">
        <v>198.99</v>
      </c>
      <c r="N1062" s="16">
        <f t="shared" si="16"/>
        <v>0.37942631058358056</v>
      </c>
    </row>
    <row r="1063" spans="2:14" ht="14.4" customHeight="1" x14ac:dyDescent="0.3">
      <c r="B1063" s="2" t="s">
        <v>1068</v>
      </c>
      <c r="C1063" s="3">
        <v>45368</v>
      </c>
      <c r="D1063" s="2" t="s">
        <v>2010</v>
      </c>
      <c r="E1063" s="2" t="s">
        <v>2020</v>
      </c>
      <c r="F1063" s="4">
        <v>1130.58</v>
      </c>
      <c r="G1063" s="5">
        <v>878.01</v>
      </c>
      <c r="H1063" s="6">
        <v>13</v>
      </c>
      <c r="I1063" s="2" t="s">
        <v>2118</v>
      </c>
      <c r="J1063" s="2" t="str">
        <v>Harness Revolutionary Interfaces</v>
      </c>
      <c r="K1063" s="2" t="str">
        <v>Furniture</v>
      </c>
      <c r="L1063" s="2" t="str">
        <v>Davis, Short and Nguyen</v>
      </c>
      <c r="M1063" s="2">
        <v>26.49</v>
      </c>
      <c r="N1063" s="16">
        <f t="shared" si="16"/>
        <v>0.77660139043676701</v>
      </c>
    </row>
    <row r="1064" spans="2:14" ht="14.4" customHeight="1" x14ac:dyDescent="0.3">
      <c r="B1064" s="2" t="s">
        <v>1069</v>
      </c>
      <c r="C1064" s="3">
        <v>44117</v>
      </c>
      <c r="D1064" s="2" t="s">
        <v>2009</v>
      </c>
      <c r="E1064" s="2" t="s">
        <v>2029</v>
      </c>
      <c r="F1064" s="4">
        <v>397.89</v>
      </c>
      <c r="G1064" s="5">
        <v>57.43</v>
      </c>
      <c r="H1064" s="6">
        <v>5</v>
      </c>
      <c r="I1064" s="2" t="s">
        <v>2117</v>
      </c>
      <c r="J1064" s="2" t="str">
        <v>E-Enable Next-Generation Experiences</v>
      </c>
      <c r="K1064" s="2" t="str">
        <v>Furniture</v>
      </c>
      <c r="L1064" s="2" t="str">
        <v>Sanchez-Quinn</v>
      </c>
      <c r="M1064" s="2">
        <v>266.93</v>
      </c>
      <c r="N1064" s="16">
        <f t="shared" si="16"/>
        <v>0.14433637437482721</v>
      </c>
    </row>
    <row r="1065" spans="2:14" ht="14.4" customHeight="1" x14ac:dyDescent="0.3">
      <c r="B1065" s="2" t="s">
        <v>1070</v>
      </c>
      <c r="C1065" s="3">
        <v>45163</v>
      </c>
      <c r="D1065" s="2" t="s">
        <v>2009</v>
      </c>
      <c r="E1065" s="2" t="s">
        <v>2015</v>
      </c>
      <c r="F1065" s="4">
        <v>1843.94</v>
      </c>
      <c r="G1065" s="5">
        <v>445.82</v>
      </c>
      <c r="H1065" s="6">
        <v>2</v>
      </c>
      <c r="I1065" s="2" t="s">
        <v>2117</v>
      </c>
      <c r="J1065" s="2" t="str">
        <v>Brand Web-Enabled Solutions</v>
      </c>
      <c r="K1065" s="2" t="str">
        <v>Electronics</v>
      </c>
      <c r="L1065" s="2" t="str">
        <v>Russell Group</v>
      </c>
      <c r="M1065" s="2">
        <v>51.67</v>
      </c>
      <c r="N1065" s="16">
        <f t="shared" si="16"/>
        <v>0.24177576276885365</v>
      </c>
    </row>
    <row r="1066" spans="2:14" ht="14.4" customHeight="1" x14ac:dyDescent="0.3">
      <c r="B1066" s="2" t="s">
        <v>1071</v>
      </c>
      <c r="C1066" s="3">
        <v>44136</v>
      </c>
      <c r="D1066" s="2" t="s">
        <v>2011</v>
      </c>
      <c r="E1066" s="2" t="s">
        <v>2046</v>
      </c>
      <c r="F1066" s="4">
        <v>2067.9899999999998</v>
      </c>
      <c r="G1066" s="5">
        <v>529.12</v>
      </c>
      <c r="H1066" s="6">
        <v>9</v>
      </c>
      <c r="I1066" s="2" t="s">
        <v>2116</v>
      </c>
      <c r="J1066" s="2" t="str">
        <v>Facilitate End-To-End Experiences</v>
      </c>
      <c r="K1066" s="2" t="str">
        <v>Office Supplies</v>
      </c>
      <c r="L1066" s="2" t="str">
        <v>Pierce-Goodwin</v>
      </c>
      <c r="M1066" s="2">
        <v>260.52999999999997</v>
      </c>
      <c r="N1066" s="16">
        <f t="shared" si="16"/>
        <v>0.25586197225325075</v>
      </c>
    </row>
    <row r="1067" spans="2:14" ht="14.4" customHeight="1" x14ac:dyDescent="0.3">
      <c r="B1067" s="2" t="s">
        <v>1072</v>
      </c>
      <c r="C1067" s="3">
        <v>44018</v>
      </c>
      <c r="D1067" s="2" t="s">
        <v>2009</v>
      </c>
      <c r="E1067" s="2" t="s">
        <v>2079</v>
      </c>
      <c r="F1067" s="4">
        <v>4411.4799999999996</v>
      </c>
      <c r="G1067" s="5">
        <v>638.79</v>
      </c>
      <c r="H1067" s="6">
        <v>9</v>
      </c>
      <c r="I1067" s="2" t="s">
        <v>2118</v>
      </c>
      <c r="J1067" s="2" t="str">
        <v>Iterate Extensible Roi</v>
      </c>
      <c r="K1067" s="2" t="str">
        <v>Office Supplies</v>
      </c>
      <c r="L1067" s="2" t="str">
        <v>Hill-Kelly</v>
      </c>
      <c r="M1067" s="2">
        <v>180</v>
      </c>
      <c r="N1067" s="16">
        <f t="shared" si="16"/>
        <v>0.1448017445392476</v>
      </c>
    </row>
    <row r="1068" spans="2:14" ht="14.4" customHeight="1" x14ac:dyDescent="0.3">
      <c r="B1068" s="2" t="s">
        <v>1073</v>
      </c>
      <c r="C1068" s="3">
        <v>44770</v>
      </c>
      <c r="D1068" s="2" t="s">
        <v>2011</v>
      </c>
      <c r="E1068" s="2" t="s">
        <v>2055</v>
      </c>
      <c r="F1068" s="4">
        <v>1690.93</v>
      </c>
      <c r="G1068" s="5">
        <v>206.99</v>
      </c>
      <c r="H1068" s="6">
        <v>12</v>
      </c>
      <c r="I1068" s="2" t="s">
        <v>2117</v>
      </c>
      <c r="J1068" s="2" t="str">
        <v>Engineer Real-Time Architectures</v>
      </c>
      <c r="K1068" s="2" t="str">
        <v>Furniture</v>
      </c>
      <c r="L1068" s="2" t="str">
        <v>James and Sons</v>
      </c>
      <c r="M1068" s="2">
        <v>127.23</v>
      </c>
      <c r="N1068" s="16">
        <f t="shared" si="16"/>
        <v>0.12241192716434152</v>
      </c>
    </row>
    <row r="1069" spans="2:14" ht="14.4" customHeight="1" x14ac:dyDescent="0.3">
      <c r="B1069" s="2" t="s">
        <v>1074</v>
      </c>
      <c r="C1069" s="3">
        <v>44441</v>
      </c>
      <c r="D1069" s="2" t="s">
        <v>2009</v>
      </c>
      <c r="E1069" s="2" t="s">
        <v>2042</v>
      </c>
      <c r="F1069" s="4">
        <v>880.23</v>
      </c>
      <c r="G1069" s="5">
        <v>330.09</v>
      </c>
      <c r="H1069" s="6">
        <v>12</v>
      </c>
      <c r="I1069" s="2" t="s">
        <v>2118</v>
      </c>
      <c r="J1069" s="2" t="str">
        <v>Orchestrate E-Business Niches</v>
      </c>
      <c r="K1069" s="2" t="str">
        <v>Furniture</v>
      </c>
      <c r="L1069" s="2" t="str">
        <v>Johnson LLC</v>
      </c>
      <c r="M1069" s="2">
        <v>198.99</v>
      </c>
      <c r="N1069" s="16">
        <f t="shared" si="16"/>
        <v>0.37500426025016187</v>
      </c>
    </row>
    <row r="1070" spans="2:14" ht="14.4" customHeight="1" x14ac:dyDescent="0.3">
      <c r="B1070" s="2" t="s">
        <v>1075</v>
      </c>
      <c r="C1070" s="3">
        <v>43973</v>
      </c>
      <c r="D1070" s="2" t="s">
        <v>2012</v>
      </c>
      <c r="E1070" s="2" t="s">
        <v>2109</v>
      </c>
      <c r="F1070" s="4">
        <v>4510.0200000000004</v>
      </c>
      <c r="G1070" s="5">
        <v>456.79</v>
      </c>
      <c r="H1070" s="6">
        <v>17</v>
      </c>
      <c r="I1070" s="2" t="s">
        <v>2118</v>
      </c>
      <c r="J1070" s="2" t="str">
        <v>Deliver Viral Eyeballs</v>
      </c>
      <c r="K1070" s="2" t="str">
        <v>Office Supplies</v>
      </c>
      <c r="L1070" s="2" t="str">
        <v>Estes, Chan and Thomas</v>
      </c>
      <c r="M1070" s="2">
        <v>16.89</v>
      </c>
      <c r="N1070" s="16">
        <f t="shared" si="16"/>
        <v>0.10128336459705278</v>
      </c>
    </row>
    <row r="1071" spans="2:14" ht="14.4" customHeight="1" x14ac:dyDescent="0.3">
      <c r="B1071" s="2" t="s">
        <v>1076</v>
      </c>
      <c r="C1071" s="3">
        <v>44668</v>
      </c>
      <c r="D1071" s="2" t="s">
        <v>2009</v>
      </c>
      <c r="E1071" s="2" t="s">
        <v>2061</v>
      </c>
      <c r="F1071" s="4">
        <v>3359.13</v>
      </c>
      <c r="G1071" s="5">
        <v>204.46</v>
      </c>
      <c r="H1071" s="6">
        <v>3</v>
      </c>
      <c r="I1071" s="2" t="s">
        <v>2117</v>
      </c>
      <c r="J1071" s="2" t="str">
        <v>Optimize Collaborative Initiatives</v>
      </c>
      <c r="K1071" s="2" t="str">
        <v>Electronics</v>
      </c>
      <c r="L1071" s="2" t="str">
        <v>Adkins Ltd</v>
      </c>
      <c r="M1071" s="2">
        <v>34.46</v>
      </c>
      <c r="N1071" s="16">
        <f t="shared" si="16"/>
        <v>6.0866950668774358E-2</v>
      </c>
    </row>
    <row r="1072" spans="2:14" ht="14.4" customHeight="1" x14ac:dyDescent="0.3">
      <c r="B1072" s="2" t="s">
        <v>1077</v>
      </c>
      <c r="C1072" s="3">
        <v>43963</v>
      </c>
      <c r="D1072" s="2" t="s">
        <v>2009</v>
      </c>
      <c r="E1072" s="2" t="s">
        <v>2063</v>
      </c>
      <c r="F1072" s="4">
        <v>1551</v>
      </c>
      <c r="G1072" s="5">
        <v>925.33</v>
      </c>
      <c r="H1072" s="6">
        <v>13</v>
      </c>
      <c r="I1072" s="2" t="s">
        <v>2117</v>
      </c>
      <c r="J1072" s="2" t="str">
        <v>Unleash End-To-End Web Services</v>
      </c>
      <c r="K1072" s="2" t="str">
        <v>Office Supplies</v>
      </c>
      <c r="L1072" s="2" t="str">
        <v>Jones Ltd</v>
      </c>
      <c r="M1072" s="2">
        <v>188.02</v>
      </c>
      <c r="N1072" s="16">
        <f t="shared" si="16"/>
        <v>0.59660219213410703</v>
      </c>
    </row>
    <row r="1073" spans="2:14" ht="14.4" customHeight="1" x14ac:dyDescent="0.3">
      <c r="B1073" s="2" t="s">
        <v>1078</v>
      </c>
      <c r="C1073" s="3">
        <v>44004</v>
      </c>
      <c r="D1073" s="2" t="s">
        <v>2009</v>
      </c>
      <c r="E1073" s="2" t="s">
        <v>2014</v>
      </c>
      <c r="F1073" s="4">
        <v>826.83</v>
      </c>
      <c r="G1073" s="5">
        <v>293.72000000000003</v>
      </c>
      <c r="H1073" s="6">
        <v>6</v>
      </c>
      <c r="I1073" s="2" t="s">
        <v>2116</v>
      </c>
      <c r="J1073" s="2" t="str">
        <v>E-Enable Synergistic Vortals</v>
      </c>
      <c r="K1073" s="2" t="str">
        <v>Electronics</v>
      </c>
      <c r="L1073" s="2" t="str">
        <v>Guzman Group</v>
      </c>
      <c r="M1073" s="2">
        <v>278.43</v>
      </c>
      <c r="N1073" s="16">
        <f t="shared" si="16"/>
        <v>0.35523626380271639</v>
      </c>
    </row>
    <row r="1074" spans="2:14" ht="14.4" customHeight="1" x14ac:dyDescent="0.3">
      <c r="B1074" s="2" t="s">
        <v>1079</v>
      </c>
      <c r="C1074" s="3">
        <v>44280</v>
      </c>
      <c r="D1074" s="2" t="s">
        <v>2012</v>
      </c>
      <c r="E1074" s="2" t="s">
        <v>2101</v>
      </c>
      <c r="F1074" s="4">
        <v>586.23</v>
      </c>
      <c r="G1074" s="5">
        <v>149.03</v>
      </c>
      <c r="H1074" s="6">
        <v>19</v>
      </c>
      <c r="I1074" s="2" t="s">
        <v>2117</v>
      </c>
      <c r="J1074" s="2" t="str">
        <v>Deploy Granular Channels</v>
      </c>
      <c r="K1074" s="2" t="str">
        <v>Furniture</v>
      </c>
      <c r="L1074" s="2" t="str">
        <v>Barnes Ltd</v>
      </c>
      <c r="M1074" s="2">
        <v>288.99</v>
      </c>
      <c r="N1074" s="16">
        <f t="shared" si="16"/>
        <v>0.2542176278934889</v>
      </c>
    </row>
    <row r="1075" spans="2:14" ht="14.4" customHeight="1" x14ac:dyDescent="0.3">
      <c r="B1075" s="2" t="s">
        <v>1080</v>
      </c>
      <c r="C1075" s="3">
        <v>45294</v>
      </c>
      <c r="D1075" s="2" t="s">
        <v>2009</v>
      </c>
      <c r="E1075" s="2" t="s">
        <v>2078</v>
      </c>
      <c r="F1075" s="4">
        <v>1478.66</v>
      </c>
      <c r="G1075" s="5">
        <v>549.12</v>
      </c>
      <c r="H1075" s="6">
        <v>10</v>
      </c>
      <c r="I1075" s="2" t="s">
        <v>2116</v>
      </c>
      <c r="J1075" s="2" t="str">
        <v>Strategize E-Business Content</v>
      </c>
      <c r="K1075" s="2" t="str">
        <v>Electronics</v>
      </c>
      <c r="L1075" s="2" t="str">
        <v>Patterson LLC</v>
      </c>
      <c r="M1075" s="2">
        <v>294.02</v>
      </c>
      <c r="N1075" s="16">
        <f t="shared" si="16"/>
        <v>0.37136326133120529</v>
      </c>
    </row>
    <row r="1076" spans="2:14" ht="14.4" customHeight="1" x14ac:dyDescent="0.3">
      <c r="B1076" s="2" t="s">
        <v>1081</v>
      </c>
      <c r="C1076" s="3">
        <v>45506</v>
      </c>
      <c r="D1076" s="2" t="s">
        <v>2010</v>
      </c>
      <c r="E1076" s="2" t="s">
        <v>2023</v>
      </c>
      <c r="F1076" s="4">
        <v>202.2</v>
      </c>
      <c r="G1076" s="5">
        <v>797.24</v>
      </c>
      <c r="H1076" s="6">
        <v>20</v>
      </c>
      <c r="I1076" s="2" t="s">
        <v>2118</v>
      </c>
      <c r="J1076" s="2" t="str">
        <v>Leverage Cutting-Edge Vortals</v>
      </c>
      <c r="K1076" s="2" t="str">
        <v>Electronics</v>
      </c>
      <c r="L1076" s="2" t="str">
        <v>Robinson, Garrett and Chavez</v>
      </c>
      <c r="M1076" s="2">
        <v>117.3</v>
      </c>
      <c r="N1076" s="16">
        <f t="shared" si="16"/>
        <v>3.9428288822947581</v>
      </c>
    </row>
    <row r="1077" spans="2:14" ht="14.4" customHeight="1" x14ac:dyDescent="0.3">
      <c r="B1077" s="2" t="s">
        <v>1082</v>
      </c>
      <c r="C1077" s="3">
        <v>45163</v>
      </c>
      <c r="D1077" s="2" t="s">
        <v>2009</v>
      </c>
      <c r="E1077" s="2" t="s">
        <v>2070</v>
      </c>
      <c r="F1077" s="4">
        <v>2500.41</v>
      </c>
      <c r="G1077" s="5">
        <v>83.43</v>
      </c>
      <c r="H1077" s="6">
        <v>16</v>
      </c>
      <c r="I1077" s="2" t="s">
        <v>2116</v>
      </c>
      <c r="J1077" s="2" t="str">
        <v>Seize Plug-And-Play Web-Readiness</v>
      </c>
      <c r="K1077" s="2" t="str">
        <v>Electronics</v>
      </c>
      <c r="L1077" s="2" t="str">
        <v>Joseph, Mayer and Carr</v>
      </c>
      <c r="M1077" s="2">
        <v>102.73</v>
      </c>
      <c r="N1077" s="16">
        <f t="shared" si="16"/>
        <v>3.3366527889426137E-2</v>
      </c>
    </row>
    <row r="1078" spans="2:14" ht="14.4" customHeight="1" x14ac:dyDescent="0.3">
      <c r="B1078" s="2" t="s">
        <v>1083</v>
      </c>
      <c r="C1078" s="3">
        <v>44928</v>
      </c>
      <c r="D1078" s="2" t="s">
        <v>2010</v>
      </c>
      <c r="E1078" s="2" t="s">
        <v>2076</v>
      </c>
      <c r="F1078" s="4">
        <v>4390.75</v>
      </c>
      <c r="G1078" s="5">
        <v>836.72</v>
      </c>
      <c r="H1078" s="6">
        <v>4</v>
      </c>
      <c r="I1078" s="2" t="s">
        <v>2117</v>
      </c>
      <c r="J1078" s="2" t="str">
        <v>Deliver Extensible Partnerships</v>
      </c>
      <c r="K1078" s="2" t="str">
        <v>Furniture</v>
      </c>
      <c r="L1078" s="2" t="str">
        <v>Martin, Paul and Salazar</v>
      </c>
      <c r="M1078" s="2">
        <v>43.76</v>
      </c>
      <c r="N1078" s="16">
        <f t="shared" si="16"/>
        <v>0.19056425439845129</v>
      </c>
    </row>
    <row r="1079" spans="2:14" ht="14.4" customHeight="1" x14ac:dyDescent="0.3">
      <c r="B1079" s="2" t="s">
        <v>1084</v>
      </c>
      <c r="C1079" s="3">
        <v>45528</v>
      </c>
      <c r="D1079" s="2" t="s">
        <v>2009</v>
      </c>
      <c r="E1079" s="2" t="s">
        <v>2077</v>
      </c>
      <c r="F1079" s="4">
        <v>879.62</v>
      </c>
      <c r="G1079" s="5">
        <v>864.19</v>
      </c>
      <c r="H1079" s="6">
        <v>14</v>
      </c>
      <c r="I1079" s="2" t="s">
        <v>2118</v>
      </c>
      <c r="J1079" s="2" t="str">
        <v>Synthesize Wireless Initiatives</v>
      </c>
      <c r="K1079" s="2" t="str">
        <v>Electronics</v>
      </c>
      <c r="L1079" s="2" t="str">
        <v>Mosley Ltd</v>
      </c>
      <c r="M1079" s="2">
        <v>162.69999999999999</v>
      </c>
      <c r="N1079" s="16">
        <f t="shared" si="16"/>
        <v>0.98245833428071216</v>
      </c>
    </row>
    <row r="1080" spans="2:14" ht="14.4" customHeight="1" x14ac:dyDescent="0.3">
      <c r="B1080" s="2" t="s">
        <v>1085</v>
      </c>
      <c r="C1080" s="3">
        <v>45513</v>
      </c>
      <c r="D1080" s="2" t="s">
        <v>2010</v>
      </c>
      <c r="E1080" s="2" t="s">
        <v>2044</v>
      </c>
      <c r="F1080" s="4">
        <v>390.57</v>
      </c>
      <c r="G1080" s="5">
        <v>435.64</v>
      </c>
      <c r="H1080" s="6">
        <v>15</v>
      </c>
      <c r="I1080" s="2" t="s">
        <v>2118</v>
      </c>
      <c r="J1080" s="2" t="str">
        <v>Grow Back-End Supply-Chains</v>
      </c>
      <c r="K1080" s="2" t="str">
        <v>Electronics</v>
      </c>
      <c r="L1080" s="2" t="str">
        <v>Green LLC</v>
      </c>
      <c r="M1080" s="2">
        <v>140.08000000000001</v>
      </c>
      <c r="N1080" s="16">
        <f t="shared" si="16"/>
        <v>1.1153954476790331</v>
      </c>
    </row>
    <row r="1081" spans="2:14" ht="14.4" customHeight="1" x14ac:dyDescent="0.3">
      <c r="B1081" s="2" t="s">
        <v>1086</v>
      </c>
      <c r="C1081" s="3">
        <v>44015</v>
      </c>
      <c r="D1081" s="2" t="s">
        <v>2010</v>
      </c>
      <c r="E1081" s="2" t="s">
        <v>2053</v>
      </c>
      <c r="F1081" s="4">
        <v>4847.67</v>
      </c>
      <c r="G1081" s="5">
        <v>668.17</v>
      </c>
      <c r="H1081" s="6">
        <v>20</v>
      </c>
      <c r="I1081" s="2" t="s">
        <v>2117</v>
      </c>
      <c r="J1081" s="2" t="str">
        <v>Transition Mission-Critical Interfaces</v>
      </c>
      <c r="K1081" s="2" t="str">
        <v>Office Supplies</v>
      </c>
      <c r="L1081" s="2" t="str">
        <v>Weaver Ltd</v>
      </c>
      <c r="M1081" s="2">
        <v>34.64</v>
      </c>
      <c r="N1081" s="16">
        <f t="shared" si="16"/>
        <v>0.13783322709672893</v>
      </c>
    </row>
    <row r="1082" spans="2:14" ht="14.4" customHeight="1" x14ac:dyDescent="0.3">
      <c r="B1082" s="2" t="s">
        <v>1087</v>
      </c>
      <c r="C1082" s="3">
        <v>45567</v>
      </c>
      <c r="D1082" s="2" t="s">
        <v>2012</v>
      </c>
      <c r="E1082" s="2" t="s">
        <v>2109</v>
      </c>
      <c r="F1082" s="4">
        <v>4718.6899999999996</v>
      </c>
      <c r="G1082" s="5">
        <v>344.42</v>
      </c>
      <c r="H1082" s="6">
        <v>13</v>
      </c>
      <c r="I1082" s="2" t="s">
        <v>2117</v>
      </c>
      <c r="J1082" s="2" t="str">
        <v>Deliver Viral Eyeballs</v>
      </c>
      <c r="K1082" s="2" t="str">
        <v>Office Supplies</v>
      </c>
      <c r="L1082" s="2" t="str">
        <v>Estes, Chan and Thomas</v>
      </c>
      <c r="M1082" s="2">
        <v>16.89</v>
      </c>
      <c r="N1082" s="16">
        <f t="shared" si="16"/>
        <v>7.2990596966530971E-2</v>
      </c>
    </row>
    <row r="1083" spans="2:14" ht="14.4" customHeight="1" x14ac:dyDescent="0.3">
      <c r="B1083" s="2" t="s">
        <v>1088</v>
      </c>
      <c r="C1083" s="3">
        <v>43905</v>
      </c>
      <c r="D1083" s="2" t="s">
        <v>2012</v>
      </c>
      <c r="E1083" s="2" t="s">
        <v>2033</v>
      </c>
      <c r="F1083" s="4">
        <v>1385.86</v>
      </c>
      <c r="G1083" s="5">
        <v>432.93</v>
      </c>
      <c r="H1083" s="6">
        <v>5</v>
      </c>
      <c r="I1083" s="2" t="s">
        <v>2118</v>
      </c>
      <c r="J1083" s="2" t="str">
        <v>Leverage Rich Portals</v>
      </c>
      <c r="K1083" s="2" t="str">
        <v>Office Supplies</v>
      </c>
      <c r="L1083" s="2" t="str">
        <v>Wilson PLC</v>
      </c>
      <c r="M1083" s="2">
        <v>46.35</v>
      </c>
      <c r="N1083" s="16">
        <f t="shared" si="16"/>
        <v>0.3123908619918318</v>
      </c>
    </row>
    <row r="1084" spans="2:14" ht="14.4" customHeight="1" x14ac:dyDescent="0.3">
      <c r="B1084" s="2" t="s">
        <v>1089</v>
      </c>
      <c r="C1084" s="3">
        <v>44066</v>
      </c>
      <c r="D1084" s="2" t="s">
        <v>2012</v>
      </c>
      <c r="E1084" s="2" t="s">
        <v>2050</v>
      </c>
      <c r="F1084" s="4">
        <v>540.04999999999995</v>
      </c>
      <c r="G1084" s="5">
        <v>375.6</v>
      </c>
      <c r="H1084" s="6">
        <v>20</v>
      </c>
      <c r="I1084" s="2" t="s">
        <v>2117</v>
      </c>
      <c r="J1084" s="2" t="str">
        <v>Extend Bricks-And-Clicks Architectures</v>
      </c>
      <c r="K1084" s="2" t="str">
        <v>Furniture</v>
      </c>
      <c r="L1084" s="2" t="str">
        <v>Fuller PLC</v>
      </c>
      <c r="M1084" s="2">
        <v>202.99</v>
      </c>
      <c r="N1084" s="16">
        <f t="shared" si="16"/>
        <v>0.69549115822609031</v>
      </c>
    </row>
    <row r="1085" spans="2:14" ht="14.4" customHeight="1" x14ac:dyDescent="0.3">
      <c r="B1085" s="2" t="s">
        <v>1090</v>
      </c>
      <c r="C1085" s="3">
        <v>43977</v>
      </c>
      <c r="D1085" s="2" t="s">
        <v>2011</v>
      </c>
      <c r="E1085" s="2" t="s">
        <v>2043</v>
      </c>
      <c r="F1085" s="4">
        <v>4050.32</v>
      </c>
      <c r="G1085" s="5">
        <v>646.91</v>
      </c>
      <c r="H1085" s="6">
        <v>10</v>
      </c>
      <c r="I1085" s="2" t="s">
        <v>2116</v>
      </c>
      <c r="J1085" s="2" t="str">
        <v>Brand Distributed Info-Mediaries</v>
      </c>
      <c r="K1085" s="2" t="str">
        <v>Furniture</v>
      </c>
      <c r="L1085" s="2" t="str">
        <v>Garcia Ltd</v>
      </c>
      <c r="M1085" s="2">
        <v>114.48</v>
      </c>
      <c r="N1085" s="16">
        <f t="shared" si="16"/>
        <v>0.1597182444843864</v>
      </c>
    </row>
    <row r="1086" spans="2:14" ht="14.4" customHeight="1" x14ac:dyDescent="0.3">
      <c r="B1086" s="2" t="s">
        <v>1091</v>
      </c>
      <c r="C1086" s="3">
        <v>43839</v>
      </c>
      <c r="D1086" s="2" t="s">
        <v>2009</v>
      </c>
      <c r="E1086" s="2" t="s">
        <v>2055</v>
      </c>
      <c r="F1086" s="4">
        <v>808.98</v>
      </c>
      <c r="G1086" s="5">
        <v>353.44</v>
      </c>
      <c r="H1086" s="6">
        <v>16</v>
      </c>
      <c r="I1086" s="2" t="s">
        <v>2116</v>
      </c>
      <c r="J1086" s="2" t="str">
        <v>Engineer Real-Time Architectures</v>
      </c>
      <c r="K1086" s="2" t="str">
        <v>Furniture</v>
      </c>
      <c r="L1086" s="2" t="str">
        <v>James and Sons</v>
      </c>
      <c r="M1086" s="2">
        <v>127.23</v>
      </c>
      <c r="N1086" s="16">
        <f t="shared" si="16"/>
        <v>0.43689584414942273</v>
      </c>
    </row>
    <row r="1087" spans="2:14" ht="14.4" customHeight="1" x14ac:dyDescent="0.3">
      <c r="B1087" s="2" t="s">
        <v>1092</v>
      </c>
      <c r="C1087" s="3">
        <v>44292</v>
      </c>
      <c r="D1087" s="2" t="s">
        <v>2012</v>
      </c>
      <c r="E1087" s="2" t="s">
        <v>2100</v>
      </c>
      <c r="F1087" s="4">
        <v>406.94</v>
      </c>
      <c r="G1087" s="5">
        <v>547.91</v>
      </c>
      <c r="H1087" s="6">
        <v>20</v>
      </c>
      <c r="I1087" s="2" t="s">
        <v>2116</v>
      </c>
      <c r="J1087" s="2" t="str">
        <v>Strategize Best-Of-Breed Web-Readiness</v>
      </c>
      <c r="K1087" s="2" t="str">
        <v>Office Supplies</v>
      </c>
      <c r="L1087" s="2" t="str">
        <v>Morris, King and Ayers</v>
      </c>
      <c r="M1087" s="2">
        <v>220.16</v>
      </c>
      <c r="N1087" s="16">
        <f t="shared" si="16"/>
        <v>1.3464147048704969</v>
      </c>
    </row>
    <row r="1088" spans="2:14" ht="14.4" customHeight="1" x14ac:dyDescent="0.3">
      <c r="B1088" s="2" t="s">
        <v>1093</v>
      </c>
      <c r="C1088" s="3">
        <v>44709</v>
      </c>
      <c r="D1088" s="2" t="s">
        <v>2010</v>
      </c>
      <c r="E1088" s="2" t="s">
        <v>2019</v>
      </c>
      <c r="F1088" s="4">
        <v>2062.75</v>
      </c>
      <c r="G1088" s="5">
        <v>946</v>
      </c>
      <c r="H1088" s="6">
        <v>18</v>
      </c>
      <c r="I1088" s="2" t="s">
        <v>2118</v>
      </c>
      <c r="J1088" s="2" t="str">
        <v>Implement Clicks-And-Mortar Partnerships</v>
      </c>
      <c r="K1088" s="2" t="str">
        <v>Electronics</v>
      </c>
      <c r="L1088" s="2" t="str">
        <v>Smith Inc</v>
      </c>
      <c r="M1088" s="2">
        <v>195.53</v>
      </c>
      <c r="N1088" s="16">
        <f t="shared" si="16"/>
        <v>0.45861107744515817</v>
      </c>
    </row>
    <row r="1089" spans="2:14" ht="14.4" customHeight="1" x14ac:dyDescent="0.3">
      <c r="B1089" s="2" t="s">
        <v>1094</v>
      </c>
      <c r="C1089" s="3">
        <v>45099</v>
      </c>
      <c r="D1089" s="2" t="s">
        <v>2012</v>
      </c>
      <c r="E1089" s="2" t="s">
        <v>2064</v>
      </c>
      <c r="F1089" s="4">
        <v>3367.68</v>
      </c>
      <c r="G1089" s="5">
        <v>838.69</v>
      </c>
      <c r="H1089" s="6">
        <v>6</v>
      </c>
      <c r="I1089" s="2" t="s">
        <v>2118</v>
      </c>
      <c r="J1089" s="2" t="str">
        <v>Synergize E-Business Deliverables</v>
      </c>
      <c r="K1089" s="2" t="str">
        <v>Electronics</v>
      </c>
      <c r="L1089" s="2" t="str">
        <v>Crawford, Warren and Williams</v>
      </c>
      <c r="M1089" s="2">
        <v>125.93</v>
      </c>
      <c r="N1089" s="16">
        <f t="shared" si="16"/>
        <v>0.24904088274420375</v>
      </c>
    </row>
    <row r="1090" spans="2:14" ht="14.4" customHeight="1" x14ac:dyDescent="0.3">
      <c r="B1090" s="2" t="s">
        <v>1095</v>
      </c>
      <c r="C1090" s="3">
        <v>44493</v>
      </c>
      <c r="D1090" s="2" t="s">
        <v>2011</v>
      </c>
      <c r="E1090" s="2" t="s">
        <v>2013</v>
      </c>
      <c r="F1090" s="4">
        <v>751.31</v>
      </c>
      <c r="G1090" s="5">
        <v>71.34</v>
      </c>
      <c r="H1090" s="6">
        <v>8</v>
      </c>
      <c r="I1090" s="2" t="s">
        <v>2116</v>
      </c>
      <c r="J1090" s="2" t="str">
        <v>Re-Intermediate Seamless Applications</v>
      </c>
      <c r="K1090" s="2" t="str">
        <v>Office Supplies</v>
      </c>
      <c r="L1090" s="2" t="str">
        <v>Welch-Reed</v>
      </c>
      <c r="M1090" s="2">
        <v>45.82</v>
      </c>
      <c r="N1090" s="16">
        <f t="shared" si="16"/>
        <v>9.4954146756997787E-2</v>
      </c>
    </row>
    <row r="1091" spans="2:14" ht="14.4" customHeight="1" x14ac:dyDescent="0.3">
      <c r="B1091" s="2" t="s">
        <v>1096</v>
      </c>
      <c r="C1091" s="3">
        <v>44457</v>
      </c>
      <c r="D1091" s="2" t="s">
        <v>2012</v>
      </c>
      <c r="E1091" s="2" t="s">
        <v>2099</v>
      </c>
      <c r="F1091" s="4">
        <v>4072.35</v>
      </c>
      <c r="G1091" s="5">
        <v>350.03</v>
      </c>
      <c r="H1091" s="6">
        <v>3</v>
      </c>
      <c r="I1091" s="2" t="s">
        <v>2118</v>
      </c>
      <c r="J1091" s="2" t="str">
        <v>Synergize Cross-Platform Vortals</v>
      </c>
      <c r="K1091" s="2" t="str">
        <v>Furniture</v>
      </c>
      <c r="L1091" s="2" t="str">
        <v>Edwards Group</v>
      </c>
      <c r="M1091" s="2">
        <v>87.18</v>
      </c>
      <c r="N1091" s="16">
        <f t="shared" si="16"/>
        <v>8.5952828219578378E-2</v>
      </c>
    </row>
    <row r="1092" spans="2:14" ht="14.4" customHeight="1" x14ac:dyDescent="0.3">
      <c r="B1092" s="2" t="s">
        <v>1097</v>
      </c>
      <c r="C1092" s="3">
        <v>45531</v>
      </c>
      <c r="D1092" s="2" t="s">
        <v>2009</v>
      </c>
      <c r="E1092" s="2" t="s">
        <v>2057</v>
      </c>
      <c r="F1092" s="4">
        <v>3278.11</v>
      </c>
      <c r="G1092" s="5">
        <v>440.23</v>
      </c>
      <c r="H1092" s="6">
        <v>13</v>
      </c>
      <c r="I1092" s="2" t="s">
        <v>2117</v>
      </c>
      <c r="J1092" s="2" t="str">
        <v>Reinvent Out-Of-The-Box Models</v>
      </c>
      <c r="K1092" s="2" t="str">
        <v>Office Supplies</v>
      </c>
      <c r="L1092" s="2" t="str">
        <v>Wagner-Curtis</v>
      </c>
      <c r="M1092" s="2">
        <v>172.34</v>
      </c>
      <c r="N1092" s="16">
        <f t="shared" si="16"/>
        <v>0.13429384614915302</v>
      </c>
    </row>
    <row r="1093" spans="2:14" ht="14.4" customHeight="1" x14ac:dyDescent="0.3">
      <c r="B1093" s="2" t="s">
        <v>1098</v>
      </c>
      <c r="C1093" s="3">
        <v>45587</v>
      </c>
      <c r="D1093" s="2" t="s">
        <v>2012</v>
      </c>
      <c r="E1093" s="2" t="s">
        <v>2017</v>
      </c>
      <c r="F1093" s="4">
        <v>943.4</v>
      </c>
      <c r="G1093" s="5">
        <v>807.02</v>
      </c>
      <c r="H1093" s="6">
        <v>15</v>
      </c>
      <c r="I1093" s="2" t="s">
        <v>2118</v>
      </c>
      <c r="J1093" s="2" t="str">
        <v>Target Bricks-And-Clicks Channels</v>
      </c>
      <c r="K1093" s="2" t="str">
        <v>Electronics</v>
      </c>
      <c r="L1093" s="2" t="str">
        <v>Dunn, Christensen and Meyer</v>
      </c>
      <c r="M1093" s="2">
        <v>126.86</v>
      </c>
      <c r="N1093" s="16">
        <f t="shared" ref="N1093:N1156" si="17">(G1093/F1093)</f>
        <v>0.855437778248887</v>
      </c>
    </row>
    <row r="1094" spans="2:14" ht="14.4" customHeight="1" x14ac:dyDescent="0.3">
      <c r="B1094" s="2" t="s">
        <v>1099</v>
      </c>
      <c r="C1094" s="3">
        <v>45327</v>
      </c>
      <c r="D1094" s="2" t="s">
        <v>2011</v>
      </c>
      <c r="E1094" s="2" t="s">
        <v>2066</v>
      </c>
      <c r="F1094" s="4">
        <v>1101.32</v>
      </c>
      <c r="G1094" s="5">
        <v>158.22999999999999</v>
      </c>
      <c r="H1094" s="6">
        <v>15</v>
      </c>
      <c r="I1094" s="2" t="s">
        <v>2116</v>
      </c>
      <c r="J1094" s="2" t="str">
        <v>Facilitate Integrated E-Business</v>
      </c>
      <c r="K1094" s="2" t="str">
        <v>Office Supplies</v>
      </c>
      <c r="L1094" s="2" t="str">
        <v>Chang-Vargas</v>
      </c>
      <c r="M1094" s="2">
        <v>130.33000000000001</v>
      </c>
      <c r="N1094" s="16">
        <f t="shared" si="17"/>
        <v>0.14367304688918753</v>
      </c>
    </row>
    <row r="1095" spans="2:14" ht="14.4" customHeight="1" x14ac:dyDescent="0.3">
      <c r="B1095" s="2" t="s">
        <v>1100</v>
      </c>
      <c r="C1095" s="3">
        <v>45289</v>
      </c>
      <c r="D1095" s="2" t="s">
        <v>2012</v>
      </c>
      <c r="E1095" s="2" t="s">
        <v>2082</v>
      </c>
      <c r="F1095" s="4">
        <v>771.5</v>
      </c>
      <c r="G1095" s="5">
        <v>18.38</v>
      </c>
      <c r="H1095" s="6">
        <v>5</v>
      </c>
      <c r="I1095" s="2" t="s">
        <v>2116</v>
      </c>
      <c r="J1095" s="2" t="str">
        <v>Re-Contextualize Viral Markets</v>
      </c>
      <c r="K1095" s="2" t="str">
        <v>Electronics</v>
      </c>
      <c r="L1095" s="2" t="str">
        <v>Meadows-Barber</v>
      </c>
      <c r="M1095" s="2">
        <v>177.52</v>
      </c>
      <c r="N1095" s="16">
        <f t="shared" si="17"/>
        <v>2.3823720025923523E-2</v>
      </c>
    </row>
    <row r="1096" spans="2:14" ht="14.4" customHeight="1" x14ac:dyDescent="0.3">
      <c r="B1096" s="2" t="s">
        <v>1101</v>
      </c>
      <c r="C1096" s="3">
        <v>44668</v>
      </c>
      <c r="D1096" s="2" t="s">
        <v>2009</v>
      </c>
      <c r="E1096" s="2" t="s">
        <v>2056</v>
      </c>
      <c r="F1096" s="4">
        <v>3971.95</v>
      </c>
      <c r="G1096" s="5">
        <v>74.14</v>
      </c>
      <c r="H1096" s="6">
        <v>10</v>
      </c>
      <c r="I1096" s="2" t="s">
        <v>2117</v>
      </c>
      <c r="J1096" s="2" t="str">
        <v>Mesh Intuitive Supply-Chains</v>
      </c>
      <c r="K1096" s="2" t="str">
        <v>Electronics</v>
      </c>
      <c r="L1096" s="2" t="str">
        <v>Soto, Barnett and Heath</v>
      </c>
      <c r="M1096" s="2">
        <v>281</v>
      </c>
      <c r="N1096" s="16">
        <f t="shared" si="17"/>
        <v>1.8665894585782803E-2</v>
      </c>
    </row>
    <row r="1097" spans="2:14" ht="14.4" customHeight="1" x14ac:dyDescent="0.3">
      <c r="B1097" s="2" t="s">
        <v>1102</v>
      </c>
      <c r="C1097" s="3">
        <v>45045</v>
      </c>
      <c r="D1097" s="2" t="s">
        <v>2011</v>
      </c>
      <c r="E1097" s="2" t="s">
        <v>2055</v>
      </c>
      <c r="F1097" s="4">
        <v>1938.66</v>
      </c>
      <c r="G1097" s="5">
        <v>750.01</v>
      </c>
      <c r="H1097" s="6">
        <v>20</v>
      </c>
      <c r="I1097" s="2" t="s">
        <v>2117</v>
      </c>
      <c r="J1097" s="2" t="str">
        <v>Engineer Real-Time Architectures</v>
      </c>
      <c r="K1097" s="2" t="str">
        <v>Furniture</v>
      </c>
      <c r="L1097" s="2" t="str">
        <v>James and Sons</v>
      </c>
      <c r="M1097" s="2">
        <v>127.23</v>
      </c>
      <c r="N1097" s="16">
        <f t="shared" si="17"/>
        <v>0.3868703124838806</v>
      </c>
    </row>
    <row r="1098" spans="2:14" ht="14.4" customHeight="1" x14ac:dyDescent="0.3">
      <c r="B1098" s="2" t="s">
        <v>1103</v>
      </c>
      <c r="C1098" s="3">
        <v>44990</v>
      </c>
      <c r="D1098" s="2" t="s">
        <v>2012</v>
      </c>
      <c r="E1098" s="2" t="s">
        <v>2106</v>
      </c>
      <c r="F1098" s="4">
        <v>797.21</v>
      </c>
      <c r="G1098" s="5">
        <v>282.01</v>
      </c>
      <c r="H1098" s="6">
        <v>11</v>
      </c>
      <c r="I1098" s="2" t="s">
        <v>2118</v>
      </c>
      <c r="J1098" s="2" t="str">
        <v>Scale Bleeding-Edge Schemas</v>
      </c>
      <c r="K1098" s="2" t="str">
        <v>Electronics</v>
      </c>
      <c r="L1098" s="2" t="str">
        <v>Frazier-Schneider</v>
      </c>
      <c r="M1098" s="2">
        <v>54.8</v>
      </c>
      <c r="N1098" s="16">
        <f t="shared" si="17"/>
        <v>0.35374618983705669</v>
      </c>
    </row>
    <row r="1099" spans="2:14" ht="14.4" customHeight="1" x14ac:dyDescent="0.3">
      <c r="B1099" s="2" t="s">
        <v>1104</v>
      </c>
      <c r="C1099" s="3">
        <v>45340</v>
      </c>
      <c r="D1099" s="2" t="s">
        <v>2009</v>
      </c>
      <c r="E1099" s="2" t="s">
        <v>2014</v>
      </c>
      <c r="F1099" s="4">
        <v>691.2</v>
      </c>
      <c r="G1099" s="5">
        <v>220.96</v>
      </c>
      <c r="H1099" s="6">
        <v>7</v>
      </c>
      <c r="I1099" s="2" t="s">
        <v>2116</v>
      </c>
      <c r="J1099" s="2" t="str">
        <v>E-Enable Synergistic Vortals</v>
      </c>
      <c r="K1099" s="2" t="str">
        <v>Electronics</v>
      </c>
      <c r="L1099" s="2" t="str">
        <v>Guzman Group</v>
      </c>
      <c r="M1099" s="2">
        <v>278.43</v>
      </c>
      <c r="N1099" s="16">
        <f t="shared" si="17"/>
        <v>0.31967592592592592</v>
      </c>
    </row>
    <row r="1100" spans="2:14" ht="14.4" customHeight="1" x14ac:dyDescent="0.3">
      <c r="B1100" s="2" t="s">
        <v>1105</v>
      </c>
      <c r="C1100" s="3">
        <v>44576</v>
      </c>
      <c r="D1100" s="2" t="s">
        <v>2012</v>
      </c>
      <c r="E1100" s="2" t="s">
        <v>2037</v>
      </c>
      <c r="F1100" s="4">
        <v>3772.5</v>
      </c>
      <c r="G1100" s="5">
        <v>124.14</v>
      </c>
      <c r="H1100" s="6">
        <v>13</v>
      </c>
      <c r="I1100" s="2" t="s">
        <v>2116</v>
      </c>
      <c r="J1100" s="2" t="str">
        <v>Utilize Back-End Models</v>
      </c>
      <c r="K1100" s="2" t="str">
        <v>Furniture</v>
      </c>
      <c r="L1100" s="2" t="str">
        <v>Lewis-Holden</v>
      </c>
      <c r="M1100" s="2">
        <v>241.53</v>
      </c>
      <c r="N1100" s="16">
        <f t="shared" si="17"/>
        <v>3.2906560636182899E-2</v>
      </c>
    </row>
    <row r="1101" spans="2:14" ht="14.4" customHeight="1" x14ac:dyDescent="0.3">
      <c r="B1101" s="2" t="s">
        <v>1106</v>
      </c>
      <c r="C1101" s="3">
        <v>43979</v>
      </c>
      <c r="D1101" s="2" t="s">
        <v>2010</v>
      </c>
      <c r="E1101" s="2" t="s">
        <v>2021</v>
      </c>
      <c r="F1101" s="4">
        <v>2608.63</v>
      </c>
      <c r="G1101" s="5">
        <v>854.96</v>
      </c>
      <c r="H1101" s="6">
        <v>20</v>
      </c>
      <c r="I1101" s="2" t="s">
        <v>2117</v>
      </c>
      <c r="J1101" s="2" t="str">
        <v>Whiteboard Compelling Experiences</v>
      </c>
      <c r="K1101" s="2" t="str">
        <v>Furniture</v>
      </c>
      <c r="L1101" s="2" t="str">
        <v>Carrillo, Carr and Ball</v>
      </c>
      <c r="M1101" s="2">
        <v>206.54</v>
      </c>
      <c r="N1101" s="16">
        <f t="shared" si="17"/>
        <v>0.32774291486335738</v>
      </c>
    </row>
    <row r="1102" spans="2:14" ht="14.4" customHeight="1" x14ac:dyDescent="0.3">
      <c r="B1102" s="2" t="s">
        <v>1107</v>
      </c>
      <c r="C1102" s="3">
        <v>44177</v>
      </c>
      <c r="D1102" s="2" t="s">
        <v>2009</v>
      </c>
      <c r="E1102" s="2" t="s">
        <v>2091</v>
      </c>
      <c r="F1102" s="4">
        <v>542.1</v>
      </c>
      <c r="G1102" s="5">
        <v>574.08000000000004</v>
      </c>
      <c r="H1102" s="6">
        <v>10</v>
      </c>
      <c r="I1102" s="2" t="s">
        <v>2118</v>
      </c>
      <c r="J1102" s="2" t="str">
        <v>Synthesize Scalable Portals</v>
      </c>
      <c r="K1102" s="2" t="str">
        <v>Furniture</v>
      </c>
      <c r="L1102" s="2" t="str">
        <v>Singh, Villa and Flynn</v>
      </c>
      <c r="M1102" s="2">
        <v>298.57</v>
      </c>
      <c r="N1102" s="16">
        <f t="shared" si="17"/>
        <v>1.0589928057553957</v>
      </c>
    </row>
    <row r="1103" spans="2:14" ht="14.4" customHeight="1" x14ac:dyDescent="0.3">
      <c r="B1103" s="2" t="s">
        <v>1108</v>
      </c>
      <c r="C1103" s="3">
        <v>44804</v>
      </c>
      <c r="D1103" s="2" t="s">
        <v>2012</v>
      </c>
      <c r="E1103" s="2" t="s">
        <v>2020</v>
      </c>
      <c r="F1103" s="4">
        <v>3337.57</v>
      </c>
      <c r="G1103" s="5">
        <v>824.67</v>
      </c>
      <c r="H1103" s="6">
        <v>10</v>
      </c>
      <c r="I1103" s="2" t="s">
        <v>2118</v>
      </c>
      <c r="J1103" s="2" t="str">
        <v>Harness Revolutionary Interfaces</v>
      </c>
      <c r="K1103" s="2" t="str">
        <v>Furniture</v>
      </c>
      <c r="L1103" s="2" t="str">
        <v>Davis, Short and Nguyen</v>
      </c>
      <c r="M1103" s="2">
        <v>26.49</v>
      </c>
      <c r="N1103" s="16">
        <f t="shared" si="17"/>
        <v>0.24708695248339357</v>
      </c>
    </row>
    <row r="1104" spans="2:14" ht="14.4" customHeight="1" x14ac:dyDescent="0.3">
      <c r="B1104" s="2" t="s">
        <v>1109</v>
      </c>
      <c r="C1104" s="3">
        <v>44946</v>
      </c>
      <c r="D1104" s="2" t="s">
        <v>2012</v>
      </c>
      <c r="E1104" s="2" t="s">
        <v>2023</v>
      </c>
      <c r="F1104" s="4">
        <v>3390.46</v>
      </c>
      <c r="G1104" s="5">
        <v>891.31</v>
      </c>
      <c r="H1104" s="6">
        <v>7</v>
      </c>
      <c r="I1104" s="2" t="s">
        <v>2118</v>
      </c>
      <c r="J1104" s="2" t="str">
        <v>Leverage Cutting-Edge Vortals</v>
      </c>
      <c r="K1104" s="2" t="str">
        <v>Electronics</v>
      </c>
      <c r="L1104" s="2" t="str">
        <v>Robinson, Garrett and Chavez</v>
      </c>
      <c r="M1104" s="2">
        <v>117.3</v>
      </c>
      <c r="N1104" s="16">
        <f t="shared" si="17"/>
        <v>0.26288763176678087</v>
      </c>
    </row>
    <row r="1105" spans="2:14" ht="14.4" customHeight="1" x14ac:dyDescent="0.3">
      <c r="B1105" s="2" t="s">
        <v>1110</v>
      </c>
      <c r="C1105" s="3">
        <v>45095</v>
      </c>
      <c r="D1105" s="2" t="s">
        <v>2011</v>
      </c>
      <c r="E1105" s="2" t="s">
        <v>2089</v>
      </c>
      <c r="F1105" s="4">
        <v>416.63</v>
      </c>
      <c r="G1105" s="5">
        <v>213.99</v>
      </c>
      <c r="H1105" s="6">
        <v>11</v>
      </c>
      <c r="I1105" s="2" t="s">
        <v>2116</v>
      </c>
      <c r="J1105" s="2" t="str">
        <v>Morph World-Class Synergies</v>
      </c>
      <c r="K1105" s="2" t="str">
        <v>Electronics</v>
      </c>
      <c r="L1105" s="2" t="str">
        <v>Bryant Ltd</v>
      </c>
      <c r="M1105" s="2">
        <v>20.69</v>
      </c>
      <c r="N1105" s="16">
        <f t="shared" si="17"/>
        <v>0.51362119866548261</v>
      </c>
    </row>
    <row r="1106" spans="2:14" ht="14.4" customHeight="1" x14ac:dyDescent="0.3">
      <c r="B1106" s="2" t="s">
        <v>1111</v>
      </c>
      <c r="C1106" s="3">
        <v>44566</v>
      </c>
      <c r="D1106" s="2" t="s">
        <v>2009</v>
      </c>
      <c r="E1106" s="2" t="s">
        <v>2069</v>
      </c>
      <c r="F1106" s="4">
        <v>921.58</v>
      </c>
      <c r="G1106" s="5">
        <v>334.36</v>
      </c>
      <c r="H1106" s="6">
        <v>5</v>
      </c>
      <c r="I1106" s="2" t="s">
        <v>2117</v>
      </c>
      <c r="J1106" s="2" t="str">
        <v>Optimize Transparent E-Markets</v>
      </c>
      <c r="K1106" s="2" t="str">
        <v>Office Supplies</v>
      </c>
      <c r="L1106" s="2" t="str">
        <v>Lee, Tyler and Blevins</v>
      </c>
      <c r="M1106" s="2">
        <v>111.22</v>
      </c>
      <c r="N1106" s="16">
        <f t="shared" si="17"/>
        <v>0.36281169296208687</v>
      </c>
    </row>
    <row r="1107" spans="2:14" ht="14.4" customHeight="1" x14ac:dyDescent="0.3">
      <c r="B1107" s="2" t="s">
        <v>1112</v>
      </c>
      <c r="C1107" s="3">
        <v>44872</v>
      </c>
      <c r="D1107" s="2" t="s">
        <v>2009</v>
      </c>
      <c r="E1107" s="2" t="s">
        <v>2100</v>
      </c>
      <c r="F1107" s="4">
        <v>793.26</v>
      </c>
      <c r="G1107" s="5">
        <v>904.21</v>
      </c>
      <c r="H1107" s="6">
        <v>5</v>
      </c>
      <c r="I1107" s="2" t="s">
        <v>2117</v>
      </c>
      <c r="J1107" s="2" t="str">
        <v>Strategize Best-Of-Breed Web-Readiness</v>
      </c>
      <c r="K1107" s="2" t="str">
        <v>Office Supplies</v>
      </c>
      <c r="L1107" s="2" t="str">
        <v>Morris, King and Ayers</v>
      </c>
      <c r="M1107" s="2">
        <v>220.16</v>
      </c>
      <c r="N1107" s="16">
        <f t="shared" si="17"/>
        <v>1.1398658699543656</v>
      </c>
    </row>
    <row r="1108" spans="2:14" ht="14.4" customHeight="1" x14ac:dyDescent="0.3">
      <c r="B1108" s="2" t="s">
        <v>1113</v>
      </c>
      <c r="C1108" s="3">
        <v>45198</v>
      </c>
      <c r="D1108" s="2" t="s">
        <v>2012</v>
      </c>
      <c r="E1108" s="2" t="s">
        <v>2088</v>
      </c>
      <c r="F1108" s="4">
        <v>3069.26</v>
      </c>
      <c r="G1108" s="5">
        <v>361.58</v>
      </c>
      <c r="H1108" s="6">
        <v>5</v>
      </c>
      <c r="I1108" s="2" t="s">
        <v>2117</v>
      </c>
      <c r="J1108" s="2" t="str">
        <v>E-Enable Holistic Supply-Chains</v>
      </c>
      <c r="K1108" s="2" t="str">
        <v>Furniture</v>
      </c>
      <c r="L1108" s="2" t="str">
        <v>Lin-Mcdaniel</v>
      </c>
      <c r="M1108" s="2">
        <v>160.33000000000001</v>
      </c>
      <c r="N1108" s="16">
        <f t="shared" si="17"/>
        <v>0.1178068980796674</v>
      </c>
    </row>
    <row r="1109" spans="2:14" ht="14.4" customHeight="1" x14ac:dyDescent="0.3">
      <c r="B1109" s="2" t="s">
        <v>1114</v>
      </c>
      <c r="C1109" s="3">
        <v>44709</v>
      </c>
      <c r="D1109" s="2" t="s">
        <v>2011</v>
      </c>
      <c r="E1109" s="2" t="s">
        <v>2055</v>
      </c>
      <c r="F1109" s="4">
        <v>2063.2600000000002</v>
      </c>
      <c r="G1109" s="5">
        <v>200.08</v>
      </c>
      <c r="H1109" s="6">
        <v>3</v>
      </c>
      <c r="I1109" s="2" t="s">
        <v>2116</v>
      </c>
      <c r="J1109" s="2" t="str">
        <v>Engineer Real-Time Architectures</v>
      </c>
      <c r="K1109" s="2" t="str">
        <v>Furniture</v>
      </c>
      <c r="L1109" s="2" t="str">
        <v>James and Sons</v>
      </c>
      <c r="M1109" s="2">
        <v>127.23</v>
      </c>
      <c r="N1109" s="16">
        <f t="shared" si="17"/>
        <v>9.697275185870903E-2</v>
      </c>
    </row>
    <row r="1110" spans="2:14" ht="14.4" customHeight="1" x14ac:dyDescent="0.3">
      <c r="B1110" s="2" t="s">
        <v>1115</v>
      </c>
      <c r="C1110" s="3">
        <v>44669</v>
      </c>
      <c r="D1110" s="2" t="s">
        <v>2011</v>
      </c>
      <c r="E1110" s="2" t="s">
        <v>2088</v>
      </c>
      <c r="F1110" s="4">
        <v>4173.47</v>
      </c>
      <c r="G1110" s="5">
        <v>914.42</v>
      </c>
      <c r="H1110" s="6">
        <v>5</v>
      </c>
      <c r="I1110" s="2" t="s">
        <v>2117</v>
      </c>
      <c r="J1110" s="2" t="str">
        <v>E-Enable Holistic Supply-Chains</v>
      </c>
      <c r="K1110" s="2" t="str">
        <v>Furniture</v>
      </c>
      <c r="L1110" s="2" t="str">
        <v>Lin-Mcdaniel</v>
      </c>
      <c r="M1110" s="2">
        <v>160.33000000000001</v>
      </c>
      <c r="N1110" s="16">
        <f t="shared" si="17"/>
        <v>0.21910304854234006</v>
      </c>
    </row>
    <row r="1111" spans="2:14" ht="14.4" customHeight="1" x14ac:dyDescent="0.3">
      <c r="B1111" s="2" t="s">
        <v>1116</v>
      </c>
      <c r="C1111" s="3">
        <v>45156</v>
      </c>
      <c r="D1111" s="2" t="s">
        <v>2012</v>
      </c>
      <c r="E1111" s="2" t="s">
        <v>2082</v>
      </c>
      <c r="F1111" s="4">
        <v>2906.61</v>
      </c>
      <c r="G1111" s="5">
        <v>514.79</v>
      </c>
      <c r="H1111" s="6">
        <v>4</v>
      </c>
      <c r="I1111" s="2" t="s">
        <v>2117</v>
      </c>
      <c r="J1111" s="2" t="str">
        <v>Re-Contextualize Viral Markets</v>
      </c>
      <c r="K1111" s="2" t="str">
        <v>Electronics</v>
      </c>
      <c r="L1111" s="2" t="str">
        <v>Meadows-Barber</v>
      </c>
      <c r="M1111" s="2">
        <v>177.52</v>
      </c>
      <c r="N1111" s="16">
        <f t="shared" si="17"/>
        <v>0.17711010421074722</v>
      </c>
    </row>
    <row r="1112" spans="2:14" ht="14.4" customHeight="1" x14ac:dyDescent="0.3">
      <c r="B1112" s="2" t="s">
        <v>1117</v>
      </c>
      <c r="C1112" s="3">
        <v>44864</v>
      </c>
      <c r="D1112" s="2" t="s">
        <v>2012</v>
      </c>
      <c r="E1112" s="2" t="s">
        <v>2036</v>
      </c>
      <c r="F1112" s="4">
        <v>4935.59</v>
      </c>
      <c r="G1112" s="5">
        <v>443.39</v>
      </c>
      <c r="H1112" s="6">
        <v>12</v>
      </c>
      <c r="I1112" s="2" t="s">
        <v>2116</v>
      </c>
      <c r="J1112" s="2" t="str">
        <v>Innovate Strategic Systems</v>
      </c>
      <c r="K1112" s="2" t="str">
        <v>Office Supplies</v>
      </c>
      <c r="L1112" s="2" t="str">
        <v>Mcfarland, Parker and Armstrong</v>
      </c>
      <c r="M1112" s="2">
        <v>70.239999999999995</v>
      </c>
      <c r="N1112" s="16">
        <f t="shared" si="17"/>
        <v>8.9835257790861878E-2</v>
      </c>
    </row>
    <row r="1113" spans="2:14" ht="14.4" customHeight="1" x14ac:dyDescent="0.3">
      <c r="B1113" s="2" t="s">
        <v>1118</v>
      </c>
      <c r="C1113" s="3">
        <v>44403</v>
      </c>
      <c r="D1113" s="2" t="s">
        <v>2009</v>
      </c>
      <c r="E1113" s="2" t="s">
        <v>2045</v>
      </c>
      <c r="F1113" s="4">
        <v>3114.13</v>
      </c>
      <c r="G1113" s="5">
        <v>777.79</v>
      </c>
      <c r="H1113" s="6">
        <v>8</v>
      </c>
      <c r="I1113" s="2" t="s">
        <v>2117</v>
      </c>
      <c r="J1113" s="2" t="str">
        <v>Leverage Scalable Interfaces</v>
      </c>
      <c r="K1113" s="2" t="str">
        <v>Office Supplies</v>
      </c>
      <c r="L1113" s="2" t="str">
        <v>Kaufman-Jones</v>
      </c>
      <c r="M1113" s="2">
        <v>73.33</v>
      </c>
      <c r="N1113" s="16">
        <f t="shared" si="17"/>
        <v>0.2497615706473397</v>
      </c>
    </row>
    <row r="1114" spans="2:14" ht="14.4" customHeight="1" x14ac:dyDescent="0.3">
      <c r="B1114" s="2" t="s">
        <v>1119</v>
      </c>
      <c r="C1114" s="3">
        <v>44455</v>
      </c>
      <c r="D1114" s="2" t="s">
        <v>2009</v>
      </c>
      <c r="E1114" s="2" t="s">
        <v>2029</v>
      </c>
      <c r="F1114" s="4">
        <v>1711.28</v>
      </c>
      <c r="G1114" s="5">
        <v>784.31</v>
      </c>
      <c r="H1114" s="6">
        <v>17</v>
      </c>
      <c r="I1114" s="2" t="s">
        <v>2117</v>
      </c>
      <c r="J1114" s="2" t="str">
        <v>E-Enable Next-Generation Experiences</v>
      </c>
      <c r="K1114" s="2" t="str">
        <v>Furniture</v>
      </c>
      <c r="L1114" s="2" t="str">
        <v>Sanchez-Quinn</v>
      </c>
      <c r="M1114" s="2">
        <v>266.93</v>
      </c>
      <c r="N1114" s="16">
        <f t="shared" si="17"/>
        <v>0.45831775045579914</v>
      </c>
    </row>
    <row r="1115" spans="2:14" ht="14.4" customHeight="1" x14ac:dyDescent="0.3">
      <c r="B1115" s="2" t="s">
        <v>1120</v>
      </c>
      <c r="C1115" s="3">
        <v>44084</v>
      </c>
      <c r="D1115" s="2" t="s">
        <v>2012</v>
      </c>
      <c r="E1115" s="2" t="s">
        <v>2071</v>
      </c>
      <c r="F1115" s="4">
        <v>2911.95</v>
      </c>
      <c r="G1115" s="5">
        <v>130.47</v>
      </c>
      <c r="H1115" s="6">
        <v>3</v>
      </c>
      <c r="I1115" s="2" t="s">
        <v>2117</v>
      </c>
      <c r="J1115" s="2" t="str">
        <v>Incentivize Front-End Mindshare</v>
      </c>
      <c r="K1115" s="2" t="str">
        <v>Electronics</v>
      </c>
      <c r="L1115" s="2" t="str">
        <v>Phillips-Tran</v>
      </c>
      <c r="M1115" s="2">
        <v>196.86</v>
      </c>
      <c r="N1115" s="16">
        <f t="shared" si="17"/>
        <v>4.4805027558852316E-2</v>
      </c>
    </row>
    <row r="1116" spans="2:14" ht="14.4" customHeight="1" x14ac:dyDescent="0.3">
      <c r="B1116" s="2" t="s">
        <v>1121</v>
      </c>
      <c r="C1116" s="3">
        <v>44814</v>
      </c>
      <c r="D1116" s="2" t="s">
        <v>2010</v>
      </c>
      <c r="E1116" s="2" t="s">
        <v>2093</v>
      </c>
      <c r="F1116" s="4">
        <v>623.08000000000004</v>
      </c>
      <c r="G1116" s="5">
        <v>591.36</v>
      </c>
      <c r="H1116" s="6">
        <v>10</v>
      </c>
      <c r="I1116" s="2" t="s">
        <v>2117</v>
      </c>
      <c r="J1116" s="2" t="str">
        <v>Synergize Frictionless Synergies</v>
      </c>
      <c r="K1116" s="2" t="str">
        <v>Furniture</v>
      </c>
      <c r="L1116" s="2" t="str">
        <v>Hester and Sons</v>
      </c>
      <c r="M1116" s="2">
        <v>289.06</v>
      </c>
      <c r="N1116" s="16">
        <f t="shared" si="17"/>
        <v>0.94909160942415094</v>
      </c>
    </row>
    <row r="1117" spans="2:14" ht="14.4" customHeight="1" x14ac:dyDescent="0.3">
      <c r="B1117" s="2" t="s">
        <v>1122</v>
      </c>
      <c r="C1117" s="3">
        <v>44135</v>
      </c>
      <c r="D1117" s="2" t="s">
        <v>2010</v>
      </c>
      <c r="E1117" s="2" t="s">
        <v>2074</v>
      </c>
      <c r="F1117" s="4">
        <v>1753.68</v>
      </c>
      <c r="G1117" s="5">
        <v>691.52</v>
      </c>
      <c r="H1117" s="6">
        <v>4</v>
      </c>
      <c r="I1117" s="2" t="s">
        <v>2116</v>
      </c>
      <c r="J1117" s="2" t="str">
        <v>Utilize Ubiquitous Synergies</v>
      </c>
      <c r="K1117" s="2" t="str">
        <v>Electronics</v>
      </c>
      <c r="L1117" s="2" t="str">
        <v>Kramer, Huang and Shaw</v>
      </c>
      <c r="M1117" s="2">
        <v>295.89999999999998</v>
      </c>
      <c r="N1117" s="16">
        <f t="shared" si="17"/>
        <v>0.39432507641074765</v>
      </c>
    </row>
    <row r="1118" spans="2:14" ht="14.4" customHeight="1" x14ac:dyDescent="0.3">
      <c r="B1118" s="2" t="s">
        <v>1123</v>
      </c>
      <c r="C1118" s="3">
        <v>45579</v>
      </c>
      <c r="D1118" s="2" t="s">
        <v>2012</v>
      </c>
      <c r="E1118" s="2" t="s">
        <v>2014</v>
      </c>
      <c r="F1118" s="4">
        <v>619.1</v>
      </c>
      <c r="G1118" s="5">
        <v>535.32000000000005</v>
      </c>
      <c r="H1118" s="6">
        <v>4</v>
      </c>
      <c r="I1118" s="2" t="s">
        <v>2116</v>
      </c>
      <c r="J1118" s="2" t="str">
        <v>E-Enable Synergistic Vortals</v>
      </c>
      <c r="K1118" s="2" t="str">
        <v>Electronics</v>
      </c>
      <c r="L1118" s="2" t="str">
        <v>Guzman Group</v>
      </c>
      <c r="M1118" s="2">
        <v>278.43</v>
      </c>
      <c r="N1118" s="16">
        <f t="shared" si="17"/>
        <v>0.86467452753997742</v>
      </c>
    </row>
    <row r="1119" spans="2:14" ht="14.4" customHeight="1" x14ac:dyDescent="0.3">
      <c r="B1119" s="2" t="s">
        <v>1124</v>
      </c>
      <c r="C1119" s="3">
        <v>44087</v>
      </c>
      <c r="D1119" s="2" t="s">
        <v>2012</v>
      </c>
      <c r="E1119" s="2" t="s">
        <v>2104</v>
      </c>
      <c r="F1119" s="4">
        <v>1301.3499999999999</v>
      </c>
      <c r="G1119" s="5">
        <v>69.64</v>
      </c>
      <c r="H1119" s="6">
        <v>16</v>
      </c>
      <c r="I1119" s="2" t="s">
        <v>2117</v>
      </c>
      <c r="J1119" s="2" t="str">
        <v>Scale Cross-Platform Web Services</v>
      </c>
      <c r="K1119" s="2" t="str">
        <v>Furniture</v>
      </c>
      <c r="L1119" s="2" t="str">
        <v>Morrow, Brock and Lewis</v>
      </c>
      <c r="M1119" s="2">
        <v>115.21</v>
      </c>
      <c r="N1119" s="16">
        <f t="shared" si="17"/>
        <v>5.3513658892688366E-2</v>
      </c>
    </row>
    <row r="1120" spans="2:14" ht="14.4" customHeight="1" x14ac:dyDescent="0.3">
      <c r="B1120" s="2" t="s">
        <v>1125</v>
      </c>
      <c r="C1120" s="3">
        <v>43894</v>
      </c>
      <c r="D1120" s="2" t="s">
        <v>2009</v>
      </c>
      <c r="E1120" s="2" t="s">
        <v>2080</v>
      </c>
      <c r="F1120" s="4">
        <v>4030.99</v>
      </c>
      <c r="G1120" s="5">
        <v>841.79</v>
      </c>
      <c r="H1120" s="6">
        <v>18</v>
      </c>
      <c r="I1120" s="2" t="s">
        <v>2116</v>
      </c>
      <c r="J1120" s="2" t="str">
        <v>Scale Vertical Networks</v>
      </c>
      <c r="K1120" s="2" t="str">
        <v>Furniture</v>
      </c>
      <c r="L1120" s="2" t="str">
        <v>Lam, Wood and Jacobs</v>
      </c>
      <c r="M1120" s="2">
        <v>133.24</v>
      </c>
      <c r="N1120" s="16">
        <f t="shared" si="17"/>
        <v>0.20882959273032184</v>
      </c>
    </row>
    <row r="1121" spans="2:14" ht="14.4" customHeight="1" x14ac:dyDescent="0.3">
      <c r="B1121" s="2" t="s">
        <v>1126</v>
      </c>
      <c r="C1121" s="3">
        <v>44709</v>
      </c>
      <c r="D1121" s="2" t="s">
        <v>2009</v>
      </c>
      <c r="E1121" s="2" t="s">
        <v>2050</v>
      </c>
      <c r="F1121" s="4">
        <v>1062.22</v>
      </c>
      <c r="G1121" s="5">
        <v>754.79</v>
      </c>
      <c r="H1121" s="6">
        <v>17</v>
      </c>
      <c r="I1121" s="2" t="s">
        <v>2116</v>
      </c>
      <c r="J1121" s="2" t="str">
        <v>Extend Bricks-And-Clicks Architectures</v>
      </c>
      <c r="K1121" s="2" t="str">
        <v>Furniture</v>
      </c>
      <c r="L1121" s="2" t="str">
        <v>Fuller PLC</v>
      </c>
      <c r="M1121" s="2">
        <v>202.99</v>
      </c>
      <c r="N1121" s="16">
        <f t="shared" si="17"/>
        <v>0.71057784639716814</v>
      </c>
    </row>
    <row r="1122" spans="2:14" ht="14.4" customHeight="1" x14ac:dyDescent="0.3">
      <c r="B1122" s="2" t="s">
        <v>1127</v>
      </c>
      <c r="C1122" s="3">
        <v>44202</v>
      </c>
      <c r="D1122" s="2" t="s">
        <v>2012</v>
      </c>
      <c r="E1122" s="2" t="s">
        <v>2101</v>
      </c>
      <c r="F1122" s="4">
        <v>3867.16</v>
      </c>
      <c r="G1122" s="5">
        <v>174.24</v>
      </c>
      <c r="H1122" s="6">
        <v>15</v>
      </c>
      <c r="I1122" s="2" t="s">
        <v>2117</v>
      </c>
      <c r="J1122" s="2" t="str">
        <v>Deploy Granular Channels</v>
      </c>
      <c r="K1122" s="2" t="str">
        <v>Furniture</v>
      </c>
      <c r="L1122" s="2" t="str">
        <v>Barnes Ltd</v>
      </c>
      <c r="M1122" s="2">
        <v>288.99</v>
      </c>
      <c r="N1122" s="16">
        <f t="shared" si="17"/>
        <v>4.505632040050063E-2</v>
      </c>
    </row>
    <row r="1123" spans="2:14" ht="14.4" customHeight="1" x14ac:dyDescent="0.3">
      <c r="B1123" s="2" t="s">
        <v>1128</v>
      </c>
      <c r="C1123" s="3">
        <v>43857</v>
      </c>
      <c r="D1123" s="2" t="s">
        <v>2011</v>
      </c>
      <c r="E1123" s="2" t="s">
        <v>2094</v>
      </c>
      <c r="F1123" s="4">
        <v>4201.4399999999996</v>
      </c>
      <c r="G1123" s="5">
        <v>14.43</v>
      </c>
      <c r="H1123" s="6">
        <v>17</v>
      </c>
      <c r="I1123" s="2" t="s">
        <v>2117</v>
      </c>
      <c r="J1123" s="2" t="str">
        <v>Implement Rich Platforms</v>
      </c>
      <c r="K1123" s="2" t="str">
        <v>Electronics</v>
      </c>
      <c r="L1123" s="2" t="str">
        <v>Parker, Anderson and Salazar</v>
      </c>
      <c r="M1123" s="2">
        <v>53.59</v>
      </c>
      <c r="N1123" s="16">
        <f t="shared" si="17"/>
        <v>3.4345367302639099E-3</v>
      </c>
    </row>
    <row r="1124" spans="2:14" ht="14.4" customHeight="1" x14ac:dyDescent="0.3">
      <c r="B1124" s="2" t="s">
        <v>1129</v>
      </c>
      <c r="C1124" s="3">
        <v>44253</v>
      </c>
      <c r="D1124" s="2" t="s">
        <v>2012</v>
      </c>
      <c r="E1124" s="2" t="s">
        <v>2074</v>
      </c>
      <c r="F1124" s="4">
        <v>2114.66</v>
      </c>
      <c r="G1124" s="5">
        <v>721.13</v>
      </c>
      <c r="H1124" s="6">
        <v>20</v>
      </c>
      <c r="I1124" s="2" t="s">
        <v>2116</v>
      </c>
      <c r="J1124" s="2" t="str">
        <v>Utilize Ubiquitous Synergies</v>
      </c>
      <c r="K1124" s="2" t="str">
        <v>Electronics</v>
      </c>
      <c r="L1124" s="2" t="str">
        <v>Kramer, Huang and Shaw</v>
      </c>
      <c r="M1124" s="2">
        <v>295.89999999999998</v>
      </c>
      <c r="N1124" s="16">
        <f t="shared" si="17"/>
        <v>0.34101463119366709</v>
      </c>
    </row>
    <row r="1125" spans="2:14" ht="14.4" customHeight="1" x14ac:dyDescent="0.3">
      <c r="B1125" s="2" t="s">
        <v>1130</v>
      </c>
      <c r="C1125" s="3">
        <v>44551</v>
      </c>
      <c r="D1125" s="2" t="s">
        <v>2010</v>
      </c>
      <c r="E1125" s="2" t="s">
        <v>2076</v>
      </c>
      <c r="F1125" s="4">
        <v>4621.3500000000004</v>
      </c>
      <c r="G1125" s="5">
        <v>300.66000000000003</v>
      </c>
      <c r="H1125" s="6">
        <v>15</v>
      </c>
      <c r="I1125" s="2" t="s">
        <v>2118</v>
      </c>
      <c r="J1125" s="2" t="str">
        <v>Deliver Extensible Partnerships</v>
      </c>
      <c r="K1125" s="2" t="str">
        <v>Furniture</v>
      </c>
      <c r="L1125" s="2" t="str">
        <v>Martin, Paul and Salazar</v>
      </c>
      <c r="M1125" s="2">
        <v>43.76</v>
      </c>
      <c r="N1125" s="16">
        <f t="shared" si="17"/>
        <v>6.5058911357070981E-2</v>
      </c>
    </row>
    <row r="1126" spans="2:14" ht="14.4" customHeight="1" x14ac:dyDescent="0.3">
      <c r="B1126" s="2" t="s">
        <v>1131</v>
      </c>
      <c r="C1126" s="3">
        <v>44096</v>
      </c>
      <c r="D1126" s="2" t="s">
        <v>2010</v>
      </c>
      <c r="E1126" s="2" t="s">
        <v>2059</v>
      </c>
      <c r="F1126" s="4">
        <v>4305.1899999999996</v>
      </c>
      <c r="G1126" s="5">
        <v>170.42</v>
      </c>
      <c r="H1126" s="6">
        <v>10</v>
      </c>
      <c r="I1126" s="2" t="s">
        <v>2116</v>
      </c>
      <c r="J1126" s="2" t="str">
        <v>Redefine Real-Time Convergence</v>
      </c>
      <c r="K1126" s="2" t="str">
        <v>Electronics</v>
      </c>
      <c r="L1126" s="2" t="str">
        <v>Hayes, Peters and Douglas</v>
      </c>
      <c r="M1126" s="2">
        <v>78.260000000000005</v>
      </c>
      <c r="N1126" s="16">
        <f t="shared" si="17"/>
        <v>3.9584780230373109E-2</v>
      </c>
    </row>
    <row r="1127" spans="2:14" ht="14.4" customHeight="1" x14ac:dyDescent="0.3">
      <c r="B1127" s="2" t="s">
        <v>1132</v>
      </c>
      <c r="C1127" s="3">
        <v>44773</v>
      </c>
      <c r="D1127" s="2" t="s">
        <v>2009</v>
      </c>
      <c r="E1127" s="2" t="s">
        <v>2028</v>
      </c>
      <c r="F1127" s="4">
        <v>2644.26</v>
      </c>
      <c r="G1127" s="5">
        <v>540.41</v>
      </c>
      <c r="H1127" s="6">
        <v>9</v>
      </c>
      <c r="I1127" s="2" t="s">
        <v>2117</v>
      </c>
      <c r="J1127" s="2" t="str">
        <v>Synergize World-Class Networks</v>
      </c>
      <c r="K1127" s="2" t="str">
        <v>Electronics</v>
      </c>
      <c r="L1127" s="2" t="str">
        <v>Gomez-Lawrence</v>
      </c>
      <c r="M1127" s="2">
        <v>72.37</v>
      </c>
      <c r="N1127" s="16">
        <f t="shared" si="17"/>
        <v>0.20437097713537999</v>
      </c>
    </row>
    <row r="1128" spans="2:14" ht="14.4" customHeight="1" x14ac:dyDescent="0.3">
      <c r="B1128" s="2" t="s">
        <v>1133</v>
      </c>
      <c r="C1128" s="3">
        <v>44735</v>
      </c>
      <c r="D1128" s="2" t="s">
        <v>2010</v>
      </c>
      <c r="E1128" s="2" t="s">
        <v>2089</v>
      </c>
      <c r="F1128" s="4">
        <v>852.21</v>
      </c>
      <c r="G1128" s="5">
        <v>349.76</v>
      </c>
      <c r="H1128" s="6">
        <v>14</v>
      </c>
      <c r="I1128" s="2" t="s">
        <v>2118</v>
      </c>
      <c r="J1128" s="2" t="str">
        <v>Morph World-Class Synergies</v>
      </c>
      <c r="K1128" s="2" t="str">
        <v>Electronics</v>
      </c>
      <c r="L1128" s="2" t="str">
        <v>Bryant Ltd</v>
      </c>
      <c r="M1128" s="2">
        <v>20.69</v>
      </c>
      <c r="N1128" s="16">
        <f t="shared" si="17"/>
        <v>0.41041527323077642</v>
      </c>
    </row>
    <row r="1129" spans="2:14" ht="14.4" customHeight="1" x14ac:dyDescent="0.3">
      <c r="B1129" s="2" t="s">
        <v>1134</v>
      </c>
      <c r="C1129" s="3">
        <v>45349</v>
      </c>
      <c r="D1129" s="2" t="s">
        <v>2010</v>
      </c>
      <c r="E1129" s="2" t="s">
        <v>2081</v>
      </c>
      <c r="F1129" s="4">
        <v>3211.92</v>
      </c>
      <c r="G1129" s="5">
        <v>26.93</v>
      </c>
      <c r="H1129" s="6">
        <v>4</v>
      </c>
      <c r="I1129" s="2" t="s">
        <v>2117</v>
      </c>
      <c r="J1129" s="2" t="str">
        <v>Orchestrate User-Centric Platforms</v>
      </c>
      <c r="K1129" s="2" t="str">
        <v>Furniture</v>
      </c>
      <c r="L1129" s="2" t="str">
        <v>Wells Ltd</v>
      </c>
      <c r="M1129" s="2">
        <v>201.87</v>
      </c>
      <c r="N1129" s="16">
        <f t="shared" si="17"/>
        <v>8.3843931355700018E-3</v>
      </c>
    </row>
    <row r="1130" spans="2:14" ht="14.4" customHeight="1" x14ac:dyDescent="0.3">
      <c r="B1130" s="2" t="s">
        <v>1135</v>
      </c>
      <c r="C1130" s="3">
        <v>45326</v>
      </c>
      <c r="D1130" s="2" t="s">
        <v>2011</v>
      </c>
      <c r="E1130" s="2" t="s">
        <v>2087</v>
      </c>
      <c r="F1130" s="4">
        <v>4882.49</v>
      </c>
      <c r="G1130" s="5">
        <v>664.49</v>
      </c>
      <c r="H1130" s="6">
        <v>9</v>
      </c>
      <c r="I1130" s="2" t="s">
        <v>2117</v>
      </c>
      <c r="J1130" s="2" t="str">
        <v>Empower Seamless Roi</v>
      </c>
      <c r="K1130" s="2" t="str">
        <v>Office Supplies</v>
      </c>
      <c r="L1130" s="2" t="str">
        <v>Proctor Group</v>
      </c>
      <c r="M1130" s="2">
        <v>266.64999999999998</v>
      </c>
      <c r="N1130" s="16">
        <f t="shared" si="17"/>
        <v>0.13609654090433365</v>
      </c>
    </row>
    <row r="1131" spans="2:14" ht="14.4" customHeight="1" x14ac:dyDescent="0.3">
      <c r="B1131" s="2" t="s">
        <v>1136</v>
      </c>
      <c r="C1131" s="3">
        <v>43865</v>
      </c>
      <c r="D1131" s="2" t="s">
        <v>2009</v>
      </c>
      <c r="E1131" s="2" t="s">
        <v>2024</v>
      </c>
      <c r="F1131" s="4">
        <v>3679.47</v>
      </c>
      <c r="G1131" s="5">
        <v>251.86</v>
      </c>
      <c r="H1131" s="6">
        <v>5</v>
      </c>
      <c r="I1131" s="2" t="s">
        <v>2116</v>
      </c>
      <c r="J1131" s="2" t="str">
        <v>Target Viral Methodologies</v>
      </c>
      <c r="K1131" s="2" t="str">
        <v>Electronics</v>
      </c>
      <c r="L1131" s="2" t="str">
        <v>Alvarez, Myers and Walter</v>
      </c>
      <c r="M1131" s="2">
        <v>149.26</v>
      </c>
      <c r="N1131" s="16">
        <f t="shared" si="17"/>
        <v>6.8450075690248871E-2</v>
      </c>
    </row>
    <row r="1132" spans="2:14" ht="14.4" customHeight="1" x14ac:dyDescent="0.3">
      <c r="B1132" s="2" t="s">
        <v>1137</v>
      </c>
      <c r="C1132" s="3">
        <v>45517</v>
      </c>
      <c r="D1132" s="2" t="s">
        <v>2010</v>
      </c>
      <c r="E1132" s="2" t="s">
        <v>2072</v>
      </c>
      <c r="F1132" s="4">
        <v>4146.09</v>
      </c>
      <c r="G1132" s="5">
        <v>293.93</v>
      </c>
      <c r="H1132" s="6">
        <v>13</v>
      </c>
      <c r="I1132" s="2" t="s">
        <v>2117</v>
      </c>
      <c r="J1132" s="2" t="str">
        <v>Evolve Innovative Web Services</v>
      </c>
      <c r="K1132" s="2" t="str">
        <v>Furniture</v>
      </c>
      <c r="L1132" s="2" t="str">
        <v>Bush Inc</v>
      </c>
      <c r="M1132" s="2">
        <v>87.75</v>
      </c>
      <c r="N1132" s="16">
        <f t="shared" si="17"/>
        <v>7.0893299470103158E-2</v>
      </c>
    </row>
    <row r="1133" spans="2:14" ht="14.4" customHeight="1" x14ac:dyDescent="0.3">
      <c r="B1133" s="2" t="s">
        <v>1138</v>
      </c>
      <c r="C1133" s="3">
        <v>45308</v>
      </c>
      <c r="D1133" s="2" t="s">
        <v>2010</v>
      </c>
      <c r="E1133" s="2" t="s">
        <v>2072</v>
      </c>
      <c r="F1133" s="4">
        <v>3459.92</v>
      </c>
      <c r="G1133" s="5">
        <v>866.04</v>
      </c>
      <c r="H1133" s="6">
        <v>11</v>
      </c>
      <c r="I1133" s="2" t="s">
        <v>2117</v>
      </c>
      <c r="J1133" s="2" t="str">
        <v>Evolve Innovative Web Services</v>
      </c>
      <c r="K1133" s="2" t="str">
        <v>Furniture</v>
      </c>
      <c r="L1133" s="2" t="str">
        <v>Bush Inc</v>
      </c>
      <c r="M1133" s="2">
        <v>87.75</v>
      </c>
      <c r="N1133" s="16">
        <f t="shared" si="17"/>
        <v>0.25030636546509744</v>
      </c>
    </row>
    <row r="1134" spans="2:14" ht="14.4" customHeight="1" x14ac:dyDescent="0.3">
      <c r="B1134" s="2" t="s">
        <v>1139</v>
      </c>
      <c r="C1134" s="3">
        <v>45223</v>
      </c>
      <c r="D1134" s="2" t="s">
        <v>2009</v>
      </c>
      <c r="E1134" s="2" t="s">
        <v>2096</v>
      </c>
      <c r="F1134" s="4">
        <v>4522.8599999999997</v>
      </c>
      <c r="G1134" s="5">
        <v>336.33</v>
      </c>
      <c r="H1134" s="6">
        <v>17</v>
      </c>
      <c r="I1134" s="2" t="s">
        <v>2116</v>
      </c>
      <c r="J1134" s="2" t="str">
        <v>Disintermediate Scalable Bandwidth</v>
      </c>
      <c r="K1134" s="2" t="str">
        <v>Electronics</v>
      </c>
      <c r="L1134" s="2" t="str">
        <v>Levy PLC</v>
      </c>
      <c r="M1134" s="2">
        <v>19.86</v>
      </c>
      <c r="N1134" s="16">
        <f t="shared" si="17"/>
        <v>7.4362239821705742E-2</v>
      </c>
    </row>
    <row r="1135" spans="2:14" ht="14.4" customHeight="1" x14ac:dyDescent="0.3">
      <c r="B1135" s="2" t="s">
        <v>1140</v>
      </c>
      <c r="C1135" s="3">
        <v>45405</v>
      </c>
      <c r="D1135" s="2" t="s">
        <v>2009</v>
      </c>
      <c r="E1135" s="2" t="s">
        <v>2047</v>
      </c>
      <c r="F1135" s="4">
        <v>2581.6</v>
      </c>
      <c r="G1135" s="5">
        <v>368.91</v>
      </c>
      <c r="H1135" s="6">
        <v>4</v>
      </c>
      <c r="I1135" s="2" t="s">
        <v>2116</v>
      </c>
      <c r="J1135" s="2" t="str">
        <v>Transform Holistic Functionalities</v>
      </c>
      <c r="K1135" s="2" t="str">
        <v>Office Supplies</v>
      </c>
      <c r="L1135" s="2" t="str">
        <v>Ruiz Ltd</v>
      </c>
      <c r="M1135" s="2">
        <v>179.27</v>
      </c>
      <c r="N1135" s="16">
        <f t="shared" si="17"/>
        <v>0.14289975209172609</v>
      </c>
    </row>
    <row r="1136" spans="2:14" ht="14.4" customHeight="1" x14ac:dyDescent="0.3">
      <c r="B1136" s="2" t="s">
        <v>1141</v>
      </c>
      <c r="C1136" s="3">
        <v>45504</v>
      </c>
      <c r="D1136" s="2" t="s">
        <v>2012</v>
      </c>
      <c r="E1136" s="2" t="s">
        <v>2053</v>
      </c>
      <c r="F1136" s="4">
        <v>332.8</v>
      </c>
      <c r="G1136" s="5">
        <v>840.24</v>
      </c>
      <c r="H1136" s="6">
        <v>19</v>
      </c>
      <c r="I1136" s="2" t="s">
        <v>2118</v>
      </c>
      <c r="J1136" s="2" t="str">
        <v>Transition Mission-Critical Interfaces</v>
      </c>
      <c r="K1136" s="2" t="str">
        <v>Office Supplies</v>
      </c>
      <c r="L1136" s="2" t="str">
        <v>Weaver Ltd</v>
      </c>
      <c r="M1136" s="2">
        <v>34.64</v>
      </c>
      <c r="N1136" s="16">
        <f t="shared" si="17"/>
        <v>2.5247596153846152</v>
      </c>
    </row>
    <row r="1137" spans="2:14" ht="14.4" customHeight="1" x14ac:dyDescent="0.3">
      <c r="B1137" s="2" t="s">
        <v>1142</v>
      </c>
      <c r="C1137" s="3">
        <v>44719</v>
      </c>
      <c r="D1137" s="2" t="s">
        <v>2010</v>
      </c>
      <c r="E1137" s="2" t="s">
        <v>2093</v>
      </c>
      <c r="F1137" s="4">
        <v>786.03</v>
      </c>
      <c r="G1137" s="5">
        <v>394.59</v>
      </c>
      <c r="H1137" s="6">
        <v>11</v>
      </c>
      <c r="I1137" s="2" t="s">
        <v>2116</v>
      </c>
      <c r="J1137" s="2" t="str">
        <v>Synergize Frictionless Synergies</v>
      </c>
      <c r="K1137" s="2" t="str">
        <v>Furniture</v>
      </c>
      <c r="L1137" s="2" t="str">
        <v>Hester and Sons</v>
      </c>
      <c r="M1137" s="2">
        <v>289.06</v>
      </c>
      <c r="N1137" s="16">
        <f t="shared" si="17"/>
        <v>0.50200374031525508</v>
      </c>
    </row>
    <row r="1138" spans="2:14" ht="14.4" customHeight="1" x14ac:dyDescent="0.3">
      <c r="B1138" s="2" t="s">
        <v>1143</v>
      </c>
      <c r="C1138" s="3">
        <v>44701</v>
      </c>
      <c r="D1138" s="2" t="s">
        <v>2009</v>
      </c>
      <c r="E1138" s="2" t="s">
        <v>2086</v>
      </c>
      <c r="F1138" s="4">
        <v>4062.45</v>
      </c>
      <c r="G1138" s="5">
        <v>332.92</v>
      </c>
      <c r="H1138" s="6">
        <v>17</v>
      </c>
      <c r="I1138" s="2" t="s">
        <v>2116</v>
      </c>
      <c r="J1138" s="2" t="str">
        <v>Harness Proactive Eyeballs</v>
      </c>
      <c r="K1138" s="2" t="str">
        <v>Electronics</v>
      </c>
      <c r="L1138" s="2" t="str">
        <v>Moran and Sons</v>
      </c>
      <c r="M1138" s="2">
        <v>58.01</v>
      </c>
      <c r="N1138" s="16">
        <f t="shared" si="17"/>
        <v>8.1950547083656428E-2</v>
      </c>
    </row>
    <row r="1139" spans="2:14" ht="14.4" customHeight="1" x14ac:dyDescent="0.3">
      <c r="B1139" s="2" t="s">
        <v>1144</v>
      </c>
      <c r="C1139" s="3">
        <v>45093</v>
      </c>
      <c r="D1139" s="2" t="s">
        <v>2010</v>
      </c>
      <c r="E1139" s="2" t="s">
        <v>2018</v>
      </c>
      <c r="F1139" s="4">
        <v>3211.32</v>
      </c>
      <c r="G1139" s="5">
        <v>666.57</v>
      </c>
      <c r="H1139" s="6">
        <v>5</v>
      </c>
      <c r="I1139" s="2" t="s">
        <v>2117</v>
      </c>
      <c r="J1139" s="2" t="str">
        <v>Deliver Sticky Networks</v>
      </c>
      <c r="K1139" s="2" t="str">
        <v>Furniture</v>
      </c>
      <c r="L1139" s="2" t="str">
        <v>Massey LLC</v>
      </c>
      <c r="M1139" s="2">
        <v>272.33</v>
      </c>
      <c r="N1139" s="16">
        <f t="shared" si="17"/>
        <v>0.20756885019244423</v>
      </c>
    </row>
    <row r="1140" spans="2:14" ht="14.4" customHeight="1" x14ac:dyDescent="0.3">
      <c r="B1140" s="2" t="s">
        <v>1145</v>
      </c>
      <c r="C1140" s="3">
        <v>45055</v>
      </c>
      <c r="D1140" s="2" t="s">
        <v>2010</v>
      </c>
      <c r="E1140" s="2" t="s">
        <v>2088</v>
      </c>
      <c r="F1140" s="4">
        <v>4620.1499999999996</v>
      </c>
      <c r="G1140" s="5">
        <v>431.71</v>
      </c>
      <c r="H1140" s="6">
        <v>11</v>
      </c>
      <c r="I1140" s="2" t="s">
        <v>2118</v>
      </c>
      <c r="J1140" s="2" t="str">
        <v>E-Enable Holistic Supply-Chains</v>
      </c>
      <c r="K1140" s="2" t="str">
        <v>Furniture</v>
      </c>
      <c r="L1140" s="2" t="str">
        <v>Lin-Mcdaniel</v>
      </c>
      <c r="M1140" s="2">
        <v>160.33000000000001</v>
      </c>
      <c r="N1140" s="16">
        <f t="shared" si="17"/>
        <v>9.3440689155114012E-2</v>
      </c>
    </row>
    <row r="1141" spans="2:14" ht="14.4" customHeight="1" x14ac:dyDescent="0.3">
      <c r="B1141" s="2" t="s">
        <v>1146</v>
      </c>
      <c r="C1141" s="3">
        <v>45286</v>
      </c>
      <c r="D1141" s="2" t="s">
        <v>2010</v>
      </c>
      <c r="E1141" s="2" t="s">
        <v>2112</v>
      </c>
      <c r="F1141" s="4">
        <v>4793.32</v>
      </c>
      <c r="G1141" s="5">
        <v>860.94</v>
      </c>
      <c r="H1141" s="6">
        <v>20</v>
      </c>
      <c r="I1141" s="2" t="s">
        <v>2118</v>
      </c>
      <c r="J1141" s="2" t="str">
        <v>Mesh B2B Platforms</v>
      </c>
      <c r="K1141" s="2" t="str">
        <v>Furniture</v>
      </c>
      <c r="L1141" s="2" t="str">
        <v>Stevens, Walton and Riddle</v>
      </c>
      <c r="M1141" s="2">
        <v>236.57</v>
      </c>
      <c r="N1141" s="16">
        <f t="shared" si="17"/>
        <v>0.17961246067443862</v>
      </c>
    </row>
    <row r="1142" spans="2:14" ht="14.4" customHeight="1" x14ac:dyDescent="0.3">
      <c r="B1142" s="2" t="s">
        <v>1147</v>
      </c>
      <c r="C1142" s="3">
        <v>43832</v>
      </c>
      <c r="D1142" s="2" t="s">
        <v>2012</v>
      </c>
      <c r="E1142" s="2" t="s">
        <v>2017</v>
      </c>
      <c r="F1142" s="4">
        <v>2518.69</v>
      </c>
      <c r="G1142" s="5">
        <v>686.54</v>
      </c>
      <c r="H1142" s="6">
        <v>13</v>
      </c>
      <c r="I1142" s="2" t="s">
        <v>2118</v>
      </c>
      <c r="J1142" s="2" t="str">
        <v>Target Bricks-And-Clicks Channels</v>
      </c>
      <c r="K1142" s="2" t="str">
        <v>Electronics</v>
      </c>
      <c r="L1142" s="2" t="str">
        <v>Dunn, Christensen and Meyer</v>
      </c>
      <c r="M1142" s="2">
        <v>126.86</v>
      </c>
      <c r="N1142" s="16">
        <f t="shared" si="17"/>
        <v>0.2725782053369013</v>
      </c>
    </row>
    <row r="1143" spans="2:14" ht="14.4" customHeight="1" x14ac:dyDescent="0.3">
      <c r="B1143" s="2" t="s">
        <v>1148</v>
      </c>
      <c r="C1143" s="3">
        <v>44728</v>
      </c>
      <c r="D1143" s="2" t="s">
        <v>2009</v>
      </c>
      <c r="E1143" s="2" t="s">
        <v>2088</v>
      </c>
      <c r="F1143" s="4">
        <v>2928.73</v>
      </c>
      <c r="G1143" s="5">
        <v>341.02</v>
      </c>
      <c r="H1143" s="6">
        <v>5</v>
      </c>
      <c r="I1143" s="2" t="s">
        <v>2118</v>
      </c>
      <c r="J1143" s="2" t="str">
        <v>E-Enable Holistic Supply-Chains</v>
      </c>
      <c r="K1143" s="2" t="str">
        <v>Furniture</v>
      </c>
      <c r="L1143" s="2" t="str">
        <v>Lin-Mcdaniel</v>
      </c>
      <c r="M1143" s="2">
        <v>160.33000000000001</v>
      </c>
      <c r="N1143" s="16">
        <f t="shared" si="17"/>
        <v>0.11643954888296291</v>
      </c>
    </row>
    <row r="1144" spans="2:14" ht="14.4" customHeight="1" x14ac:dyDescent="0.3">
      <c r="B1144" s="2" t="s">
        <v>1149</v>
      </c>
      <c r="C1144" s="3">
        <v>45454</v>
      </c>
      <c r="D1144" s="2" t="s">
        <v>2009</v>
      </c>
      <c r="E1144" s="2" t="s">
        <v>2066</v>
      </c>
      <c r="F1144" s="4">
        <v>3986.64</v>
      </c>
      <c r="G1144" s="5">
        <v>97.25</v>
      </c>
      <c r="H1144" s="6">
        <v>14</v>
      </c>
      <c r="I1144" s="2" t="s">
        <v>2116</v>
      </c>
      <c r="J1144" s="2" t="str">
        <v>Facilitate Integrated E-Business</v>
      </c>
      <c r="K1144" s="2" t="str">
        <v>Office Supplies</v>
      </c>
      <c r="L1144" s="2" t="str">
        <v>Chang-Vargas</v>
      </c>
      <c r="M1144" s="2">
        <v>130.33000000000001</v>
      </c>
      <c r="N1144" s="16">
        <f t="shared" si="17"/>
        <v>2.439397587943732E-2</v>
      </c>
    </row>
    <row r="1145" spans="2:14" ht="14.4" customHeight="1" x14ac:dyDescent="0.3">
      <c r="B1145" s="2" t="s">
        <v>1150</v>
      </c>
      <c r="C1145" s="3">
        <v>45089</v>
      </c>
      <c r="D1145" s="2" t="s">
        <v>2011</v>
      </c>
      <c r="E1145" s="2" t="s">
        <v>2052</v>
      </c>
      <c r="F1145" s="4">
        <v>4614</v>
      </c>
      <c r="G1145" s="5">
        <v>794.14</v>
      </c>
      <c r="H1145" s="6">
        <v>7</v>
      </c>
      <c r="I1145" s="2" t="s">
        <v>2118</v>
      </c>
      <c r="J1145" s="2" t="str">
        <v>Innovate Sticky Web Services</v>
      </c>
      <c r="K1145" s="2" t="str">
        <v>Electronics</v>
      </c>
      <c r="L1145" s="2" t="str">
        <v>Friedman, Sanders and Adams</v>
      </c>
      <c r="M1145" s="2">
        <v>125.85</v>
      </c>
      <c r="N1145" s="16">
        <f t="shared" si="17"/>
        <v>0.17211530125704377</v>
      </c>
    </row>
    <row r="1146" spans="2:14" ht="14.4" customHeight="1" x14ac:dyDescent="0.3">
      <c r="B1146" s="2" t="s">
        <v>1151</v>
      </c>
      <c r="C1146" s="3">
        <v>45576</v>
      </c>
      <c r="D1146" s="2" t="s">
        <v>2009</v>
      </c>
      <c r="E1146" s="2" t="s">
        <v>2086</v>
      </c>
      <c r="F1146" s="4">
        <v>4621.9799999999996</v>
      </c>
      <c r="G1146" s="5">
        <v>143.13999999999999</v>
      </c>
      <c r="H1146" s="6">
        <v>12</v>
      </c>
      <c r="I1146" s="2" t="s">
        <v>2116</v>
      </c>
      <c r="J1146" s="2" t="str">
        <v>Harness Proactive Eyeballs</v>
      </c>
      <c r="K1146" s="2" t="str">
        <v>Electronics</v>
      </c>
      <c r="L1146" s="2" t="str">
        <v>Moran and Sons</v>
      </c>
      <c r="M1146" s="2">
        <v>58.01</v>
      </c>
      <c r="N1146" s="16">
        <f t="shared" si="17"/>
        <v>3.096941137780778E-2</v>
      </c>
    </row>
    <row r="1147" spans="2:14" ht="14.4" customHeight="1" x14ac:dyDescent="0.3">
      <c r="B1147" s="2" t="s">
        <v>1152</v>
      </c>
      <c r="C1147" s="3">
        <v>43966</v>
      </c>
      <c r="D1147" s="2" t="s">
        <v>2010</v>
      </c>
      <c r="E1147" s="2" t="s">
        <v>2091</v>
      </c>
      <c r="F1147" s="4">
        <v>108.68</v>
      </c>
      <c r="G1147" s="5">
        <v>89.14</v>
      </c>
      <c r="H1147" s="6">
        <v>9</v>
      </c>
      <c r="I1147" s="2" t="s">
        <v>2118</v>
      </c>
      <c r="J1147" s="2" t="str">
        <v>Synthesize Scalable Portals</v>
      </c>
      <c r="K1147" s="2" t="str">
        <v>Furniture</v>
      </c>
      <c r="L1147" s="2" t="str">
        <v>Singh, Villa and Flynn</v>
      </c>
      <c r="M1147" s="2">
        <v>298.57</v>
      </c>
      <c r="N1147" s="16">
        <f t="shared" si="17"/>
        <v>0.82020610967979379</v>
      </c>
    </row>
    <row r="1148" spans="2:14" ht="14.4" customHeight="1" x14ac:dyDescent="0.3">
      <c r="B1148" s="2" t="s">
        <v>1153</v>
      </c>
      <c r="C1148" s="3">
        <v>44780</v>
      </c>
      <c r="D1148" s="2" t="s">
        <v>2012</v>
      </c>
      <c r="E1148" s="2" t="s">
        <v>2020</v>
      </c>
      <c r="F1148" s="4">
        <v>3295.81</v>
      </c>
      <c r="G1148" s="5">
        <v>10.83</v>
      </c>
      <c r="H1148" s="6">
        <v>10</v>
      </c>
      <c r="I1148" s="2" t="s">
        <v>2116</v>
      </c>
      <c r="J1148" s="2" t="str">
        <v>Harness Revolutionary Interfaces</v>
      </c>
      <c r="K1148" s="2" t="str">
        <v>Furniture</v>
      </c>
      <c r="L1148" s="2" t="str">
        <v>Davis, Short and Nguyen</v>
      </c>
      <c r="M1148" s="2">
        <v>26.49</v>
      </c>
      <c r="N1148" s="16">
        <f t="shared" si="17"/>
        <v>3.2859903938637241E-3</v>
      </c>
    </row>
    <row r="1149" spans="2:14" ht="14.4" customHeight="1" x14ac:dyDescent="0.3">
      <c r="B1149" s="2" t="s">
        <v>1154</v>
      </c>
      <c r="C1149" s="3">
        <v>44392</v>
      </c>
      <c r="D1149" s="2" t="s">
        <v>2012</v>
      </c>
      <c r="E1149" s="2" t="s">
        <v>2070</v>
      </c>
      <c r="F1149" s="4">
        <v>1951.45</v>
      </c>
      <c r="G1149" s="5">
        <v>911.58</v>
      </c>
      <c r="H1149" s="6">
        <v>15</v>
      </c>
      <c r="I1149" s="2" t="s">
        <v>2116</v>
      </c>
      <c r="J1149" s="2" t="str">
        <v>Seize Plug-And-Play Web-Readiness</v>
      </c>
      <c r="K1149" s="2" t="str">
        <v>Electronics</v>
      </c>
      <c r="L1149" s="2" t="str">
        <v>Joseph, Mayer and Carr</v>
      </c>
      <c r="M1149" s="2">
        <v>102.73</v>
      </c>
      <c r="N1149" s="16">
        <f t="shared" si="17"/>
        <v>0.46712957031950603</v>
      </c>
    </row>
    <row r="1150" spans="2:14" ht="14.4" customHeight="1" x14ac:dyDescent="0.3">
      <c r="B1150" s="2" t="s">
        <v>1155</v>
      </c>
      <c r="C1150" s="3">
        <v>44002</v>
      </c>
      <c r="D1150" s="2" t="s">
        <v>2009</v>
      </c>
      <c r="E1150" s="2" t="s">
        <v>2089</v>
      </c>
      <c r="F1150" s="4">
        <v>3428.44</v>
      </c>
      <c r="G1150" s="5">
        <v>518.95000000000005</v>
      </c>
      <c r="H1150" s="6">
        <v>10</v>
      </c>
      <c r="I1150" s="2" t="s">
        <v>2118</v>
      </c>
      <c r="J1150" s="2" t="str">
        <v>Morph World-Class Synergies</v>
      </c>
      <c r="K1150" s="2" t="str">
        <v>Electronics</v>
      </c>
      <c r="L1150" s="2" t="str">
        <v>Bryant Ltd</v>
      </c>
      <c r="M1150" s="2">
        <v>20.69</v>
      </c>
      <c r="N1150" s="16">
        <f t="shared" si="17"/>
        <v>0.15136621903839648</v>
      </c>
    </row>
    <row r="1151" spans="2:14" ht="14.4" customHeight="1" x14ac:dyDescent="0.3">
      <c r="B1151" s="2" t="s">
        <v>1156</v>
      </c>
      <c r="C1151" s="3">
        <v>43972</v>
      </c>
      <c r="D1151" s="2" t="s">
        <v>2009</v>
      </c>
      <c r="E1151" s="2" t="s">
        <v>2069</v>
      </c>
      <c r="F1151" s="4">
        <v>3031.02</v>
      </c>
      <c r="G1151" s="5">
        <v>213.98</v>
      </c>
      <c r="H1151" s="6">
        <v>10</v>
      </c>
      <c r="I1151" s="2" t="s">
        <v>2116</v>
      </c>
      <c r="J1151" s="2" t="str">
        <v>Optimize Transparent E-Markets</v>
      </c>
      <c r="K1151" s="2" t="str">
        <v>Office Supplies</v>
      </c>
      <c r="L1151" s="2" t="str">
        <v>Lee, Tyler and Blevins</v>
      </c>
      <c r="M1151" s="2">
        <v>111.22</v>
      </c>
      <c r="N1151" s="16">
        <f t="shared" si="17"/>
        <v>7.0596696821532023E-2</v>
      </c>
    </row>
    <row r="1152" spans="2:14" ht="14.4" customHeight="1" x14ac:dyDescent="0.3">
      <c r="B1152" s="2" t="s">
        <v>1157</v>
      </c>
      <c r="C1152" s="3">
        <v>45169</v>
      </c>
      <c r="D1152" s="2" t="s">
        <v>2010</v>
      </c>
      <c r="E1152" s="2" t="s">
        <v>2102</v>
      </c>
      <c r="F1152" s="4">
        <v>4447.41</v>
      </c>
      <c r="G1152" s="5">
        <v>184.32</v>
      </c>
      <c r="H1152" s="6">
        <v>10</v>
      </c>
      <c r="I1152" s="2" t="s">
        <v>2118</v>
      </c>
      <c r="J1152" s="2" t="str">
        <v>Re-Contextualize Viral Mindshare</v>
      </c>
      <c r="K1152" s="2" t="str">
        <v>Electronics</v>
      </c>
      <c r="L1152" s="2" t="str">
        <v>Carter-Lane</v>
      </c>
      <c r="M1152" s="2">
        <v>142.25</v>
      </c>
      <c r="N1152" s="16">
        <f t="shared" si="17"/>
        <v>4.1444346259958041E-2</v>
      </c>
    </row>
    <row r="1153" spans="2:14" ht="14.4" customHeight="1" x14ac:dyDescent="0.3">
      <c r="B1153" s="2" t="s">
        <v>1158</v>
      </c>
      <c r="C1153" s="3">
        <v>44751</v>
      </c>
      <c r="D1153" s="2" t="s">
        <v>2009</v>
      </c>
      <c r="E1153" s="2" t="s">
        <v>2021</v>
      </c>
      <c r="F1153" s="4">
        <v>4574.1499999999996</v>
      </c>
      <c r="G1153" s="5">
        <v>228.77</v>
      </c>
      <c r="H1153" s="6">
        <v>8</v>
      </c>
      <c r="I1153" s="2" t="s">
        <v>2117</v>
      </c>
      <c r="J1153" s="2" t="str">
        <v>Whiteboard Compelling Experiences</v>
      </c>
      <c r="K1153" s="2" t="str">
        <v>Furniture</v>
      </c>
      <c r="L1153" s="2" t="str">
        <v>Carrillo, Carr and Ball</v>
      </c>
      <c r="M1153" s="2">
        <v>206.54</v>
      </c>
      <c r="N1153" s="16">
        <f t="shared" si="17"/>
        <v>5.0013663740804307E-2</v>
      </c>
    </row>
    <row r="1154" spans="2:14" ht="14.4" customHeight="1" x14ac:dyDescent="0.3">
      <c r="B1154" s="2" t="s">
        <v>1159</v>
      </c>
      <c r="C1154" s="3">
        <v>44928</v>
      </c>
      <c r="D1154" s="2" t="s">
        <v>2012</v>
      </c>
      <c r="E1154" s="2" t="s">
        <v>2108</v>
      </c>
      <c r="F1154" s="4">
        <v>2380.11</v>
      </c>
      <c r="G1154" s="5">
        <v>41.74</v>
      </c>
      <c r="H1154" s="6">
        <v>12</v>
      </c>
      <c r="I1154" s="2" t="s">
        <v>2117</v>
      </c>
      <c r="J1154" s="2" t="str">
        <v>Whiteboard B2B Content</v>
      </c>
      <c r="K1154" s="2" t="str">
        <v>Office Supplies</v>
      </c>
      <c r="L1154" s="2" t="str">
        <v>Romero PLC</v>
      </c>
      <c r="M1154" s="2">
        <v>93.81</v>
      </c>
      <c r="N1154" s="16">
        <f t="shared" si="17"/>
        <v>1.7537004592224729E-2</v>
      </c>
    </row>
    <row r="1155" spans="2:14" ht="14.4" customHeight="1" x14ac:dyDescent="0.3">
      <c r="B1155" s="2" t="s">
        <v>1160</v>
      </c>
      <c r="C1155" s="3">
        <v>44737</v>
      </c>
      <c r="D1155" s="2" t="s">
        <v>2012</v>
      </c>
      <c r="E1155" s="2" t="s">
        <v>2016</v>
      </c>
      <c r="F1155" s="4">
        <v>1935.17</v>
      </c>
      <c r="G1155" s="5">
        <v>253.26</v>
      </c>
      <c r="H1155" s="6">
        <v>3</v>
      </c>
      <c r="I1155" s="2" t="s">
        <v>2116</v>
      </c>
      <c r="J1155" s="2" t="str">
        <v>Revolutionize Efficient Niches</v>
      </c>
      <c r="K1155" s="2" t="str">
        <v>Electronics</v>
      </c>
      <c r="L1155" s="2" t="str">
        <v>Lopez-Torres</v>
      </c>
      <c r="M1155" s="2">
        <v>23.02</v>
      </c>
      <c r="N1155" s="16">
        <f t="shared" si="17"/>
        <v>0.13087222311218136</v>
      </c>
    </row>
    <row r="1156" spans="2:14" ht="14.4" customHeight="1" x14ac:dyDescent="0.3">
      <c r="B1156" s="2" t="s">
        <v>1161</v>
      </c>
      <c r="C1156" s="3">
        <v>44336</v>
      </c>
      <c r="D1156" s="2" t="s">
        <v>2011</v>
      </c>
      <c r="E1156" s="2" t="s">
        <v>2069</v>
      </c>
      <c r="F1156" s="4">
        <v>3041.25</v>
      </c>
      <c r="G1156" s="5">
        <v>289.45999999999998</v>
      </c>
      <c r="H1156" s="6">
        <v>3</v>
      </c>
      <c r="I1156" s="2" t="s">
        <v>2117</v>
      </c>
      <c r="J1156" s="2" t="str">
        <v>Optimize Transparent E-Markets</v>
      </c>
      <c r="K1156" s="2" t="str">
        <v>Office Supplies</v>
      </c>
      <c r="L1156" s="2" t="str">
        <v>Lee, Tyler and Blevins</v>
      </c>
      <c r="M1156" s="2">
        <v>111.22</v>
      </c>
      <c r="N1156" s="16">
        <f t="shared" si="17"/>
        <v>9.5177969584874636E-2</v>
      </c>
    </row>
    <row r="1157" spans="2:14" ht="14.4" customHeight="1" x14ac:dyDescent="0.3">
      <c r="B1157" s="2" t="s">
        <v>1162</v>
      </c>
      <c r="C1157" s="3">
        <v>45310</v>
      </c>
      <c r="D1157" s="2" t="s">
        <v>2011</v>
      </c>
      <c r="E1157" s="2" t="s">
        <v>2101</v>
      </c>
      <c r="F1157" s="4">
        <v>4469.99</v>
      </c>
      <c r="G1157" s="5">
        <v>740.86</v>
      </c>
      <c r="H1157" s="6">
        <v>8</v>
      </c>
      <c r="I1157" s="2" t="s">
        <v>2117</v>
      </c>
      <c r="J1157" s="2" t="str">
        <v>Deploy Granular Channels</v>
      </c>
      <c r="K1157" s="2" t="str">
        <v>Furniture</v>
      </c>
      <c r="L1157" s="2" t="str">
        <v>Barnes Ltd</v>
      </c>
      <c r="M1157" s="2">
        <v>288.99</v>
      </c>
      <c r="N1157" s="16">
        <f t="shared" ref="N1157:N1220" si="18">(G1157/F1157)</f>
        <v>0.16574086295495069</v>
      </c>
    </row>
    <row r="1158" spans="2:14" ht="14.4" customHeight="1" x14ac:dyDescent="0.3">
      <c r="B1158" s="2" t="s">
        <v>1163</v>
      </c>
      <c r="C1158" s="3">
        <v>44797</v>
      </c>
      <c r="D1158" s="2" t="s">
        <v>2012</v>
      </c>
      <c r="E1158" s="2" t="s">
        <v>2047</v>
      </c>
      <c r="F1158" s="4">
        <v>4139.75</v>
      </c>
      <c r="G1158" s="5">
        <v>890.63</v>
      </c>
      <c r="H1158" s="6">
        <v>6</v>
      </c>
      <c r="I1158" s="2" t="s">
        <v>2116</v>
      </c>
      <c r="J1158" s="2" t="str">
        <v>Transform Holistic Functionalities</v>
      </c>
      <c r="K1158" s="2" t="str">
        <v>Office Supplies</v>
      </c>
      <c r="L1158" s="2" t="str">
        <v>Ruiz Ltd</v>
      </c>
      <c r="M1158" s="2">
        <v>179.27</v>
      </c>
      <c r="N1158" s="16">
        <f t="shared" si="18"/>
        <v>0.21514101093061175</v>
      </c>
    </row>
    <row r="1159" spans="2:14" ht="14.4" customHeight="1" x14ac:dyDescent="0.3">
      <c r="B1159" s="2" t="s">
        <v>1164</v>
      </c>
      <c r="C1159" s="3">
        <v>44680</v>
      </c>
      <c r="D1159" s="2" t="s">
        <v>2010</v>
      </c>
      <c r="E1159" s="2" t="s">
        <v>2112</v>
      </c>
      <c r="F1159" s="4">
        <v>2309.19</v>
      </c>
      <c r="G1159" s="5">
        <v>89.55</v>
      </c>
      <c r="H1159" s="6">
        <v>10</v>
      </c>
      <c r="I1159" s="2" t="s">
        <v>2117</v>
      </c>
      <c r="J1159" s="2" t="str">
        <v>Mesh B2B Platforms</v>
      </c>
      <c r="K1159" s="2" t="str">
        <v>Furniture</v>
      </c>
      <c r="L1159" s="2" t="str">
        <v>Stevens, Walton and Riddle</v>
      </c>
      <c r="M1159" s="2">
        <v>236.57</v>
      </c>
      <c r="N1159" s="16">
        <f t="shared" si="18"/>
        <v>3.8779831889103972E-2</v>
      </c>
    </row>
    <row r="1160" spans="2:14" ht="14.4" customHeight="1" x14ac:dyDescent="0.3">
      <c r="B1160" s="2" t="s">
        <v>1165</v>
      </c>
      <c r="C1160" s="3">
        <v>44246</v>
      </c>
      <c r="D1160" s="2" t="s">
        <v>2012</v>
      </c>
      <c r="E1160" s="2" t="s">
        <v>2027</v>
      </c>
      <c r="F1160" s="4">
        <v>1899.34</v>
      </c>
      <c r="G1160" s="5">
        <v>533.96</v>
      </c>
      <c r="H1160" s="6">
        <v>1</v>
      </c>
      <c r="I1160" s="2" t="s">
        <v>2116</v>
      </c>
      <c r="J1160" s="2" t="str">
        <v>Monetize Value-Added Niches</v>
      </c>
      <c r="K1160" s="2" t="str">
        <v>Office Supplies</v>
      </c>
      <c r="L1160" s="2" t="str">
        <v>Foster, Velazquez and Lee</v>
      </c>
      <c r="M1160" s="2">
        <v>171.51</v>
      </c>
      <c r="N1160" s="16">
        <f t="shared" si="18"/>
        <v>0.28112923436562176</v>
      </c>
    </row>
    <row r="1161" spans="2:14" ht="14.4" customHeight="1" x14ac:dyDescent="0.3">
      <c r="B1161" s="2" t="s">
        <v>1166</v>
      </c>
      <c r="C1161" s="3">
        <v>44443</v>
      </c>
      <c r="D1161" s="2" t="s">
        <v>2009</v>
      </c>
      <c r="E1161" s="2" t="s">
        <v>2105</v>
      </c>
      <c r="F1161" s="4">
        <v>4929.1499999999996</v>
      </c>
      <c r="G1161" s="5">
        <v>127.76</v>
      </c>
      <c r="H1161" s="6">
        <v>20</v>
      </c>
      <c r="I1161" s="2" t="s">
        <v>2117</v>
      </c>
      <c r="J1161" s="2" t="str">
        <v>Brand B2C Info-Mediaries</v>
      </c>
      <c r="K1161" s="2" t="str">
        <v>Office Supplies</v>
      </c>
      <c r="L1161" s="2" t="str">
        <v>Preston Ltd</v>
      </c>
      <c r="M1161" s="2">
        <v>13.46</v>
      </c>
      <c r="N1161" s="16">
        <f t="shared" si="18"/>
        <v>2.5919276142945542E-2</v>
      </c>
    </row>
    <row r="1162" spans="2:14" ht="14.4" customHeight="1" x14ac:dyDescent="0.3">
      <c r="B1162" s="2" t="s">
        <v>1167</v>
      </c>
      <c r="C1162" s="3">
        <v>44772</v>
      </c>
      <c r="D1162" s="2" t="s">
        <v>2010</v>
      </c>
      <c r="E1162" s="2" t="s">
        <v>2039</v>
      </c>
      <c r="F1162" s="4">
        <v>2750.97</v>
      </c>
      <c r="G1162" s="5">
        <v>938.72</v>
      </c>
      <c r="H1162" s="6">
        <v>20</v>
      </c>
      <c r="I1162" s="2" t="s">
        <v>2117</v>
      </c>
      <c r="J1162" s="2" t="str">
        <v>Empower Dot-Com Deliverables</v>
      </c>
      <c r="K1162" s="2" t="str">
        <v>Electronics</v>
      </c>
      <c r="L1162" s="2" t="str">
        <v>Davis LLC</v>
      </c>
      <c r="M1162" s="2">
        <v>250.66</v>
      </c>
      <c r="N1162" s="16">
        <f t="shared" si="18"/>
        <v>0.34123236531114481</v>
      </c>
    </row>
    <row r="1163" spans="2:14" ht="14.4" customHeight="1" x14ac:dyDescent="0.3">
      <c r="B1163" s="2" t="s">
        <v>1168</v>
      </c>
      <c r="C1163" s="3">
        <v>44422</v>
      </c>
      <c r="D1163" s="2" t="s">
        <v>2011</v>
      </c>
      <c r="E1163" s="2" t="s">
        <v>2077</v>
      </c>
      <c r="F1163" s="4">
        <v>158.53</v>
      </c>
      <c r="G1163" s="5">
        <v>402.51</v>
      </c>
      <c r="H1163" s="6">
        <v>14</v>
      </c>
      <c r="I1163" s="2" t="s">
        <v>2116</v>
      </c>
      <c r="J1163" s="2" t="str">
        <v>Synthesize Wireless Initiatives</v>
      </c>
      <c r="K1163" s="2" t="str">
        <v>Electronics</v>
      </c>
      <c r="L1163" s="2" t="str">
        <v>Mosley Ltd</v>
      </c>
      <c r="M1163" s="2">
        <v>162.69999999999999</v>
      </c>
      <c r="N1163" s="16">
        <f t="shared" si="18"/>
        <v>2.5390146975335899</v>
      </c>
    </row>
    <row r="1164" spans="2:14" ht="14.4" customHeight="1" x14ac:dyDescent="0.3">
      <c r="B1164" s="2" t="s">
        <v>1169</v>
      </c>
      <c r="C1164" s="3">
        <v>45529</v>
      </c>
      <c r="D1164" s="2" t="s">
        <v>2012</v>
      </c>
      <c r="E1164" s="2" t="s">
        <v>2095</v>
      </c>
      <c r="F1164" s="4">
        <v>4466.58</v>
      </c>
      <c r="G1164" s="5">
        <v>170.64</v>
      </c>
      <c r="H1164" s="6">
        <v>3</v>
      </c>
      <c r="I1164" s="2" t="s">
        <v>2116</v>
      </c>
      <c r="J1164" s="2" t="str">
        <v>Envisioneer B2B Users</v>
      </c>
      <c r="K1164" s="2" t="str">
        <v>Office Supplies</v>
      </c>
      <c r="L1164" s="2" t="str">
        <v>Rogers Group</v>
      </c>
      <c r="M1164" s="2">
        <v>239.16</v>
      </c>
      <c r="N1164" s="16">
        <f t="shared" si="18"/>
        <v>3.8203726340958852E-2</v>
      </c>
    </row>
    <row r="1165" spans="2:14" ht="14.4" customHeight="1" x14ac:dyDescent="0.3">
      <c r="B1165" s="2" t="s">
        <v>1170</v>
      </c>
      <c r="C1165" s="3">
        <v>45015</v>
      </c>
      <c r="D1165" s="2" t="s">
        <v>2011</v>
      </c>
      <c r="E1165" s="2" t="s">
        <v>2087</v>
      </c>
      <c r="F1165" s="4">
        <v>3828.6</v>
      </c>
      <c r="G1165" s="5">
        <v>599.86</v>
      </c>
      <c r="H1165" s="6">
        <v>17</v>
      </c>
      <c r="I1165" s="2" t="s">
        <v>2118</v>
      </c>
      <c r="J1165" s="2" t="str">
        <v>Empower Seamless Roi</v>
      </c>
      <c r="K1165" s="2" t="str">
        <v>Office Supplies</v>
      </c>
      <c r="L1165" s="2" t="str">
        <v>Proctor Group</v>
      </c>
      <c r="M1165" s="2">
        <v>266.64999999999998</v>
      </c>
      <c r="N1165" s="16">
        <f t="shared" si="18"/>
        <v>0.15667868150237685</v>
      </c>
    </row>
    <row r="1166" spans="2:14" ht="14.4" customHeight="1" x14ac:dyDescent="0.3">
      <c r="B1166" s="2" t="s">
        <v>1171</v>
      </c>
      <c r="C1166" s="3">
        <v>45553</v>
      </c>
      <c r="D1166" s="2" t="s">
        <v>2011</v>
      </c>
      <c r="E1166" s="2" t="s">
        <v>2023</v>
      </c>
      <c r="F1166" s="4">
        <v>2671.97</v>
      </c>
      <c r="G1166" s="5">
        <v>10.36</v>
      </c>
      <c r="H1166" s="6">
        <v>2</v>
      </c>
      <c r="I1166" s="2" t="s">
        <v>2117</v>
      </c>
      <c r="J1166" s="2" t="str">
        <v>Leverage Cutting-Edge Vortals</v>
      </c>
      <c r="K1166" s="2" t="str">
        <v>Electronics</v>
      </c>
      <c r="L1166" s="2" t="str">
        <v>Robinson, Garrett and Chavez</v>
      </c>
      <c r="M1166" s="2">
        <v>117.3</v>
      </c>
      <c r="N1166" s="16">
        <f t="shared" si="18"/>
        <v>3.8772890414188782E-3</v>
      </c>
    </row>
    <row r="1167" spans="2:14" ht="14.4" customHeight="1" x14ac:dyDescent="0.3">
      <c r="B1167" s="2" t="s">
        <v>1172</v>
      </c>
      <c r="C1167" s="3">
        <v>44152</v>
      </c>
      <c r="D1167" s="2" t="s">
        <v>2011</v>
      </c>
      <c r="E1167" s="2" t="s">
        <v>2068</v>
      </c>
      <c r="F1167" s="4">
        <v>2891</v>
      </c>
      <c r="G1167" s="5">
        <v>125.64</v>
      </c>
      <c r="H1167" s="6">
        <v>4</v>
      </c>
      <c r="I1167" s="2" t="s">
        <v>2116</v>
      </c>
      <c r="J1167" s="2" t="str">
        <v>E-Enable Virtual Methodologies</v>
      </c>
      <c r="K1167" s="2" t="str">
        <v>Office Supplies</v>
      </c>
      <c r="L1167" s="2" t="str">
        <v>Floyd-Love</v>
      </c>
      <c r="M1167" s="2">
        <v>283.64999999999998</v>
      </c>
      <c r="N1167" s="16">
        <f t="shared" si="18"/>
        <v>4.345901072293324E-2</v>
      </c>
    </row>
    <row r="1168" spans="2:14" ht="14.4" customHeight="1" x14ac:dyDescent="0.3">
      <c r="B1168" s="2" t="s">
        <v>1173</v>
      </c>
      <c r="C1168" s="3">
        <v>44201</v>
      </c>
      <c r="D1168" s="2" t="s">
        <v>2009</v>
      </c>
      <c r="E1168" s="2" t="s">
        <v>2075</v>
      </c>
      <c r="F1168" s="4">
        <v>2815.77</v>
      </c>
      <c r="G1168" s="5">
        <v>745.59</v>
      </c>
      <c r="H1168" s="6">
        <v>5</v>
      </c>
      <c r="I1168" s="2" t="s">
        <v>2116</v>
      </c>
      <c r="J1168" s="2" t="str">
        <v>Reinvent Visionary Niches</v>
      </c>
      <c r="K1168" s="2" t="str">
        <v>Furniture</v>
      </c>
      <c r="L1168" s="2" t="str">
        <v>Huber-Richmond</v>
      </c>
      <c r="M1168" s="2">
        <v>219.81</v>
      </c>
      <c r="N1168" s="16">
        <f t="shared" si="18"/>
        <v>0.26479080322611576</v>
      </c>
    </row>
    <row r="1169" spans="2:14" ht="14.4" customHeight="1" x14ac:dyDescent="0.3">
      <c r="B1169" s="2" t="s">
        <v>1174</v>
      </c>
      <c r="C1169" s="3">
        <v>45138</v>
      </c>
      <c r="D1169" s="2" t="s">
        <v>2012</v>
      </c>
      <c r="E1169" s="2" t="s">
        <v>2107</v>
      </c>
      <c r="F1169" s="4">
        <v>3984.11</v>
      </c>
      <c r="G1169" s="5">
        <v>199.75</v>
      </c>
      <c r="H1169" s="6">
        <v>7</v>
      </c>
      <c r="I1169" s="2" t="s">
        <v>2117</v>
      </c>
      <c r="J1169" s="2" t="str">
        <v>Extend Bricks-And-Clicks Niches</v>
      </c>
      <c r="K1169" s="2" t="str">
        <v>Office Supplies</v>
      </c>
      <c r="L1169" s="2" t="str">
        <v>Hernandez-Rios</v>
      </c>
      <c r="M1169" s="2">
        <v>65.989999999999995</v>
      </c>
      <c r="N1169" s="16">
        <f t="shared" si="18"/>
        <v>5.0136667913285526E-2</v>
      </c>
    </row>
    <row r="1170" spans="2:14" ht="14.4" customHeight="1" x14ac:dyDescent="0.3">
      <c r="B1170" s="2" t="s">
        <v>1175</v>
      </c>
      <c r="C1170" s="3">
        <v>45470</v>
      </c>
      <c r="D1170" s="2" t="s">
        <v>2009</v>
      </c>
      <c r="E1170" s="2" t="s">
        <v>2035</v>
      </c>
      <c r="F1170" s="4">
        <v>2701.29</v>
      </c>
      <c r="G1170" s="5">
        <v>161.25</v>
      </c>
      <c r="H1170" s="6">
        <v>10</v>
      </c>
      <c r="I1170" s="2" t="s">
        <v>2116</v>
      </c>
      <c r="J1170" s="2" t="str">
        <v>Optimize 24/365 E-Services</v>
      </c>
      <c r="K1170" s="2" t="str">
        <v>Office Supplies</v>
      </c>
      <c r="L1170" s="2" t="str">
        <v>Chase Ltd</v>
      </c>
      <c r="M1170" s="2">
        <v>100.35</v>
      </c>
      <c r="N1170" s="16">
        <f t="shared" si="18"/>
        <v>5.9693701897982079E-2</v>
      </c>
    </row>
    <row r="1171" spans="2:14" ht="14.4" customHeight="1" x14ac:dyDescent="0.3">
      <c r="B1171" s="2" t="s">
        <v>1176</v>
      </c>
      <c r="C1171" s="3">
        <v>45602</v>
      </c>
      <c r="D1171" s="2" t="s">
        <v>2011</v>
      </c>
      <c r="E1171" s="2" t="s">
        <v>2102</v>
      </c>
      <c r="F1171" s="4">
        <v>4065.86</v>
      </c>
      <c r="G1171" s="5">
        <v>597.71</v>
      </c>
      <c r="H1171" s="6">
        <v>13</v>
      </c>
      <c r="I1171" s="2" t="s">
        <v>2116</v>
      </c>
      <c r="J1171" s="2" t="str">
        <v>Re-Contextualize Viral Mindshare</v>
      </c>
      <c r="K1171" s="2" t="str">
        <v>Electronics</v>
      </c>
      <c r="L1171" s="2" t="str">
        <v>Carter-Lane</v>
      </c>
      <c r="M1171" s="2">
        <v>142.25</v>
      </c>
      <c r="N1171" s="16">
        <f t="shared" si="18"/>
        <v>0.14700702926318171</v>
      </c>
    </row>
    <row r="1172" spans="2:14" ht="14.4" customHeight="1" x14ac:dyDescent="0.3">
      <c r="B1172" s="2" t="s">
        <v>1177</v>
      </c>
      <c r="C1172" s="3">
        <v>44596</v>
      </c>
      <c r="D1172" s="2" t="s">
        <v>2009</v>
      </c>
      <c r="E1172" s="2" t="s">
        <v>2051</v>
      </c>
      <c r="F1172" s="4">
        <v>1390.65</v>
      </c>
      <c r="G1172" s="5">
        <v>702.36</v>
      </c>
      <c r="H1172" s="6">
        <v>3</v>
      </c>
      <c r="I1172" s="2" t="s">
        <v>2118</v>
      </c>
      <c r="J1172" s="2" t="str">
        <v>Generate Front-End Functionalities</v>
      </c>
      <c r="K1172" s="2" t="str">
        <v>Office Supplies</v>
      </c>
      <c r="L1172" s="2" t="str">
        <v>Morales-Brown</v>
      </c>
      <c r="M1172" s="2">
        <v>299.77</v>
      </c>
      <c r="N1172" s="16">
        <f t="shared" si="18"/>
        <v>0.50505878546003669</v>
      </c>
    </row>
    <row r="1173" spans="2:14" ht="14.4" customHeight="1" x14ac:dyDescent="0.3">
      <c r="B1173" s="2" t="s">
        <v>1178</v>
      </c>
      <c r="C1173" s="3">
        <v>44956</v>
      </c>
      <c r="D1173" s="2" t="s">
        <v>2011</v>
      </c>
      <c r="E1173" s="2" t="s">
        <v>2043</v>
      </c>
      <c r="F1173" s="4">
        <v>1617.19</v>
      </c>
      <c r="G1173" s="5">
        <v>95.84</v>
      </c>
      <c r="H1173" s="6">
        <v>1</v>
      </c>
      <c r="I1173" s="2" t="s">
        <v>2116</v>
      </c>
      <c r="J1173" s="2" t="str">
        <v>Brand Distributed Info-Mediaries</v>
      </c>
      <c r="K1173" s="2" t="str">
        <v>Furniture</v>
      </c>
      <c r="L1173" s="2" t="str">
        <v>Garcia Ltd</v>
      </c>
      <c r="M1173" s="2">
        <v>114.48</v>
      </c>
      <c r="N1173" s="16">
        <f t="shared" si="18"/>
        <v>5.9263290027764211E-2</v>
      </c>
    </row>
    <row r="1174" spans="2:14" ht="14.4" customHeight="1" x14ac:dyDescent="0.3">
      <c r="B1174" s="2" t="s">
        <v>1179</v>
      </c>
      <c r="C1174" s="3">
        <v>43894</v>
      </c>
      <c r="D1174" s="2" t="s">
        <v>2011</v>
      </c>
      <c r="E1174" s="2" t="s">
        <v>2038</v>
      </c>
      <c r="F1174" s="4">
        <v>3712.63</v>
      </c>
      <c r="G1174" s="5">
        <v>331.77</v>
      </c>
      <c r="H1174" s="6">
        <v>5</v>
      </c>
      <c r="I1174" s="2" t="s">
        <v>2116</v>
      </c>
      <c r="J1174" s="2" t="str">
        <v>Reinvent Mission-Critical Markets</v>
      </c>
      <c r="K1174" s="2" t="str">
        <v>Furniture</v>
      </c>
      <c r="L1174" s="2" t="str">
        <v>Gilbert-Sanders</v>
      </c>
      <c r="M1174" s="2">
        <v>154.21</v>
      </c>
      <c r="N1174" s="16">
        <f t="shared" si="18"/>
        <v>8.936252737277886E-2</v>
      </c>
    </row>
    <row r="1175" spans="2:14" ht="14.4" customHeight="1" x14ac:dyDescent="0.3">
      <c r="B1175" s="2" t="s">
        <v>1180</v>
      </c>
      <c r="C1175" s="3">
        <v>45370</v>
      </c>
      <c r="D1175" s="2" t="s">
        <v>2011</v>
      </c>
      <c r="E1175" s="2" t="s">
        <v>2111</v>
      </c>
      <c r="F1175" s="4">
        <v>2552.1</v>
      </c>
      <c r="G1175" s="5">
        <v>26.73</v>
      </c>
      <c r="H1175" s="6">
        <v>10</v>
      </c>
      <c r="I1175" s="2" t="s">
        <v>2118</v>
      </c>
      <c r="J1175" s="2" t="str">
        <v>Evolve Intuitive Bandwidth</v>
      </c>
      <c r="K1175" s="2" t="str">
        <v>Office Supplies</v>
      </c>
      <c r="L1175" s="2" t="str">
        <v>Rogers Group</v>
      </c>
      <c r="M1175" s="2">
        <v>131.63</v>
      </c>
      <c r="N1175" s="16">
        <f t="shared" si="18"/>
        <v>1.0473727518514166E-2</v>
      </c>
    </row>
    <row r="1176" spans="2:14" ht="14.4" customHeight="1" x14ac:dyDescent="0.3">
      <c r="B1176" s="2" t="s">
        <v>1181</v>
      </c>
      <c r="C1176" s="3">
        <v>43834</v>
      </c>
      <c r="D1176" s="2" t="s">
        <v>2009</v>
      </c>
      <c r="E1176" s="2" t="s">
        <v>2104</v>
      </c>
      <c r="F1176" s="4">
        <v>1723.79</v>
      </c>
      <c r="G1176" s="5">
        <v>718.16</v>
      </c>
      <c r="H1176" s="6">
        <v>1</v>
      </c>
      <c r="I1176" s="2" t="s">
        <v>2118</v>
      </c>
      <c r="J1176" s="2" t="str">
        <v>Scale Cross-Platform Web Services</v>
      </c>
      <c r="K1176" s="2" t="str">
        <v>Furniture</v>
      </c>
      <c r="L1176" s="2" t="str">
        <v>Morrow, Brock and Lewis</v>
      </c>
      <c r="M1176" s="2">
        <v>115.21</v>
      </c>
      <c r="N1176" s="16">
        <f t="shared" si="18"/>
        <v>0.41661687328502889</v>
      </c>
    </row>
    <row r="1177" spans="2:14" ht="14.4" customHeight="1" x14ac:dyDescent="0.3">
      <c r="B1177" s="2" t="s">
        <v>1182</v>
      </c>
      <c r="C1177" s="3">
        <v>43831</v>
      </c>
      <c r="D1177" s="2" t="s">
        <v>2012</v>
      </c>
      <c r="E1177" s="2" t="s">
        <v>2075</v>
      </c>
      <c r="F1177" s="4">
        <v>2060.34</v>
      </c>
      <c r="G1177" s="5">
        <v>321.02999999999997</v>
      </c>
      <c r="H1177" s="6">
        <v>12</v>
      </c>
      <c r="I1177" s="2" t="s">
        <v>2117</v>
      </c>
      <c r="J1177" s="2" t="str">
        <v>Reinvent Visionary Niches</v>
      </c>
      <c r="K1177" s="2" t="str">
        <v>Furniture</v>
      </c>
      <c r="L1177" s="2" t="str">
        <v>Huber-Richmond</v>
      </c>
      <c r="M1177" s="2">
        <v>219.81</v>
      </c>
      <c r="N1177" s="16">
        <f t="shared" si="18"/>
        <v>0.1558140889367774</v>
      </c>
    </row>
    <row r="1178" spans="2:14" ht="14.4" customHeight="1" x14ac:dyDescent="0.3">
      <c r="B1178" s="2" t="s">
        <v>1183</v>
      </c>
      <c r="C1178" s="3">
        <v>44494</v>
      </c>
      <c r="D1178" s="2" t="s">
        <v>2010</v>
      </c>
      <c r="E1178" s="2" t="s">
        <v>2096</v>
      </c>
      <c r="F1178" s="4">
        <v>3861.66</v>
      </c>
      <c r="G1178" s="5">
        <v>664.45</v>
      </c>
      <c r="H1178" s="6">
        <v>2</v>
      </c>
      <c r="I1178" s="2" t="s">
        <v>2117</v>
      </c>
      <c r="J1178" s="2" t="str">
        <v>Disintermediate Scalable Bandwidth</v>
      </c>
      <c r="K1178" s="2" t="str">
        <v>Electronics</v>
      </c>
      <c r="L1178" s="2" t="str">
        <v>Levy PLC</v>
      </c>
      <c r="M1178" s="2">
        <v>19.86</v>
      </c>
      <c r="N1178" s="16">
        <f t="shared" si="18"/>
        <v>0.17206330956117319</v>
      </c>
    </row>
    <row r="1179" spans="2:14" ht="14.4" customHeight="1" x14ac:dyDescent="0.3">
      <c r="B1179" s="2" t="s">
        <v>1184</v>
      </c>
      <c r="C1179" s="3">
        <v>44000</v>
      </c>
      <c r="D1179" s="2" t="s">
        <v>2011</v>
      </c>
      <c r="E1179" s="2" t="s">
        <v>2099</v>
      </c>
      <c r="F1179" s="4">
        <v>2298.0300000000002</v>
      </c>
      <c r="G1179" s="5">
        <v>529.25</v>
      </c>
      <c r="H1179" s="6">
        <v>8</v>
      </c>
      <c r="I1179" s="2" t="s">
        <v>2116</v>
      </c>
      <c r="J1179" s="2" t="str">
        <v>Synergize Cross-Platform Vortals</v>
      </c>
      <c r="K1179" s="2" t="str">
        <v>Furniture</v>
      </c>
      <c r="L1179" s="2" t="str">
        <v>Edwards Group</v>
      </c>
      <c r="M1179" s="2">
        <v>87.18</v>
      </c>
      <c r="N1179" s="16">
        <f t="shared" si="18"/>
        <v>0.23030595771160514</v>
      </c>
    </row>
    <row r="1180" spans="2:14" ht="14.4" customHeight="1" x14ac:dyDescent="0.3">
      <c r="B1180" s="2" t="s">
        <v>1185</v>
      </c>
      <c r="C1180" s="3">
        <v>45056</v>
      </c>
      <c r="D1180" s="2" t="s">
        <v>2011</v>
      </c>
      <c r="E1180" s="2" t="s">
        <v>2092</v>
      </c>
      <c r="F1180" s="4">
        <v>3499.85</v>
      </c>
      <c r="G1180" s="5">
        <v>455.16</v>
      </c>
      <c r="H1180" s="6">
        <v>9</v>
      </c>
      <c r="I1180" s="2" t="s">
        <v>2117</v>
      </c>
      <c r="J1180" s="2" t="str">
        <v>Seize Clicks-And-Mortar Platforms</v>
      </c>
      <c r="K1180" s="2" t="str">
        <v>Office Supplies</v>
      </c>
      <c r="L1180" s="2" t="str">
        <v>Owens, Campos and Wood</v>
      </c>
      <c r="M1180" s="2">
        <v>271.16000000000003</v>
      </c>
      <c r="N1180" s="16">
        <f t="shared" si="18"/>
        <v>0.13005128791233911</v>
      </c>
    </row>
    <row r="1181" spans="2:14" ht="14.4" customHeight="1" x14ac:dyDescent="0.3">
      <c r="B1181" s="2" t="s">
        <v>1186</v>
      </c>
      <c r="C1181" s="3">
        <v>45331</v>
      </c>
      <c r="D1181" s="2" t="s">
        <v>2012</v>
      </c>
      <c r="E1181" s="2" t="s">
        <v>2084</v>
      </c>
      <c r="F1181" s="4">
        <v>3549.65</v>
      </c>
      <c r="G1181" s="5">
        <v>479.72</v>
      </c>
      <c r="H1181" s="6">
        <v>8</v>
      </c>
      <c r="I1181" s="2" t="s">
        <v>2117</v>
      </c>
      <c r="J1181" s="2" t="str">
        <v>Grow Synergistic Infrastructures</v>
      </c>
      <c r="K1181" s="2" t="str">
        <v>Furniture</v>
      </c>
      <c r="L1181" s="2" t="str">
        <v>Adams-Carter</v>
      </c>
      <c r="M1181" s="2">
        <v>113.17</v>
      </c>
      <c r="N1181" s="16">
        <f t="shared" si="18"/>
        <v>0.13514571859197386</v>
      </c>
    </row>
    <row r="1182" spans="2:14" ht="14.4" customHeight="1" x14ac:dyDescent="0.3">
      <c r="B1182" s="2" t="s">
        <v>1187</v>
      </c>
      <c r="C1182" s="3">
        <v>44960</v>
      </c>
      <c r="D1182" s="2" t="s">
        <v>2010</v>
      </c>
      <c r="E1182" s="2" t="s">
        <v>2028</v>
      </c>
      <c r="F1182" s="4">
        <v>2364.25</v>
      </c>
      <c r="G1182" s="5">
        <v>801.17</v>
      </c>
      <c r="H1182" s="6">
        <v>10</v>
      </c>
      <c r="I1182" s="2" t="s">
        <v>2117</v>
      </c>
      <c r="J1182" s="2" t="str">
        <v>Synergize World-Class Networks</v>
      </c>
      <c r="K1182" s="2" t="str">
        <v>Electronics</v>
      </c>
      <c r="L1182" s="2" t="str">
        <v>Gomez-Lawrence</v>
      </c>
      <c r="M1182" s="2">
        <v>72.37</v>
      </c>
      <c r="N1182" s="16">
        <f t="shared" si="18"/>
        <v>0.33886856296922913</v>
      </c>
    </row>
    <row r="1183" spans="2:14" ht="14.4" customHeight="1" x14ac:dyDescent="0.3">
      <c r="B1183" s="2" t="s">
        <v>1188</v>
      </c>
      <c r="C1183" s="3">
        <v>44844</v>
      </c>
      <c r="D1183" s="2" t="s">
        <v>2012</v>
      </c>
      <c r="E1183" s="2" t="s">
        <v>2044</v>
      </c>
      <c r="F1183" s="4">
        <v>3868.14</v>
      </c>
      <c r="G1183" s="5">
        <v>879.04</v>
      </c>
      <c r="H1183" s="6">
        <v>18</v>
      </c>
      <c r="I1183" s="2" t="s">
        <v>2118</v>
      </c>
      <c r="J1183" s="2" t="str">
        <v>Grow Back-End Supply-Chains</v>
      </c>
      <c r="K1183" s="2" t="str">
        <v>Electronics</v>
      </c>
      <c r="L1183" s="2" t="str">
        <v>Green LLC</v>
      </c>
      <c r="M1183" s="2">
        <v>140.08000000000001</v>
      </c>
      <c r="N1183" s="16">
        <f t="shared" si="18"/>
        <v>0.22725134043752293</v>
      </c>
    </row>
    <row r="1184" spans="2:14" ht="14.4" customHeight="1" x14ac:dyDescent="0.3">
      <c r="B1184" s="2" t="s">
        <v>1189</v>
      </c>
      <c r="C1184" s="3">
        <v>45382</v>
      </c>
      <c r="D1184" s="2" t="s">
        <v>2011</v>
      </c>
      <c r="E1184" s="2" t="s">
        <v>2017</v>
      </c>
      <c r="F1184" s="4">
        <v>2812.17</v>
      </c>
      <c r="G1184" s="5">
        <v>382.78</v>
      </c>
      <c r="H1184" s="6">
        <v>15</v>
      </c>
      <c r="I1184" s="2" t="s">
        <v>2118</v>
      </c>
      <c r="J1184" s="2" t="str">
        <v>Target Bricks-And-Clicks Channels</v>
      </c>
      <c r="K1184" s="2" t="str">
        <v>Electronics</v>
      </c>
      <c r="L1184" s="2" t="str">
        <v>Dunn, Christensen and Meyer</v>
      </c>
      <c r="M1184" s="2">
        <v>126.86</v>
      </c>
      <c r="N1184" s="16">
        <f t="shared" si="18"/>
        <v>0.13611552644399164</v>
      </c>
    </row>
    <row r="1185" spans="2:14" ht="14.4" customHeight="1" x14ac:dyDescent="0.3">
      <c r="B1185" s="2" t="s">
        <v>1190</v>
      </c>
      <c r="C1185" s="3">
        <v>43878</v>
      </c>
      <c r="D1185" s="2" t="s">
        <v>2011</v>
      </c>
      <c r="E1185" s="2" t="s">
        <v>2078</v>
      </c>
      <c r="F1185" s="4">
        <v>352.93</v>
      </c>
      <c r="G1185" s="5">
        <v>56.2</v>
      </c>
      <c r="H1185" s="6">
        <v>13</v>
      </c>
      <c r="I1185" s="2" t="s">
        <v>2118</v>
      </c>
      <c r="J1185" s="2" t="str">
        <v>Strategize E-Business Content</v>
      </c>
      <c r="K1185" s="2" t="str">
        <v>Electronics</v>
      </c>
      <c r="L1185" s="2" t="str">
        <v>Patterson LLC</v>
      </c>
      <c r="M1185" s="2">
        <v>294.02</v>
      </c>
      <c r="N1185" s="16">
        <f t="shared" si="18"/>
        <v>0.15923837588190293</v>
      </c>
    </row>
    <row r="1186" spans="2:14" ht="14.4" customHeight="1" x14ac:dyDescent="0.3">
      <c r="B1186" s="2" t="s">
        <v>1191</v>
      </c>
      <c r="C1186" s="3">
        <v>45236</v>
      </c>
      <c r="D1186" s="2" t="s">
        <v>2011</v>
      </c>
      <c r="E1186" s="2" t="s">
        <v>2031</v>
      </c>
      <c r="F1186" s="4">
        <v>1093.42</v>
      </c>
      <c r="G1186" s="5">
        <v>91.89</v>
      </c>
      <c r="H1186" s="6">
        <v>8</v>
      </c>
      <c r="I1186" s="2" t="s">
        <v>2118</v>
      </c>
      <c r="J1186" s="2" t="str">
        <v>Embrace 24/365 Functionalities</v>
      </c>
      <c r="K1186" s="2" t="str">
        <v>Office Supplies</v>
      </c>
      <c r="L1186" s="2" t="str">
        <v>Smith LLC</v>
      </c>
      <c r="M1186" s="2">
        <v>204.04</v>
      </c>
      <c r="N1186" s="16">
        <f t="shared" si="18"/>
        <v>8.4039070073713668E-2</v>
      </c>
    </row>
    <row r="1187" spans="2:14" ht="14.4" customHeight="1" x14ac:dyDescent="0.3">
      <c r="B1187" s="2" t="s">
        <v>1192</v>
      </c>
      <c r="C1187" s="3">
        <v>45092</v>
      </c>
      <c r="D1187" s="2" t="s">
        <v>2009</v>
      </c>
      <c r="E1187" s="2" t="s">
        <v>2035</v>
      </c>
      <c r="F1187" s="4">
        <v>3833.64</v>
      </c>
      <c r="G1187" s="5">
        <v>684.97</v>
      </c>
      <c r="H1187" s="6">
        <v>13</v>
      </c>
      <c r="I1187" s="2" t="s">
        <v>2118</v>
      </c>
      <c r="J1187" s="2" t="str">
        <v>Optimize 24/365 E-Services</v>
      </c>
      <c r="K1187" s="2" t="str">
        <v>Office Supplies</v>
      </c>
      <c r="L1187" s="2" t="str">
        <v>Chase Ltd</v>
      </c>
      <c r="M1187" s="2">
        <v>100.35</v>
      </c>
      <c r="N1187" s="16">
        <f t="shared" si="18"/>
        <v>0.17867353220438018</v>
      </c>
    </row>
    <row r="1188" spans="2:14" ht="14.4" customHeight="1" x14ac:dyDescent="0.3">
      <c r="B1188" s="2" t="s">
        <v>1193</v>
      </c>
      <c r="C1188" s="3">
        <v>44009</v>
      </c>
      <c r="D1188" s="2" t="s">
        <v>2010</v>
      </c>
      <c r="E1188" s="2" t="s">
        <v>2026</v>
      </c>
      <c r="F1188" s="4">
        <v>1976.31</v>
      </c>
      <c r="G1188" s="5">
        <v>850.22</v>
      </c>
      <c r="H1188" s="6">
        <v>4</v>
      </c>
      <c r="I1188" s="2" t="s">
        <v>2118</v>
      </c>
      <c r="J1188" s="2" t="str">
        <v>Monetize Wireless Functionalities</v>
      </c>
      <c r="K1188" s="2" t="str">
        <v>Furniture</v>
      </c>
      <c r="L1188" s="2" t="str">
        <v>Robinson, Rodriguez and Hernandez</v>
      </c>
      <c r="M1188" s="2">
        <v>162.22</v>
      </c>
      <c r="N1188" s="16">
        <f t="shared" si="18"/>
        <v>0.43020578755357208</v>
      </c>
    </row>
    <row r="1189" spans="2:14" ht="14.4" customHeight="1" x14ac:dyDescent="0.3">
      <c r="B1189" s="2" t="s">
        <v>1194</v>
      </c>
      <c r="C1189" s="3">
        <v>45572</v>
      </c>
      <c r="D1189" s="2" t="s">
        <v>2011</v>
      </c>
      <c r="E1189" s="2" t="s">
        <v>2089</v>
      </c>
      <c r="F1189" s="4">
        <v>4092.57</v>
      </c>
      <c r="G1189" s="5">
        <v>86.77</v>
      </c>
      <c r="H1189" s="6">
        <v>5</v>
      </c>
      <c r="I1189" s="2" t="s">
        <v>2118</v>
      </c>
      <c r="J1189" s="2" t="str">
        <v>Morph World-Class Synergies</v>
      </c>
      <c r="K1189" s="2" t="str">
        <v>Electronics</v>
      </c>
      <c r="L1189" s="2" t="str">
        <v>Bryant Ltd</v>
      </c>
      <c r="M1189" s="2">
        <v>20.69</v>
      </c>
      <c r="N1189" s="16">
        <f t="shared" si="18"/>
        <v>2.120183649882592E-2</v>
      </c>
    </row>
    <row r="1190" spans="2:14" ht="14.4" customHeight="1" x14ac:dyDescent="0.3">
      <c r="B1190" s="2" t="s">
        <v>1195</v>
      </c>
      <c r="C1190" s="3">
        <v>45210</v>
      </c>
      <c r="D1190" s="2" t="s">
        <v>2009</v>
      </c>
      <c r="E1190" s="2" t="s">
        <v>2098</v>
      </c>
      <c r="F1190" s="4">
        <v>1327</v>
      </c>
      <c r="G1190" s="5">
        <v>460.82</v>
      </c>
      <c r="H1190" s="6">
        <v>11</v>
      </c>
      <c r="I1190" s="2" t="s">
        <v>2117</v>
      </c>
      <c r="J1190" s="2" t="str">
        <v>Deliver Viral Channels</v>
      </c>
      <c r="K1190" s="2" t="str">
        <v>Furniture</v>
      </c>
      <c r="L1190" s="2" t="str">
        <v>Parker LLC</v>
      </c>
      <c r="M1190" s="2">
        <v>45.41</v>
      </c>
      <c r="N1190" s="16">
        <f t="shared" si="18"/>
        <v>0.34726450640542578</v>
      </c>
    </row>
    <row r="1191" spans="2:14" ht="14.4" customHeight="1" x14ac:dyDescent="0.3">
      <c r="B1191" s="2" t="s">
        <v>1196</v>
      </c>
      <c r="C1191" s="3">
        <v>45518</v>
      </c>
      <c r="D1191" s="2" t="s">
        <v>2012</v>
      </c>
      <c r="E1191" s="2" t="s">
        <v>2025</v>
      </c>
      <c r="F1191" s="4">
        <v>1550.93</v>
      </c>
      <c r="G1191" s="5">
        <v>121.14</v>
      </c>
      <c r="H1191" s="6">
        <v>14</v>
      </c>
      <c r="I1191" s="2" t="s">
        <v>2117</v>
      </c>
      <c r="J1191" s="2" t="str">
        <v>Streamline Innovative Architectures</v>
      </c>
      <c r="K1191" s="2" t="str">
        <v>Furniture</v>
      </c>
      <c r="L1191" s="2" t="str">
        <v>Price, Valentine and Lutz</v>
      </c>
      <c r="M1191" s="2">
        <v>291.14999999999998</v>
      </c>
      <c r="N1191" s="16">
        <f t="shared" si="18"/>
        <v>7.8107973925322219E-2</v>
      </c>
    </row>
    <row r="1192" spans="2:14" ht="14.4" customHeight="1" x14ac:dyDescent="0.3">
      <c r="B1192" s="2" t="s">
        <v>1197</v>
      </c>
      <c r="C1192" s="3">
        <v>43976</v>
      </c>
      <c r="D1192" s="2" t="s">
        <v>2010</v>
      </c>
      <c r="E1192" s="2" t="s">
        <v>2046</v>
      </c>
      <c r="F1192" s="4">
        <v>2103.86</v>
      </c>
      <c r="G1192" s="5">
        <v>263.66000000000003</v>
      </c>
      <c r="H1192" s="6">
        <v>5</v>
      </c>
      <c r="I1192" s="2" t="s">
        <v>2116</v>
      </c>
      <c r="J1192" s="2" t="str">
        <v>Facilitate End-To-End Experiences</v>
      </c>
      <c r="K1192" s="2" t="str">
        <v>Office Supplies</v>
      </c>
      <c r="L1192" s="2" t="str">
        <v>Pierce-Goodwin</v>
      </c>
      <c r="M1192" s="2">
        <v>260.52999999999997</v>
      </c>
      <c r="N1192" s="16">
        <f t="shared" si="18"/>
        <v>0.12532202713108287</v>
      </c>
    </row>
    <row r="1193" spans="2:14" ht="14.4" customHeight="1" x14ac:dyDescent="0.3">
      <c r="B1193" s="2" t="s">
        <v>1198</v>
      </c>
      <c r="C1193" s="3">
        <v>44461</v>
      </c>
      <c r="D1193" s="2" t="s">
        <v>2010</v>
      </c>
      <c r="E1193" s="2" t="s">
        <v>2105</v>
      </c>
      <c r="F1193" s="4">
        <v>2053.37</v>
      </c>
      <c r="G1193" s="5">
        <v>856.14</v>
      </c>
      <c r="H1193" s="6">
        <v>5</v>
      </c>
      <c r="I1193" s="2" t="s">
        <v>2116</v>
      </c>
      <c r="J1193" s="2" t="str">
        <v>Brand B2C Info-Mediaries</v>
      </c>
      <c r="K1193" s="2" t="str">
        <v>Office Supplies</v>
      </c>
      <c r="L1193" s="2" t="str">
        <v>Preston Ltd</v>
      </c>
      <c r="M1193" s="2">
        <v>13.46</v>
      </c>
      <c r="N1193" s="16">
        <f t="shared" si="18"/>
        <v>0.41694385327534739</v>
      </c>
    </row>
    <row r="1194" spans="2:14" ht="14.4" customHeight="1" x14ac:dyDescent="0.3">
      <c r="B1194" s="2" t="s">
        <v>1199</v>
      </c>
      <c r="C1194" s="3">
        <v>45514</v>
      </c>
      <c r="D1194" s="2" t="s">
        <v>2009</v>
      </c>
      <c r="E1194" s="2" t="s">
        <v>2043</v>
      </c>
      <c r="F1194" s="4">
        <v>3519.63</v>
      </c>
      <c r="G1194" s="5">
        <v>77.91</v>
      </c>
      <c r="H1194" s="6">
        <v>2</v>
      </c>
      <c r="I1194" s="2" t="s">
        <v>2117</v>
      </c>
      <c r="J1194" s="2" t="str">
        <v>Brand Distributed Info-Mediaries</v>
      </c>
      <c r="K1194" s="2" t="str">
        <v>Furniture</v>
      </c>
      <c r="L1194" s="2" t="str">
        <v>Garcia Ltd</v>
      </c>
      <c r="M1194" s="2">
        <v>114.48</v>
      </c>
      <c r="N1194" s="16">
        <f t="shared" si="18"/>
        <v>2.2135849506908396E-2</v>
      </c>
    </row>
    <row r="1195" spans="2:14" ht="14.4" customHeight="1" x14ac:dyDescent="0.3">
      <c r="B1195" s="2" t="s">
        <v>1200</v>
      </c>
      <c r="C1195" s="3">
        <v>44463</v>
      </c>
      <c r="D1195" s="2" t="s">
        <v>2011</v>
      </c>
      <c r="E1195" s="2" t="s">
        <v>2063</v>
      </c>
      <c r="F1195" s="4">
        <v>1075.3399999999999</v>
      </c>
      <c r="G1195" s="5">
        <v>522.70000000000005</v>
      </c>
      <c r="H1195" s="6">
        <v>1</v>
      </c>
      <c r="I1195" s="2" t="s">
        <v>2118</v>
      </c>
      <c r="J1195" s="2" t="str">
        <v>Unleash End-To-End Web Services</v>
      </c>
      <c r="K1195" s="2" t="str">
        <v>Office Supplies</v>
      </c>
      <c r="L1195" s="2" t="str">
        <v>Jones Ltd</v>
      </c>
      <c r="M1195" s="2">
        <v>188.02</v>
      </c>
      <c r="N1195" s="16">
        <f t="shared" si="18"/>
        <v>0.48607882158201138</v>
      </c>
    </row>
    <row r="1196" spans="2:14" ht="14.4" customHeight="1" x14ac:dyDescent="0.3">
      <c r="B1196" s="2" t="s">
        <v>1201</v>
      </c>
      <c r="C1196" s="3">
        <v>44481</v>
      </c>
      <c r="D1196" s="2" t="s">
        <v>2012</v>
      </c>
      <c r="E1196" s="2" t="s">
        <v>2081</v>
      </c>
      <c r="F1196" s="4">
        <v>4119.91</v>
      </c>
      <c r="G1196" s="5">
        <v>37.74</v>
      </c>
      <c r="H1196" s="6">
        <v>16</v>
      </c>
      <c r="I1196" s="2" t="s">
        <v>2118</v>
      </c>
      <c r="J1196" s="2" t="str">
        <v>Orchestrate User-Centric Platforms</v>
      </c>
      <c r="K1196" s="2" t="str">
        <v>Furniture</v>
      </c>
      <c r="L1196" s="2" t="str">
        <v>Wells Ltd</v>
      </c>
      <c r="M1196" s="2">
        <v>201.87</v>
      </c>
      <c r="N1196" s="16">
        <f t="shared" si="18"/>
        <v>9.160394280457583E-3</v>
      </c>
    </row>
    <row r="1197" spans="2:14" ht="14.4" customHeight="1" x14ac:dyDescent="0.3">
      <c r="B1197" s="2" t="s">
        <v>1202</v>
      </c>
      <c r="C1197" s="3">
        <v>45599</v>
      </c>
      <c r="D1197" s="2" t="s">
        <v>2010</v>
      </c>
      <c r="E1197" s="2" t="s">
        <v>2066</v>
      </c>
      <c r="F1197" s="4">
        <v>1617.8</v>
      </c>
      <c r="G1197" s="5">
        <v>995.02</v>
      </c>
      <c r="H1197" s="6">
        <v>8</v>
      </c>
      <c r="I1197" s="2" t="s">
        <v>2116</v>
      </c>
      <c r="J1197" s="2" t="str">
        <v>Facilitate Integrated E-Business</v>
      </c>
      <c r="K1197" s="2" t="str">
        <v>Office Supplies</v>
      </c>
      <c r="L1197" s="2" t="str">
        <v>Chang-Vargas</v>
      </c>
      <c r="M1197" s="2">
        <v>130.33000000000001</v>
      </c>
      <c r="N1197" s="16">
        <f t="shared" si="18"/>
        <v>0.61504512300655212</v>
      </c>
    </row>
    <row r="1198" spans="2:14" ht="14.4" customHeight="1" x14ac:dyDescent="0.3">
      <c r="B1198" s="2" t="s">
        <v>1203</v>
      </c>
      <c r="C1198" s="3">
        <v>44942</v>
      </c>
      <c r="D1198" s="2" t="s">
        <v>2010</v>
      </c>
      <c r="E1198" s="2" t="s">
        <v>2087</v>
      </c>
      <c r="F1198" s="4">
        <v>2575.2199999999998</v>
      </c>
      <c r="G1198" s="5">
        <v>264.14999999999998</v>
      </c>
      <c r="H1198" s="6">
        <v>18</v>
      </c>
      <c r="I1198" s="2" t="s">
        <v>2118</v>
      </c>
      <c r="J1198" s="2" t="str">
        <v>Empower Seamless Roi</v>
      </c>
      <c r="K1198" s="2" t="str">
        <v>Office Supplies</v>
      </c>
      <c r="L1198" s="2" t="str">
        <v>Proctor Group</v>
      </c>
      <c r="M1198" s="2">
        <v>266.64999999999998</v>
      </c>
      <c r="N1198" s="16">
        <f t="shared" si="18"/>
        <v>0.10257376068840721</v>
      </c>
    </row>
    <row r="1199" spans="2:14" ht="14.4" customHeight="1" x14ac:dyDescent="0.3">
      <c r="B1199" s="2" t="s">
        <v>1204</v>
      </c>
      <c r="C1199" s="3">
        <v>45602</v>
      </c>
      <c r="D1199" s="2" t="s">
        <v>2009</v>
      </c>
      <c r="E1199" s="2" t="s">
        <v>2059</v>
      </c>
      <c r="F1199" s="4">
        <v>4179.28</v>
      </c>
      <c r="G1199" s="5">
        <v>511.62</v>
      </c>
      <c r="H1199" s="6">
        <v>19</v>
      </c>
      <c r="I1199" s="2" t="s">
        <v>2118</v>
      </c>
      <c r="J1199" s="2" t="str">
        <v>Redefine Real-Time Convergence</v>
      </c>
      <c r="K1199" s="2" t="str">
        <v>Electronics</v>
      </c>
      <c r="L1199" s="2" t="str">
        <v>Hayes, Peters and Douglas</v>
      </c>
      <c r="M1199" s="2">
        <v>78.260000000000005</v>
      </c>
      <c r="N1199" s="16">
        <f t="shared" si="18"/>
        <v>0.12241821557780289</v>
      </c>
    </row>
    <row r="1200" spans="2:14" ht="14.4" customHeight="1" x14ac:dyDescent="0.3">
      <c r="B1200" s="2" t="s">
        <v>1205</v>
      </c>
      <c r="C1200" s="3">
        <v>44991</v>
      </c>
      <c r="D1200" s="2" t="s">
        <v>2010</v>
      </c>
      <c r="E1200" s="2" t="s">
        <v>2100</v>
      </c>
      <c r="F1200" s="4">
        <v>2532.29</v>
      </c>
      <c r="G1200" s="5">
        <v>442.7</v>
      </c>
      <c r="H1200" s="6">
        <v>15</v>
      </c>
      <c r="I1200" s="2" t="s">
        <v>2116</v>
      </c>
      <c r="J1200" s="2" t="str">
        <v>Strategize Best-Of-Breed Web-Readiness</v>
      </c>
      <c r="K1200" s="2" t="str">
        <v>Office Supplies</v>
      </c>
      <c r="L1200" s="2" t="str">
        <v>Morris, King and Ayers</v>
      </c>
      <c r="M1200" s="2">
        <v>220.16</v>
      </c>
      <c r="N1200" s="16">
        <f t="shared" si="18"/>
        <v>0.17482199906013923</v>
      </c>
    </row>
    <row r="1201" spans="2:14" ht="14.4" customHeight="1" x14ac:dyDescent="0.3">
      <c r="B1201" s="2" t="s">
        <v>1206</v>
      </c>
      <c r="C1201" s="3">
        <v>45589</v>
      </c>
      <c r="D1201" s="2" t="s">
        <v>2011</v>
      </c>
      <c r="E1201" s="2" t="s">
        <v>2083</v>
      </c>
      <c r="F1201" s="4">
        <v>2481.4299999999998</v>
      </c>
      <c r="G1201" s="5">
        <v>146.38</v>
      </c>
      <c r="H1201" s="6">
        <v>14</v>
      </c>
      <c r="I1201" s="2" t="s">
        <v>2117</v>
      </c>
      <c r="J1201" s="2" t="str">
        <v>Whiteboard Sticky Content</v>
      </c>
      <c r="K1201" s="2" t="str">
        <v>Furniture</v>
      </c>
      <c r="L1201" s="2" t="str">
        <v>Wolfe Group</v>
      </c>
      <c r="M1201" s="2">
        <v>82.16</v>
      </c>
      <c r="N1201" s="16">
        <f t="shared" si="18"/>
        <v>5.8990179049983278E-2</v>
      </c>
    </row>
    <row r="1202" spans="2:14" ht="14.4" customHeight="1" x14ac:dyDescent="0.3">
      <c r="B1202" s="2" t="s">
        <v>1207</v>
      </c>
      <c r="C1202" s="3">
        <v>44785</v>
      </c>
      <c r="D1202" s="2" t="s">
        <v>2011</v>
      </c>
      <c r="E1202" s="2" t="s">
        <v>2053</v>
      </c>
      <c r="F1202" s="4">
        <v>422.35</v>
      </c>
      <c r="G1202" s="5">
        <v>736.08</v>
      </c>
      <c r="H1202" s="6">
        <v>6</v>
      </c>
      <c r="I1202" s="2" t="s">
        <v>2116</v>
      </c>
      <c r="J1202" s="2" t="str">
        <v>Transition Mission-Critical Interfaces</v>
      </c>
      <c r="K1202" s="2" t="str">
        <v>Office Supplies</v>
      </c>
      <c r="L1202" s="2" t="str">
        <v>Weaver Ltd</v>
      </c>
      <c r="M1202" s="2">
        <v>34.64</v>
      </c>
      <c r="N1202" s="16">
        <f t="shared" si="18"/>
        <v>1.7428199360719783</v>
      </c>
    </row>
    <row r="1203" spans="2:14" ht="14.4" customHeight="1" x14ac:dyDescent="0.3">
      <c r="B1203" s="2" t="s">
        <v>1208</v>
      </c>
      <c r="C1203" s="3">
        <v>45419</v>
      </c>
      <c r="D1203" s="2" t="s">
        <v>2012</v>
      </c>
      <c r="E1203" s="2" t="s">
        <v>2066</v>
      </c>
      <c r="F1203" s="4">
        <v>1065.77</v>
      </c>
      <c r="G1203" s="5">
        <v>186.42</v>
      </c>
      <c r="H1203" s="6">
        <v>2</v>
      </c>
      <c r="I1203" s="2" t="s">
        <v>2116</v>
      </c>
      <c r="J1203" s="2" t="str">
        <v>Facilitate Integrated E-Business</v>
      </c>
      <c r="K1203" s="2" t="str">
        <v>Office Supplies</v>
      </c>
      <c r="L1203" s="2" t="str">
        <v>Chang-Vargas</v>
      </c>
      <c r="M1203" s="2">
        <v>130.33000000000001</v>
      </c>
      <c r="N1203" s="16">
        <f t="shared" si="18"/>
        <v>0.17491578858477907</v>
      </c>
    </row>
    <row r="1204" spans="2:14" ht="14.4" customHeight="1" x14ac:dyDescent="0.3">
      <c r="B1204" s="2" t="s">
        <v>1209</v>
      </c>
      <c r="C1204" s="3">
        <v>44790</v>
      </c>
      <c r="D1204" s="2" t="s">
        <v>2010</v>
      </c>
      <c r="E1204" s="2" t="s">
        <v>2066</v>
      </c>
      <c r="F1204" s="4">
        <v>1739.12</v>
      </c>
      <c r="G1204" s="5">
        <v>254.69</v>
      </c>
      <c r="H1204" s="6">
        <v>19</v>
      </c>
      <c r="I1204" s="2" t="s">
        <v>2117</v>
      </c>
      <c r="J1204" s="2" t="str">
        <v>Facilitate Integrated E-Business</v>
      </c>
      <c r="K1204" s="2" t="str">
        <v>Office Supplies</v>
      </c>
      <c r="L1204" s="2" t="str">
        <v>Chang-Vargas</v>
      </c>
      <c r="M1204" s="2">
        <v>130.33000000000001</v>
      </c>
      <c r="N1204" s="16">
        <f t="shared" si="18"/>
        <v>0.14644762868577213</v>
      </c>
    </row>
    <row r="1205" spans="2:14" ht="14.4" customHeight="1" x14ac:dyDescent="0.3">
      <c r="B1205" s="2" t="s">
        <v>1210</v>
      </c>
      <c r="C1205" s="3">
        <v>45407</v>
      </c>
      <c r="D1205" s="2" t="s">
        <v>2012</v>
      </c>
      <c r="E1205" s="2" t="s">
        <v>2052</v>
      </c>
      <c r="F1205" s="4">
        <v>2697.58</v>
      </c>
      <c r="G1205" s="5">
        <v>685.21</v>
      </c>
      <c r="H1205" s="6">
        <v>6</v>
      </c>
      <c r="I1205" s="2" t="s">
        <v>2118</v>
      </c>
      <c r="J1205" s="2" t="str">
        <v>Innovate Sticky Web Services</v>
      </c>
      <c r="K1205" s="2" t="str">
        <v>Electronics</v>
      </c>
      <c r="L1205" s="2" t="str">
        <v>Friedman, Sanders and Adams</v>
      </c>
      <c r="M1205" s="2">
        <v>125.85</v>
      </c>
      <c r="N1205" s="16">
        <f t="shared" si="18"/>
        <v>0.2540091489409026</v>
      </c>
    </row>
    <row r="1206" spans="2:14" ht="14.4" customHeight="1" x14ac:dyDescent="0.3">
      <c r="B1206" s="2" t="s">
        <v>1211</v>
      </c>
      <c r="C1206" s="3">
        <v>43881</v>
      </c>
      <c r="D1206" s="2" t="s">
        <v>2012</v>
      </c>
      <c r="E1206" s="2" t="s">
        <v>2094</v>
      </c>
      <c r="F1206" s="4">
        <v>237.23</v>
      </c>
      <c r="G1206" s="5">
        <v>841.71</v>
      </c>
      <c r="H1206" s="6">
        <v>16</v>
      </c>
      <c r="I1206" s="2" t="s">
        <v>2116</v>
      </c>
      <c r="J1206" s="2" t="str">
        <v>Implement Rich Platforms</v>
      </c>
      <c r="K1206" s="2" t="str">
        <v>Electronics</v>
      </c>
      <c r="L1206" s="2" t="str">
        <v>Parker, Anderson and Salazar</v>
      </c>
      <c r="M1206" s="2">
        <v>53.59</v>
      </c>
      <c r="N1206" s="16">
        <f t="shared" si="18"/>
        <v>3.5480757071196733</v>
      </c>
    </row>
    <row r="1207" spans="2:14" ht="14.4" customHeight="1" x14ac:dyDescent="0.3">
      <c r="B1207" s="2" t="s">
        <v>1212</v>
      </c>
      <c r="C1207" s="3">
        <v>44443</v>
      </c>
      <c r="D1207" s="2" t="s">
        <v>2009</v>
      </c>
      <c r="E1207" s="2" t="s">
        <v>2082</v>
      </c>
      <c r="F1207" s="4">
        <v>121.33</v>
      </c>
      <c r="G1207" s="5">
        <v>328.75</v>
      </c>
      <c r="H1207" s="6">
        <v>1</v>
      </c>
      <c r="I1207" s="2" t="s">
        <v>2117</v>
      </c>
      <c r="J1207" s="2" t="str">
        <v>Re-Contextualize Viral Markets</v>
      </c>
      <c r="K1207" s="2" t="str">
        <v>Electronics</v>
      </c>
      <c r="L1207" s="2" t="str">
        <v>Meadows-Barber</v>
      </c>
      <c r="M1207" s="2">
        <v>177.52</v>
      </c>
      <c r="N1207" s="16">
        <f t="shared" si="18"/>
        <v>2.7095524602324241</v>
      </c>
    </row>
    <row r="1208" spans="2:14" ht="14.4" customHeight="1" x14ac:dyDescent="0.3">
      <c r="B1208" s="2" t="s">
        <v>1213</v>
      </c>
      <c r="C1208" s="3">
        <v>44318</v>
      </c>
      <c r="D1208" s="2" t="s">
        <v>2009</v>
      </c>
      <c r="E1208" s="2" t="s">
        <v>2103</v>
      </c>
      <c r="F1208" s="4">
        <v>3464.76</v>
      </c>
      <c r="G1208" s="5">
        <v>991.2</v>
      </c>
      <c r="H1208" s="6">
        <v>9</v>
      </c>
      <c r="I1208" s="2" t="s">
        <v>2116</v>
      </c>
      <c r="J1208" s="2" t="str">
        <v>Benchmark Cross-Platform Markets</v>
      </c>
      <c r="K1208" s="2" t="str">
        <v>Furniture</v>
      </c>
      <c r="L1208" s="2" t="str">
        <v>Murphy, Mathews and Wilson</v>
      </c>
      <c r="M1208" s="2">
        <v>78.88</v>
      </c>
      <c r="N1208" s="16">
        <f t="shared" si="18"/>
        <v>0.28608042115471199</v>
      </c>
    </row>
    <row r="1209" spans="2:14" ht="14.4" customHeight="1" x14ac:dyDescent="0.3">
      <c r="B1209" s="2" t="s">
        <v>1214</v>
      </c>
      <c r="C1209" s="3">
        <v>44079</v>
      </c>
      <c r="D1209" s="2" t="s">
        <v>2011</v>
      </c>
      <c r="E1209" s="2" t="s">
        <v>2046</v>
      </c>
      <c r="F1209" s="4">
        <v>3503.99</v>
      </c>
      <c r="G1209" s="5">
        <v>283.23</v>
      </c>
      <c r="H1209" s="6">
        <v>6</v>
      </c>
      <c r="I1209" s="2" t="s">
        <v>2116</v>
      </c>
      <c r="J1209" s="2" t="str">
        <v>Facilitate End-To-End Experiences</v>
      </c>
      <c r="K1209" s="2" t="str">
        <v>Office Supplies</v>
      </c>
      <c r="L1209" s="2" t="str">
        <v>Pierce-Goodwin</v>
      </c>
      <c r="M1209" s="2">
        <v>260.52999999999997</v>
      </c>
      <c r="N1209" s="16">
        <f t="shared" si="18"/>
        <v>8.0830710133305186E-2</v>
      </c>
    </row>
    <row r="1210" spans="2:14" ht="14.4" customHeight="1" x14ac:dyDescent="0.3">
      <c r="B1210" s="2" t="s">
        <v>1215</v>
      </c>
      <c r="C1210" s="3">
        <v>45396</v>
      </c>
      <c r="D1210" s="2" t="s">
        <v>2010</v>
      </c>
      <c r="E1210" s="2" t="s">
        <v>2023</v>
      </c>
      <c r="F1210" s="4">
        <v>2415.2399999999998</v>
      </c>
      <c r="G1210" s="5">
        <v>537.32000000000005</v>
      </c>
      <c r="H1210" s="6">
        <v>12</v>
      </c>
      <c r="I1210" s="2" t="s">
        <v>2118</v>
      </c>
      <c r="J1210" s="2" t="str">
        <v>Leverage Cutting-Edge Vortals</v>
      </c>
      <c r="K1210" s="2" t="str">
        <v>Electronics</v>
      </c>
      <c r="L1210" s="2" t="str">
        <v>Robinson, Garrett and Chavez</v>
      </c>
      <c r="M1210" s="2">
        <v>117.3</v>
      </c>
      <c r="N1210" s="16">
        <f t="shared" si="18"/>
        <v>0.22247064473923919</v>
      </c>
    </row>
    <row r="1211" spans="2:14" ht="14.4" customHeight="1" x14ac:dyDescent="0.3">
      <c r="B1211" s="2" t="s">
        <v>1216</v>
      </c>
      <c r="C1211" s="3">
        <v>44253</v>
      </c>
      <c r="D1211" s="2" t="s">
        <v>2012</v>
      </c>
      <c r="E1211" s="2" t="s">
        <v>2095</v>
      </c>
      <c r="F1211" s="4">
        <v>4648.09</v>
      </c>
      <c r="G1211" s="5">
        <v>755.42</v>
      </c>
      <c r="H1211" s="6">
        <v>14</v>
      </c>
      <c r="I1211" s="2" t="s">
        <v>2117</v>
      </c>
      <c r="J1211" s="2" t="str">
        <v>Envisioneer B2B Users</v>
      </c>
      <c r="K1211" s="2" t="str">
        <v>Office Supplies</v>
      </c>
      <c r="L1211" s="2" t="str">
        <v>Rogers Group</v>
      </c>
      <c r="M1211" s="2">
        <v>239.16</v>
      </c>
      <c r="N1211" s="16">
        <f t="shared" si="18"/>
        <v>0.16252267060233341</v>
      </c>
    </row>
    <row r="1212" spans="2:14" ht="14.4" customHeight="1" x14ac:dyDescent="0.3">
      <c r="B1212" s="2" t="s">
        <v>1217</v>
      </c>
      <c r="C1212" s="3">
        <v>45380</v>
      </c>
      <c r="D1212" s="2" t="s">
        <v>2009</v>
      </c>
      <c r="E1212" s="2" t="s">
        <v>2075</v>
      </c>
      <c r="F1212" s="4">
        <v>436.98</v>
      </c>
      <c r="G1212" s="5">
        <v>664.74</v>
      </c>
      <c r="H1212" s="6">
        <v>14</v>
      </c>
      <c r="I1212" s="2" t="s">
        <v>2116</v>
      </c>
      <c r="J1212" s="2" t="str">
        <v>Reinvent Visionary Niches</v>
      </c>
      <c r="K1212" s="2" t="str">
        <v>Furniture</v>
      </c>
      <c r="L1212" s="2" t="str">
        <v>Huber-Richmond</v>
      </c>
      <c r="M1212" s="2">
        <v>219.81</v>
      </c>
      <c r="N1212" s="16">
        <f t="shared" si="18"/>
        <v>1.5212137855279417</v>
      </c>
    </row>
    <row r="1213" spans="2:14" ht="14.4" customHeight="1" x14ac:dyDescent="0.3">
      <c r="B1213" s="2" t="s">
        <v>1218</v>
      </c>
      <c r="C1213" s="3">
        <v>44177</v>
      </c>
      <c r="D1213" s="2" t="s">
        <v>2012</v>
      </c>
      <c r="E1213" s="2" t="s">
        <v>2051</v>
      </c>
      <c r="F1213" s="4">
        <v>2280.23</v>
      </c>
      <c r="G1213" s="5">
        <v>326.13</v>
      </c>
      <c r="H1213" s="6">
        <v>7</v>
      </c>
      <c r="I1213" s="2" t="s">
        <v>2117</v>
      </c>
      <c r="J1213" s="2" t="str">
        <v>Generate Front-End Functionalities</v>
      </c>
      <c r="K1213" s="2" t="str">
        <v>Office Supplies</v>
      </c>
      <c r="L1213" s="2" t="str">
        <v>Morales-Brown</v>
      </c>
      <c r="M1213" s="2">
        <v>299.77</v>
      </c>
      <c r="N1213" s="16">
        <f t="shared" si="18"/>
        <v>0.14302504571907221</v>
      </c>
    </row>
    <row r="1214" spans="2:14" ht="14.4" customHeight="1" x14ac:dyDescent="0.3">
      <c r="B1214" s="2" t="s">
        <v>1219</v>
      </c>
      <c r="C1214" s="3">
        <v>44736</v>
      </c>
      <c r="D1214" s="2" t="s">
        <v>2011</v>
      </c>
      <c r="E1214" s="2" t="s">
        <v>2030</v>
      </c>
      <c r="F1214" s="4">
        <v>3669.16</v>
      </c>
      <c r="G1214" s="5">
        <v>531.16999999999996</v>
      </c>
      <c r="H1214" s="6">
        <v>8</v>
      </c>
      <c r="I1214" s="2" t="s">
        <v>2117</v>
      </c>
      <c r="J1214" s="2" t="str">
        <v>Engage Rich Web-Readiness</v>
      </c>
      <c r="K1214" s="2" t="str">
        <v>Office Supplies</v>
      </c>
      <c r="L1214" s="2" t="str">
        <v>Turner Inc</v>
      </c>
      <c r="M1214" s="2">
        <v>81.069999999999993</v>
      </c>
      <c r="N1214" s="16">
        <f t="shared" si="18"/>
        <v>0.14476610450348307</v>
      </c>
    </row>
    <row r="1215" spans="2:14" ht="14.4" customHeight="1" x14ac:dyDescent="0.3">
      <c r="B1215" s="2" t="s">
        <v>1220</v>
      </c>
      <c r="C1215" s="3">
        <v>45108</v>
      </c>
      <c r="D1215" s="2" t="s">
        <v>2010</v>
      </c>
      <c r="E1215" s="2" t="s">
        <v>2033</v>
      </c>
      <c r="F1215" s="4">
        <v>3253</v>
      </c>
      <c r="G1215" s="5">
        <v>699.16</v>
      </c>
      <c r="H1215" s="6">
        <v>4</v>
      </c>
      <c r="I1215" s="2" t="s">
        <v>2117</v>
      </c>
      <c r="J1215" s="2" t="str">
        <v>Leverage Rich Portals</v>
      </c>
      <c r="K1215" s="2" t="str">
        <v>Office Supplies</v>
      </c>
      <c r="L1215" s="2" t="str">
        <v>Wilson PLC</v>
      </c>
      <c r="M1215" s="2">
        <v>46.35</v>
      </c>
      <c r="N1215" s="16">
        <f t="shared" si="18"/>
        <v>0.21492775899169997</v>
      </c>
    </row>
    <row r="1216" spans="2:14" ht="14.4" customHeight="1" x14ac:dyDescent="0.3">
      <c r="B1216" s="2" t="s">
        <v>1221</v>
      </c>
      <c r="C1216" s="3">
        <v>44176</v>
      </c>
      <c r="D1216" s="2" t="s">
        <v>2009</v>
      </c>
      <c r="E1216" s="2" t="s">
        <v>2051</v>
      </c>
      <c r="F1216" s="4">
        <v>4412.42</v>
      </c>
      <c r="G1216" s="5">
        <v>557.05999999999995</v>
      </c>
      <c r="H1216" s="6">
        <v>6</v>
      </c>
      <c r="I1216" s="2" t="s">
        <v>2117</v>
      </c>
      <c r="J1216" s="2" t="str">
        <v>Generate Front-End Functionalities</v>
      </c>
      <c r="K1216" s="2" t="str">
        <v>Office Supplies</v>
      </c>
      <c r="L1216" s="2" t="str">
        <v>Morales-Brown</v>
      </c>
      <c r="M1216" s="2">
        <v>299.77</v>
      </c>
      <c r="N1216" s="16">
        <f t="shared" si="18"/>
        <v>0.12624818127014201</v>
      </c>
    </row>
    <row r="1217" spans="2:14" ht="14.4" customHeight="1" x14ac:dyDescent="0.3">
      <c r="B1217" s="2" t="s">
        <v>1222</v>
      </c>
      <c r="C1217" s="3">
        <v>45136</v>
      </c>
      <c r="D1217" s="2" t="s">
        <v>2009</v>
      </c>
      <c r="E1217" s="2" t="s">
        <v>2083</v>
      </c>
      <c r="F1217" s="4">
        <v>1583.31</v>
      </c>
      <c r="G1217" s="5">
        <v>280.19</v>
      </c>
      <c r="H1217" s="6">
        <v>18</v>
      </c>
      <c r="I1217" s="2" t="s">
        <v>2117</v>
      </c>
      <c r="J1217" s="2" t="str">
        <v>Whiteboard Sticky Content</v>
      </c>
      <c r="K1217" s="2" t="str">
        <v>Furniture</v>
      </c>
      <c r="L1217" s="2" t="str">
        <v>Wolfe Group</v>
      </c>
      <c r="M1217" s="2">
        <v>82.16</v>
      </c>
      <c r="N1217" s="16">
        <f t="shared" si="18"/>
        <v>0.17696471316419402</v>
      </c>
    </row>
    <row r="1218" spans="2:14" ht="14.4" customHeight="1" x14ac:dyDescent="0.3">
      <c r="B1218" s="2" t="s">
        <v>1223</v>
      </c>
      <c r="C1218" s="3">
        <v>43846</v>
      </c>
      <c r="D1218" s="2" t="s">
        <v>2011</v>
      </c>
      <c r="E1218" s="2" t="s">
        <v>2072</v>
      </c>
      <c r="F1218" s="4">
        <v>905.36</v>
      </c>
      <c r="G1218" s="5">
        <v>664.48</v>
      </c>
      <c r="H1218" s="6">
        <v>15</v>
      </c>
      <c r="I1218" s="2" t="s">
        <v>2116</v>
      </c>
      <c r="J1218" s="2" t="str">
        <v>Evolve Innovative Web Services</v>
      </c>
      <c r="K1218" s="2" t="str">
        <v>Furniture</v>
      </c>
      <c r="L1218" s="2" t="str">
        <v>Bush Inc</v>
      </c>
      <c r="M1218" s="2">
        <v>87.75</v>
      </c>
      <c r="N1218" s="16">
        <f t="shared" si="18"/>
        <v>0.73394009012989314</v>
      </c>
    </row>
    <row r="1219" spans="2:14" ht="14.4" customHeight="1" x14ac:dyDescent="0.3">
      <c r="B1219" s="2" t="s">
        <v>1224</v>
      </c>
      <c r="C1219" s="3">
        <v>43899</v>
      </c>
      <c r="D1219" s="2" t="s">
        <v>2012</v>
      </c>
      <c r="E1219" s="2" t="s">
        <v>2017</v>
      </c>
      <c r="F1219" s="4">
        <v>1580.23</v>
      </c>
      <c r="G1219" s="5">
        <v>385.05</v>
      </c>
      <c r="H1219" s="6">
        <v>13</v>
      </c>
      <c r="I1219" s="2" t="s">
        <v>2117</v>
      </c>
      <c r="J1219" s="2" t="str">
        <v>Target Bricks-And-Clicks Channels</v>
      </c>
      <c r="K1219" s="2" t="str">
        <v>Electronics</v>
      </c>
      <c r="L1219" s="2" t="str">
        <v>Dunn, Christensen and Meyer</v>
      </c>
      <c r="M1219" s="2">
        <v>126.86</v>
      </c>
      <c r="N1219" s="16">
        <f t="shared" si="18"/>
        <v>0.2436670611240136</v>
      </c>
    </row>
    <row r="1220" spans="2:14" ht="14.4" customHeight="1" x14ac:dyDescent="0.3">
      <c r="B1220" s="2" t="s">
        <v>1225</v>
      </c>
      <c r="C1220" s="3">
        <v>43953</v>
      </c>
      <c r="D1220" s="2" t="s">
        <v>2009</v>
      </c>
      <c r="E1220" s="2" t="s">
        <v>2092</v>
      </c>
      <c r="F1220" s="4">
        <v>3483.78</v>
      </c>
      <c r="G1220" s="5">
        <v>87.31</v>
      </c>
      <c r="H1220" s="6">
        <v>14</v>
      </c>
      <c r="I1220" s="2" t="s">
        <v>2116</v>
      </c>
      <c r="J1220" s="2" t="str">
        <v>Seize Clicks-And-Mortar Platforms</v>
      </c>
      <c r="K1220" s="2" t="str">
        <v>Office Supplies</v>
      </c>
      <c r="L1220" s="2" t="str">
        <v>Owens, Campos and Wood</v>
      </c>
      <c r="M1220" s="2">
        <v>271.16000000000003</v>
      </c>
      <c r="N1220" s="16">
        <f t="shared" si="18"/>
        <v>2.5061858096665116E-2</v>
      </c>
    </row>
    <row r="1221" spans="2:14" ht="14.4" customHeight="1" x14ac:dyDescent="0.3">
      <c r="B1221" s="2" t="s">
        <v>1226</v>
      </c>
      <c r="C1221" s="3">
        <v>45081</v>
      </c>
      <c r="D1221" s="2" t="s">
        <v>2012</v>
      </c>
      <c r="E1221" s="2" t="s">
        <v>2028</v>
      </c>
      <c r="F1221" s="4">
        <v>461.45</v>
      </c>
      <c r="G1221" s="5">
        <v>612.34</v>
      </c>
      <c r="H1221" s="6">
        <v>12</v>
      </c>
      <c r="I1221" s="2" t="s">
        <v>2116</v>
      </c>
      <c r="J1221" s="2" t="str">
        <v>Synergize World-Class Networks</v>
      </c>
      <c r="K1221" s="2" t="str">
        <v>Electronics</v>
      </c>
      <c r="L1221" s="2" t="str">
        <v>Gomez-Lawrence</v>
      </c>
      <c r="M1221" s="2">
        <v>72.37</v>
      </c>
      <c r="N1221" s="16">
        <f t="shared" ref="N1221:N1284" si="19">(G1221/F1221)</f>
        <v>1.3269910066096002</v>
      </c>
    </row>
    <row r="1222" spans="2:14" ht="14.4" customHeight="1" x14ac:dyDescent="0.3">
      <c r="B1222" s="2" t="s">
        <v>1227</v>
      </c>
      <c r="C1222" s="3">
        <v>43939</v>
      </c>
      <c r="D1222" s="2" t="s">
        <v>2011</v>
      </c>
      <c r="E1222" s="2" t="s">
        <v>2098</v>
      </c>
      <c r="F1222" s="4">
        <v>3220.35</v>
      </c>
      <c r="G1222" s="5">
        <v>559.67999999999995</v>
      </c>
      <c r="H1222" s="6">
        <v>11</v>
      </c>
      <c r="I1222" s="2" t="s">
        <v>2117</v>
      </c>
      <c r="J1222" s="2" t="str">
        <v>Deliver Viral Channels</v>
      </c>
      <c r="K1222" s="2" t="str">
        <v>Furniture</v>
      </c>
      <c r="L1222" s="2" t="str">
        <v>Parker LLC</v>
      </c>
      <c r="M1222" s="2">
        <v>45.41</v>
      </c>
      <c r="N1222" s="16">
        <f t="shared" si="19"/>
        <v>0.17379477385998415</v>
      </c>
    </row>
    <row r="1223" spans="2:14" ht="14.4" customHeight="1" x14ac:dyDescent="0.3">
      <c r="B1223" s="2" t="s">
        <v>1228</v>
      </c>
      <c r="C1223" s="3">
        <v>44169</v>
      </c>
      <c r="D1223" s="2" t="s">
        <v>2010</v>
      </c>
      <c r="E1223" s="2" t="s">
        <v>2026</v>
      </c>
      <c r="F1223" s="4">
        <v>1495.29</v>
      </c>
      <c r="G1223" s="5">
        <v>351.11</v>
      </c>
      <c r="H1223" s="6">
        <v>15</v>
      </c>
      <c r="I1223" s="2" t="s">
        <v>2117</v>
      </c>
      <c r="J1223" s="2" t="str">
        <v>Monetize Wireless Functionalities</v>
      </c>
      <c r="K1223" s="2" t="str">
        <v>Furniture</v>
      </c>
      <c r="L1223" s="2" t="str">
        <v>Robinson, Rodriguez and Hernandez</v>
      </c>
      <c r="M1223" s="2">
        <v>162.22</v>
      </c>
      <c r="N1223" s="16">
        <f t="shared" si="19"/>
        <v>0.23481063873897373</v>
      </c>
    </row>
    <row r="1224" spans="2:14" ht="14.4" customHeight="1" x14ac:dyDescent="0.3">
      <c r="B1224" s="2" t="s">
        <v>1229</v>
      </c>
      <c r="C1224" s="3">
        <v>45565</v>
      </c>
      <c r="D1224" s="2" t="s">
        <v>2010</v>
      </c>
      <c r="E1224" s="2" t="s">
        <v>2018</v>
      </c>
      <c r="F1224" s="4">
        <v>1946</v>
      </c>
      <c r="G1224" s="5">
        <v>458.49</v>
      </c>
      <c r="H1224" s="6">
        <v>1</v>
      </c>
      <c r="I1224" s="2" t="s">
        <v>2117</v>
      </c>
      <c r="J1224" s="2" t="str">
        <v>Deliver Sticky Networks</v>
      </c>
      <c r="K1224" s="2" t="str">
        <v>Furniture</v>
      </c>
      <c r="L1224" s="2" t="str">
        <v>Massey LLC</v>
      </c>
      <c r="M1224" s="2">
        <v>272.33</v>
      </c>
      <c r="N1224" s="16">
        <f t="shared" si="19"/>
        <v>0.23560637204522097</v>
      </c>
    </row>
    <row r="1225" spans="2:14" ht="14.4" customHeight="1" x14ac:dyDescent="0.3">
      <c r="B1225" s="2" t="s">
        <v>1230</v>
      </c>
      <c r="C1225" s="3">
        <v>45318</v>
      </c>
      <c r="D1225" s="2" t="s">
        <v>2012</v>
      </c>
      <c r="E1225" s="2" t="s">
        <v>2047</v>
      </c>
      <c r="F1225" s="4">
        <v>2156.21</v>
      </c>
      <c r="G1225" s="5">
        <v>320.95999999999998</v>
      </c>
      <c r="H1225" s="6">
        <v>16</v>
      </c>
      <c r="I1225" s="2" t="s">
        <v>2116</v>
      </c>
      <c r="J1225" s="2" t="str">
        <v>Transform Holistic Functionalities</v>
      </c>
      <c r="K1225" s="2" t="str">
        <v>Office Supplies</v>
      </c>
      <c r="L1225" s="2" t="str">
        <v>Ruiz Ltd</v>
      </c>
      <c r="M1225" s="2">
        <v>179.27</v>
      </c>
      <c r="N1225" s="16">
        <f t="shared" si="19"/>
        <v>0.14885377583816045</v>
      </c>
    </row>
    <row r="1226" spans="2:14" ht="14.4" customHeight="1" x14ac:dyDescent="0.3">
      <c r="B1226" s="2" t="s">
        <v>1231</v>
      </c>
      <c r="C1226" s="3">
        <v>44779</v>
      </c>
      <c r="D1226" s="2" t="s">
        <v>2009</v>
      </c>
      <c r="E1226" s="2" t="s">
        <v>2095</v>
      </c>
      <c r="F1226" s="4">
        <v>975.01</v>
      </c>
      <c r="G1226" s="5">
        <v>210.7</v>
      </c>
      <c r="H1226" s="6">
        <v>15</v>
      </c>
      <c r="I1226" s="2" t="s">
        <v>2116</v>
      </c>
      <c r="J1226" s="2" t="str">
        <v>Envisioneer B2B Users</v>
      </c>
      <c r="K1226" s="2" t="str">
        <v>Office Supplies</v>
      </c>
      <c r="L1226" s="2" t="str">
        <v>Rogers Group</v>
      </c>
      <c r="M1226" s="2">
        <v>239.16</v>
      </c>
      <c r="N1226" s="16">
        <f t="shared" si="19"/>
        <v>0.21610034768874165</v>
      </c>
    </row>
    <row r="1227" spans="2:14" ht="14.4" customHeight="1" x14ac:dyDescent="0.3">
      <c r="B1227" s="2" t="s">
        <v>1232</v>
      </c>
      <c r="C1227" s="3">
        <v>45321</v>
      </c>
      <c r="D1227" s="2" t="s">
        <v>2009</v>
      </c>
      <c r="E1227" s="2" t="s">
        <v>2037</v>
      </c>
      <c r="F1227" s="4">
        <v>4878.63</v>
      </c>
      <c r="G1227" s="5">
        <v>437.4</v>
      </c>
      <c r="H1227" s="6">
        <v>11</v>
      </c>
      <c r="I1227" s="2" t="s">
        <v>2117</v>
      </c>
      <c r="J1227" s="2" t="str">
        <v>Utilize Back-End Models</v>
      </c>
      <c r="K1227" s="2" t="str">
        <v>Furniture</v>
      </c>
      <c r="L1227" s="2" t="str">
        <v>Lewis-Holden</v>
      </c>
      <c r="M1227" s="2">
        <v>241.53</v>
      </c>
      <c r="N1227" s="16">
        <f t="shared" si="19"/>
        <v>8.9656317449775855E-2</v>
      </c>
    </row>
    <row r="1228" spans="2:14" ht="14.4" customHeight="1" x14ac:dyDescent="0.3">
      <c r="B1228" s="2" t="s">
        <v>1233</v>
      </c>
      <c r="C1228" s="3">
        <v>45014</v>
      </c>
      <c r="D1228" s="2" t="s">
        <v>2009</v>
      </c>
      <c r="E1228" s="2" t="s">
        <v>2045</v>
      </c>
      <c r="F1228" s="4">
        <v>4720.91</v>
      </c>
      <c r="G1228" s="5">
        <v>340.03</v>
      </c>
      <c r="H1228" s="6">
        <v>18</v>
      </c>
      <c r="I1228" s="2" t="s">
        <v>2116</v>
      </c>
      <c r="J1228" s="2" t="str">
        <v>Leverage Scalable Interfaces</v>
      </c>
      <c r="K1228" s="2" t="str">
        <v>Office Supplies</v>
      </c>
      <c r="L1228" s="2" t="str">
        <v>Kaufman-Jones</v>
      </c>
      <c r="M1228" s="2">
        <v>73.33</v>
      </c>
      <c r="N1228" s="16">
        <f t="shared" si="19"/>
        <v>7.2026367797733915E-2</v>
      </c>
    </row>
    <row r="1229" spans="2:14" ht="14.4" customHeight="1" x14ac:dyDescent="0.3">
      <c r="B1229" s="2" t="s">
        <v>1234</v>
      </c>
      <c r="C1229" s="3">
        <v>44033</v>
      </c>
      <c r="D1229" s="2" t="s">
        <v>2010</v>
      </c>
      <c r="E1229" s="2" t="s">
        <v>2072</v>
      </c>
      <c r="F1229" s="4">
        <v>1903</v>
      </c>
      <c r="G1229" s="5">
        <v>299.98</v>
      </c>
      <c r="H1229" s="6">
        <v>9</v>
      </c>
      <c r="I1229" s="2" t="s">
        <v>2116</v>
      </c>
      <c r="J1229" s="2" t="str">
        <v>Evolve Innovative Web Services</v>
      </c>
      <c r="K1229" s="2" t="str">
        <v>Furniture</v>
      </c>
      <c r="L1229" s="2" t="str">
        <v>Bush Inc</v>
      </c>
      <c r="M1229" s="2">
        <v>87.75</v>
      </c>
      <c r="N1229" s="16">
        <f t="shared" si="19"/>
        <v>0.15763531266421441</v>
      </c>
    </row>
    <row r="1230" spans="2:14" ht="14.4" customHeight="1" x14ac:dyDescent="0.3">
      <c r="B1230" s="2" t="s">
        <v>1235</v>
      </c>
      <c r="C1230" s="3">
        <v>44354</v>
      </c>
      <c r="D1230" s="2" t="s">
        <v>2009</v>
      </c>
      <c r="E1230" s="2" t="s">
        <v>2107</v>
      </c>
      <c r="F1230" s="4">
        <v>2982.74</v>
      </c>
      <c r="G1230" s="5">
        <v>939.43</v>
      </c>
      <c r="H1230" s="6">
        <v>17</v>
      </c>
      <c r="I1230" s="2" t="s">
        <v>2118</v>
      </c>
      <c r="J1230" s="2" t="str">
        <v>Extend Bricks-And-Clicks Niches</v>
      </c>
      <c r="K1230" s="2" t="str">
        <v>Office Supplies</v>
      </c>
      <c r="L1230" s="2" t="str">
        <v>Hernandez-Rios</v>
      </c>
      <c r="M1230" s="2">
        <v>65.989999999999995</v>
      </c>
      <c r="N1230" s="16">
        <f t="shared" si="19"/>
        <v>0.31495537660003892</v>
      </c>
    </row>
    <row r="1231" spans="2:14" ht="14.4" customHeight="1" x14ac:dyDescent="0.3">
      <c r="B1231" s="2" t="s">
        <v>1236</v>
      </c>
      <c r="C1231" s="3">
        <v>44649</v>
      </c>
      <c r="D1231" s="2" t="s">
        <v>2009</v>
      </c>
      <c r="E1231" s="2" t="s">
        <v>2022</v>
      </c>
      <c r="F1231" s="4">
        <v>2804.32</v>
      </c>
      <c r="G1231" s="5">
        <v>869.48</v>
      </c>
      <c r="H1231" s="6">
        <v>13</v>
      </c>
      <c r="I1231" s="2" t="s">
        <v>2117</v>
      </c>
      <c r="J1231" s="2" t="str">
        <v>Monetize Collaborative Metrics</v>
      </c>
      <c r="K1231" s="2" t="str">
        <v>Electronics</v>
      </c>
      <c r="L1231" s="2" t="str">
        <v>Ramirez-Brown</v>
      </c>
      <c r="M1231" s="2">
        <v>286.04000000000002</v>
      </c>
      <c r="N1231" s="16">
        <f t="shared" si="19"/>
        <v>0.31005020825012836</v>
      </c>
    </row>
    <row r="1232" spans="2:14" ht="14.4" customHeight="1" x14ac:dyDescent="0.3">
      <c r="B1232" s="2" t="s">
        <v>1237</v>
      </c>
      <c r="C1232" s="3">
        <v>44085</v>
      </c>
      <c r="D1232" s="2" t="s">
        <v>2011</v>
      </c>
      <c r="E1232" s="2" t="s">
        <v>2074</v>
      </c>
      <c r="F1232" s="4">
        <v>4870.88</v>
      </c>
      <c r="G1232" s="5">
        <v>584.35</v>
      </c>
      <c r="H1232" s="6">
        <v>18</v>
      </c>
      <c r="I1232" s="2" t="s">
        <v>2118</v>
      </c>
      <c r="J1232" s="2" t="str">
        <v>Utilize Ubiquitous Synergies</v>
      </c>
      <c r="K1232" s="2" t="str">
        <v>Electronics</v>
      </c>
      <c r="L1232" s="2" t="str">
        <v>Kramer, Huang and Shaw</v>
      </c>
      <c r="M1232" s="2">
        <v>295.89999999999998</v>
      </c>
      <c r="N1232" s="16">
        <f t="shared" si="19"/>
        <v>0.11996805505370693</v>
      </c>
    </row>
    <row r="1233" spans="2:14" ht="14.4" customHeight="1" x14ac:dyDescent="0.3">
      <c r="B1233" s="2" t="s">
        <v>1238</v>
      </c>
      <c r="C1233" s="3">
        <v>44814</v>
      </c>
      <c r="D1233" s="2" t="s">
        <v>2011</v>
      </c>
      <c r="E1233" s="2" t="s">
        <v>2019</v>
      </c>
      <c r="F1233" s="4">
        <v>989.2</v>
      </c>
      <c r="G1233" s="5">
        <v>549.99</v>
      </c>
      <c r="H1233" s="6">
        <v>5</v>
      </c>
      <c r="I1233" s="2" t="s">
        <v>2117</v>
      </c>
      <c r="J1233" s="2" t="str">
        <v>Implement Clicks-And-Mortar Partnerships</v>
      </c>
      <c r="K1233" s="2" t="str">
        <v>Electronics</v>
      </c>
      <c r="L1233" s="2" t="str">
        <v>Smith Inc</v>
      </c>
      <c r="M1233" s="2">
        <v>195.53</v>
      </c>
      <c r="N1233" s="16">
        <f t="shared" si="19"/>
        <v>0.55599474322684994</v>
      </c>
    </row>
    <row r="1234" spans="2:14" ht="14.4" customHeight="1" x14ac:dyDescent="0.3">
      <c r="B1234" s="2" t="s">
        <v>1239</v>
      </c>
      <c r="C1234" s="3">
        <v>44431</v>
      </c>
      <c r="D1234" s="2" t="s">
        <v>2011</v>
      </c>
      <c r="E1234" s="2" t="s">
        <v>2093</v>
      </c>
      <c r="F1234" s="4">
        <v>2329.9499999999998</v>
      </c>
      <c r="G1234" s="5">
        <v>347.15</v>
      </c>
      <c r="H1234" s="6">
        <v>10</v>
      </c>
      <c r="I1234" s="2" t="s">
        <v>2116</v>
      </c>
      <c r="J1234" s="2" t="str">
        <v>Synergize Frictionless Synergies</v>
      </c>
      <c r="K1234" s="2" t="str">
        <v>Furniture</v>
      </c>
      <c r="L1234" s="2" t="str">
        <v>Hester and Sons</v>
      </c>
      <c r="M1234" s="2">
        <v>289.06</v>
      </c>
      <c r="N1234" s="16">
        <f t="shared" si="19"/>
        <v>0.14899461361831798</v>
      </c>
    </row>
    <row r="1235" spans="2:14" ht="14.4" customHeight="1" x14ac:dyDescent="0.3">
      <c r="B1235" s="2" t="s">
        <v>1240</v>
      </c>
      <c r="C1235" s="3">
        <v>44008</v>
      </c>
      <c r="D1235" s="2" t="s">
        <v>2011</v>
      </c>
      <c r="E1235" s="2" t="s">
        <v>2112</v>
      </c>
      <c r="F1235" s="4">
        <v>117.19</v>
      </c>
      <c r="G1235" s="5">
        <v>780.01</v>
      </c>
      <c r="H1235" s="6">
        <v>3</v>
      </c>
      <c r="I1235" s="2" t="s">
        <v>2116</v>
      </c>
      <c r="J1235" s="2" t="str">
        <v>Mesh B2B Platforms</v>
      </c>
      <c r="K1235" s="2" t="str">
        <v>Furniture</v>
      </c>
      <c r="L1235" s="2" t="str">
        <v>Stevens, Walton and Riddle</v>
      </c>
      <c r="M1235" s="2">
        <v>236.57</v>
      </c>
      <c r="N1235" s="16">
        <f t="shared" si="19"/>
        <v>6.6559433398754164</v>
      </c>
    </row>
    <row r="1236" spans="2:14" ht="14.4" customHeight="1" x14ac:dyDescent="0.3">
      <c r="B1236" s="2" t="s">
        <v>1241</v>
      </c>
      <c r="C1236" s="3">
        <v>45199</v>
      </c>
      <c r="D1236" s="2" t="s">
        <v>2012</v>
      </c>
      <c r="E1236" s="2" t="s">
        <v>2087</v>
      </c>
      <c r="F1236" s="4">
        <v>1465.54</v>
      </c>
      <c r="G1236" s="5">
        <v>791.89</v>
      </c>
      <c r="H1236" s="6">
        <v>9</v>
      </c>
      <c r="I1236" s="2" t="s">
        <v>2116</v>
      </c>
      <c r="J1236" s="2" t="str">
        <v>Empower Seamless Roi</v>
      </c>
      <c r="K1236" s="2" t="str">
        <v>Office Supplies</v>
      </c>
      <c r="L1236" s="2" t="str">
        <v>Proctor Group</v>
      </c>
      <c r="M1236" s="2">
        <v>266.64999999999998</v>
      </c>
      <c r="N1236" s="16">
        <f t="shared" si="19"/>
        <v>0.5403400794246489</v>
      </c>
    </row>
    <row r="1237" spans="2:14" ht="14.4" customHeight="1" x14ac:dyDescent="0.3">
      <c r="B1237" s="2" t="s">
        <v>1242</v>
      </c>
      <c r="C1237" s="3">
        <v>45486</v>
      </c>
      <c r="D1237" s="2" t="s">
        <v>2009</v>
      </c>
      <c r="E1237" s="2" t="s">
        <v>2029</v>
      </c>
      <c r="F1237" s="4">
        <v>1727.86</v>
      </c>
      <c r="G1237" s="5">
        <v>804.52</v>
      </c>
      <c r="H1237" s="6">
        <v>8</v>
      </c>
      <c r="I1237" s="2" t="s">
        <v>2118</v>
      </c>
      <c r="J1237" s="2" t="str">
        <v>E-Enable Next-Generation Experiences</v>
      </c>
      <c r="K1237" s="2" t="str">
        <v>Furniture</v>
      </c>
      <c r="L1237" s="2" t="str">
        <v>Sanchez-Quinn</v>
      </c>
      <c r="M1237" s="2">
        <v>266.93</v>
      </c>
      <c r="N1237" s="16">
        <f t="shared" si="19"/>
        <v>0.46561642725683794</v>
      </c>
    </row>
    <row r="1238" spans="2:14" ht="14.4" customHeight="1" x14ac:dyDescent="0.3">
      <c r="B1238" s="2" t="s">
        <v>1243</v>
      </c>
      <c r="C1238" s="3">
        <v>44410</v>
      </c>
      <c r="D1238" s="2" t="s">
        <v>2011</v>
      </c>
      <c r="E1238" s="2" t="s">
        <v>2031</v>
      </c>
      <c r="F1238" s="4">
        <v>4983.3500000000004</v>
      </c>
      <c r="G1238" s="5">
        <v>231.45</v>
      </c>
      <c r="H1238" s="6">
        <v>13</v>
      </c>
      <c r="I1238" s="2" t="s">
        <v>2117</v>
      </c>
      <c r="J1238" s="2" t="str">
        <v>Embrace 24/365 Functionalities</v>
      </c>
      <c r="K1238" s="2" t="str">
        <v>Office Supplies</v>
      </c>
      <c r="L1238" s="2" t="str">
        <v>Smith LLC</v>
      </c>
      <c r="M1238" s="2">
        <v>204.04</v>
      </c>
      <c r="N1238" s="16">
        <f t="shared" si="19"/>
        <v>4.6444660720198254E-2</v>
      </c>
    </row>
    <row r="1239" spans="2:14" ht="14.4" customHeight="1" x14ac:dyDescent="0.3">
      <c r="B1239" s="2" t="s">
        <v>1244</v>
      </c>
      <c r="C1239" s="3">
        <v>43844</v>
      </c>
      <c r="D1239" s="2" t="s">
        <v>2010</v>
      </c>
      <c r="E1239" s="2" t="s">
        <v>2021</v>
      </c>
      <c r="F1239" s="4">
        <v>1637.1</v>
      </c>
      <c r="G1239" s="5">
        <v>965.32</v>
      </c>
      <c r="H1239" s="6">
        <v>8</v>
      </c>
      <c r="I1239" s="2" t="s">
        <v>2117</v>
      </c>
      <c r="J1239" s="2" t="str">
        <v>Whiteboard Compelling Experiences</v>
      </c>
      <c r="K1239" s="2" t="str">
        <v>Furniture</v>
      </c>
      <c r="L1239" s="2" t="str">
        <v>Carrillo, Carr and Ball</v>
      </c>
      <c r="M1239" s="2">
        <v>206.54</v>
      </c>
      <c r="N1239" s="16">
        <f t="shared" si="19"/>
        <v>0.58965243418239577</v>
      </c>
    </row>
    <row r="1240" spans="2:14" ht="14.4" customHeight="1" x14ac:dyDescent="0.3">
      <c r="B1240" s="2" t="s">
        <v>1245</v>
      </c>
      <c r="C1240" s="3">
        <v>44925</v>
      </c>
      <c r="D1240" s="2" t="s">
        <v>2009</v>
      </c>
      <c r="E1240" s="2" t="s">
        <v>2050</v>
      </c>
      <c r="F1240" s="4">
        <v>1786.66</v>
      </c>
      <c r="G1240" s="5">
        <v>842.11</v>
      </c>
      <c r="H1240" s="6">
        <v>16</v>
      </c>
      <c r="I1240" s="2" t="s">
        <v>2117</v>
      </c>
      <c r="J1240" s="2" t="str">
        <v>Extend Bricks-And-Clicks Architectures</v>
      </c>
      <c r="K1240" s="2" t="str">
        <v>Furniture</v>
      </c>
      <c r="L1240" s="2" t="str">
        <v>Fuller PLC</v>
      </c>
      <c r="M1240" s="2">
        <v>202.99</v>
      </c>
      <c r="N1240" s="16">
        <f t="shared" si="19"/>
        <v>0.47133198258202452</v>
      </c>
    </row>
    <row r="1241" spans="2:14" ht="14.4" customHeight="1" x14ac:dyDescent="0.3">
      <c r="B1241" s="2" t="s">
        <v>1246</v>
      </c>
      <c r="C1241" s="3">
        <v>45525</v>
      </c>
      <c r="D1241" s="2" t="s">
        <v>2011</v>
      </c>
      <c r="E1241" s="2" t="s">
        <v>2013</v>
      </c>
      <c r="F1241" s="4">
        <v>3084.8</v>
      </c>
      <c r="G1241" s="5">
        <v>345.32</v>
      </c>
      <c r="H1241" s="6">
        <v>17</v>
      </c>
      <c r="I1241" s="2" t="s">
        <v>2116</v>
      </c>
      <c r="J1241" s="2" t="str">
        <v>Re-Intermediate Seamless Applications</v>
      </c>
      <c r="K1241" s="2" t="str">
        <v>Office Supplies</v>
      </c>
      <c r="L1241" s="2" t="str">
        <v>Welch-Reed</v>
      </c>
      <c r="M1241" s="2">
        <v>45.82</v>
      </c>
      <c r="N1241" s="16">
        <f t="shared" si="19"/>
        <v>0.11194242738589211</v>
      </c>
    </row>
    <row r="1242" spans="2:14" ht="14.4" customHeight="1" x14ac:dyDescent="0.3">
      <c r="B1242" s="2" t="s">
        <v>1247</v>
      </c>
      <c r="C1242" s="3">
        <v>45145</v>
      </c>
      <c r="D1242" s="2" t="s">
        <v>2010</v>
      </c>
      <c r="E1242" s="2" t="s">
        <v>2076</v>
      </c>
      <c r="F1242" s="4">
        <v>4149.51</v>
      </c>
      <c r="G1242" s="5">
        <v>905.59</v>
      </c>
      <c r="H1242" s="6">
        <v>4</v>
      </c>
      <c r="I1242" s="2" t="s">
        <v>2118</v>
      </c>
      <c r="J1242" s="2" t="str">
        <v>Deliver Extensible Partnerships</v>
      </c>
      <c r="K1242" s="2" t="str">
        <v>Furniture</v>
      </c>
      <c r="L1242" s="2" t="str">
        <v>Martin, Paul and Salazar</v>
      </c>
      <c r="M1242" s="2">
        <v>43.76</v>
      </c>
      <c r="N1242" s="16">
        <f t="shared" si="19"/>
        <v>0.2182402259543898</v>
      </c>
    </row>
    <row r="1243" spans="2:14" ht="14.4" customHeight="1" x14ac:dyDescent="0.3">
      <c r="B1243" s="2" t="s">
        <v>1248</v>
      </c>
      <c r="C1243" s="3">
        <v>44512</v>
      </c>
      <c r="D1243" s="2" t="s">
        <v>2011</v>
      </c>
      <c r="E1243" s="2" t="s">
        <v>2079</v>
      </c>
      <c r="F1243" s="4">
        <v>2899.43</v>
      </c>
      <c r="G1243" s="5">
        <v>680.23</v>
      </c>
      <c r="H1243" s="6">
        <v>20</v>
      </c>
      <c r="I1243" s="2" t="s">
        <v>2116</v>
      </c>
      <c r="J1243" s="2" t="str">
        <v>Iterate Extensible Roi</v>
      </c>
      <c r="K1243" s="2" t="str">
        <v>Office Supplies</v>
      </c>
      <c r="L1243" s="2" t="str">
        <v>Hill-Kelly</v>
      </c>
      <c r="M1243" s="2">
        <v>180</v>
      </c>
      <c r="N1243" s="16">
        <f t="shared" si="19"/>
        <v>0.2346081816081092</v>
      </c>
    </row>
    <row r="1244" spans="2:14" ht="14.4" customHeight="1" x14ac:dyDescent="0.3">
      <c r="B1244" s="2" t="s">
        <v>1249</v>
      </c>
      <c r="C1244" s="3">
        <v>45279</v>
      </c>
      <c r="D1244" s="2" t="s">
        <v>2009</v>
      </c>
      <c r="E1244" s="2" t="s">
        <v>2029</v>
      </c>
      <c r="F1244" s="4">
        <v>1000.81</v>
      </c>
      <c r="G1244" s="5">
        <v>66.510000000000005</v>
      </c>
      <c r="H1244" s="6">
        <v>20</v>
      </c>
      <c r="I1244" s="2" t="s">
        <v>2118</v>
      </c>
      <c r="J1244" s="2" t="str">
        <v>E-Enable Next-Generation Experiences</v>
      </c>
      <c r="K1244" s="2" t="str">
        <v>Furniture</v>
      </c>
      <c r="L1244" s="2" t="str">
        <v>Sanchez-Quinn</v>
      </c>
      <c r="M1244" s="2">
        <v>266.93</v>
      </c>
      <c r="N1244" s="16">
        <f t="shared" si="19"/>
        <v>6.645617050189348E-2</v>
      </c>
    </row>
    <row r="1245" spans="2:14" ht="14.4" customHeight="1" x14ac:dyDescent="0.3">
      <c r="B1245" s="2" t="s">
        <v>1250</v>
      </c>
      <c r="C1245" s="3">
        <v>44390</v>
      </c>
      <c r="D1245" s="2" t="s">
        <v>2011</v>
      </c>
      <c r="E1245" s="2" t="s">
        <v>2100</v>
      </c>
      <c r="F1245" s="4">
        <v>1850.78</v>
      </c>
      <c r="G1245" s="5">
        <v>155.53</v>
      </c>
      <c r="H1245" s="6">
        <v>17</v>
      </c>
      <c r="I1245" s="2" t="s">
        <v>2117</v>
      </c>
      <c r="J1245" s="2" t="str">
        <v>Strategize Best-Of-Breed Web-Readiness</v>
      </c>
      <c r="K1245" s="2" t="str">
        <v>Office Supplies</v>
      </c>
      <c r="L1245" s="2" t="str">
        <v>Morris, King and Ayers</v>
      </c>
      <c r="M1245" s="2">
        <v>220.16</v>
      </c>
      <c r="N1245" s="16">
        <f t="shared" si="19"/>
        <v>8.4034839365024483E-2</v>
      </c>
    </row>
    <row r="1246" spans="2:14" ht="14.4" customHeight="1" x14ac:dyDescent="0.3">
      <c r="B1246" s="2" t="s">
        <v>1251</v>
      </c>
      <c r="C1246" s="3">
        <v>44090</v>
      </c>
      <c r="D1246" s="2" t="s">
        <v>2010</v>
      </c>
      <c r="E1246" s="2" t="s">
        <v>2050</v>
      </c>
      <c r="F1246" s="4">
        <v>1908.58</v>
      </c>
      <c r="G1246" s="5">
        <v>47.34</v>
      </c>
      <c r="H1246" s="6">
        <v>16</v>
      </c>
      <c r="I1246" s="2" t="s">
        <v>2117</v>
      </c>
      <c r="J1246" s="2" t="str">
        <v>Extend Bricks-And-Clicks Architectures</v>
      </c>
      <c r="K1246" s="2" t="str">
        <v>Furniture</v>
      </c>
      <c r="L1246" s="2" t="str">
        <v>Fuller PLC</v>
      </c>
      <c r="M1246" s="2">
        <v>202.99</v>
      </c>
      <c r="N1246" s="16">
        <f t="shared" si="19"/>
        <v>2.4803780821343619E-2</v>
      </c>
    </row>
    <row r="1247" spans="2:14" ht="14.4" customHeight="1" x14ac:dyDescent="0.3">
      <c r="B1247" s="2" t="s">
        <v>1252</v>
      </c>
      <c r="C1247" s="3">
        <v>44259</v>
      </c>
      <c r="D1247" s="2" t="s">
        <v>2010</v>
      </c>
      <c r="E1247" s="2" t="s">
        <v>2082</v>
      </c>
      <c r="F1247" s="4">
        <v>3316.4</v>
      </c>
      <c r="G1247" s="5">
        <v>969.09</v>
      </c>
      <c r="H1247" s="6">
        <v>4</v>
      </c>
      <c r="I1247" s="2" t="s">
        <v>2117</v>
      </c>
      <c r="J1247" s="2" t="str">
        <v>Re-Contextualize Viral Markets</v>
      </c>
      <c r="K1247" s="2" t="str">
        <v>Electronics</v>
      </c>
      <c r="L1247" s="2" t="str">
        <v>Meadows-Barber</v>
      </c>
      <c r="M1247" s="2">
        <v>177.52</v>
      </c>
      <c r="N1247" s="16">
        <f t="shared" si="19"/>
        <v>0.2922114340851526</v>
      </c>
    </row>
    <row r="1248" spans="2:14" ht="14.4" customHeight="1" x14ac:dyDescent="0.3">
      <c r="B1248" s="2" t="s">
        <v>1253</v>
      </c>
      <c r="C1248" s="3">
        <v>43900</v>
      </c>
      <c r="D1248" s="2" t="s">
        <v>2011</v>
      </c>
      <c r="E1248" s="2" t="s">
        <v>2031</v>
      </c>
      <c r="F1248" s="4">
        <v>1306.4100000000001</v>
      </c>
      <c r="G1248" s="5">
        <v>842.94</v>
      </c>
      <c r="H1248" s="6">
        <v>4</v>
      </c>
      <c r="I1248" s="2" t="s">
        <v>2116</v>
      </c>
      <c r="J1248" s="2" t="str">
        <v>Embrace 24/365 Functionalities</v>
      </c>
      <c r="K1248" s="2" t="str">
        <v>Office Supplies</v>
      </c>
      <c r="L1248" s="2" t="str">
        <v>Smith LLC</v>
      </c>
      <c r="M1248" s="2">
        <v>204.04</v>
      </c>
      <c r="N1248" s="16">
        <f t="shared" si="19"/>
        <v>0.64523388522745539</v>
      </c>
    </row>
    <row r="1249" spans="2:14" ht="14.4" customHeight="1" x14ac:dyDescent="0.3">
      <c r="B1249" s="2" t="s">
        <v>1254</v>
      </c>
      <c r="C1249" s="3">
        <v>45512</v>
      </c>
      <c r="D1249" s="2" t="s">
        <v>2009</v>
      </c>
      <c r="E1249" s="2" t="s">
        <v>2023</v>
      </c>
      <c r="F1249" s="4">
        <v>963.15</v>
      </c>
      <c r="G1249" s="5">
        <v>929.92</v>
      </c>
      <c r="H1249" s="6">
        <v>19</v>
      </c>
      <c r="I1249" s="2" t="s">
        <v>2116</v>
      </c>
      <c r="J1249" s="2" t="str">
        <v>Leverage Cutting-Edge Vortals</v>
      </c>
      <c r="K1249" s="2" t="str">
        <v>Electronics</v>
      </c>
      <c r="L1249" s="2" t="str">
        <v>Robinson, Garrett and Chavez</v>
      </c>
      <c r="M1249" s="2">
        <v>117.3</v>
      </c>
      <c r="N1249" s="16">
        <f t="shared" si="19"/>
        <v>0.96549862430566369</v>
      </c>
    </row>
    <row r="1250" spans="2:14" ht="14.4" customHeight="1" x14ac:dyDescent="0.3">
      <c r="B1250" s="2" t="s">
        <v>1255</v>
      </c>
      <c r="C1250" s="3">
        <v>44879</v>
      </c>
      <c r="D1250" s="2" t="s">
        <v>2011</v>
      </c>
      <c r="E1250" s="2" t="s">
        <v>2089</v>
      </c>
      <c r="F1250" s="4">
        <v>2910.76</v>
      </c>
      <c r="G1250" s="5">
        <v>393.58</v>
      </c>
      <c r="H1250" s="6">
        <v>17</v>
      </c>
      <c r="I1250" s="2" t="s">
        <v>2118</v>
      </c>
      <c r="J1250" s="2" t="str">
        <v>Morph World-Class Synergies</v>
      </c>
      <c r="K1250" s="2" t="str">
        <v>Electronics</v>
      </c>
      <c r="L1250" s="2" t="str">
        <v>Bryant Ltd</v>
      </c>
      <c r="M1250" s="2">
        <v>20.69</v>
      </c>
      <c r="N1250" s="16">
        <f t="shared" si="19"/>
        <v>0.13521554508100975</v>
      </c>
    </row>
    <row r="1251" spans="2:14" ht="14.4" customHeight="1" x14ac:dyDescent="0.3">
      <c r="B1251" s="2" t="s">
        <v>1256</v>
      </c>
      <c r="C1251" s="3">
        <v>44610</v>
      </c>
      <c r="D1251" s="2" t="s">
        <v>2010</v>
      </c>
      <c r="E1251" s="2" t="s">
        <v>2072</v>
      </c>
      <c r="F1251" s="4">
        <v>3757.57</v>
      </c>
      <c r="G1251" s="5">
        <v>290.97000000000003</v>
      </c>
      <c r="H1251" s="6">
        <v>13</v>
      </c>
      <c r="I1251" s="2" t="s">
        <v>2116</v>
      </c>
      <c r="J1251" s="2" t="str">
        <v>Evolve Innovative Web Services</v>
      </c>
      <c r="K1251" s="2" t="str">
        <v>Furniture</v>
      </c>
      <c r="L1251" s="2" t="str">
        <v>Bush Inc</v>
      </c>
      <c r="M1251" s="2">
        <v>87.75</v>
      </c>
      <c r="N1251" s="16">
        <f t="shared" si="19"/>
        <v>7.7435683167579053E-2</v>
      </c>
    </row>
    <row r="1252" spans="2:14" ht="14.4" customHeight="1" x14ac:dyDescent="0.3">
      <c r="B1252" s="2" t="s">
        <v>1257</v>
      </c>
      <c r="C1252" s="3">
        <v>45133</v>
      </c>
      <c r="D1252" s="2" t="s">
        <v>2009</v>
      </c>
      <c r="E1252" s="2" t="s">
        <v>2045</v>
      </c>
      <c r="F1252" s="4">
        <v>4086.36</v>
      </c>
      <c r="G1252" s="5">
        <v>631.30999999999995</v>
      </c>
      <c r="H1252" s="6">
        <v>19</v>
      </c>
      <c r="I1252" s="2" t="s">
        <v>2118</v>
      </c>
      <c r="J1252" s="2" t="str">
        <v>Leverage Scalable Interfaces</v>
      </c>
      <c r="K1252" s="2" t="str">
        <v>Office Supplies</v>
      </c>
      <c r="L1252" s="2" t="str">
        <v>Kaufman-Jones</v>
      </c>
      <c r="M1252" s="2">
        <v>73.33</v>
      </c>
      <c r="N1252" s="16">
        <f t="shared" si="19"/>
        <v>0.15449201734551041</v>
      </c>
    </row>
    <row r="1253" spans="2:14" ht="14.4" customHeight="1" x14ac:dyDescent="0.3">
      <c r="B1253" s="2" t="s">
        <v>1258</v>
      </c>
      <c r="C1253" s="3">
        <v>44275</v>
      </c>
      <c r="D1253" s="2" t="s">
        <v>2009</v>
      </c>
      <c r="E1253" s="2" t="s">
        <v>2029</v>
      </c>
      <c r="F1253" s="4">
        <v>3879.98</v>
      </c>
      <c r="G1253" s="5">
        <v>667.57</v>
      </c>
      <c r="H1253" s="6">
        <v>8</v>
      </c>
      <c r="I1253" s="2" t="s">
        <v>2118</v>
      </c>
      <c r="J1253" s="2" t="str">
        <v>E-Enable Next-Generation Experiences</v>
      </c>
      <c r="K1253" s="2" t="str">
        <v>Furniture</v>
      </c>
      <c r="L1253" s="2" t="str">
        <v>Sanchez-Quinn</v>
      </c>
      <c r="M1253" s="2">
        <v>266.93</v>
      </c>
      <c r="N1253" s="16">
        <f t="shared" si="19"/>
        <v>0.17205501059283812</v>
      </c>
    </row>
    <row r="1254" spans="2:14" ht="14.4" customHeight="1" x14ac:dyDescent="0.3">
      <c r="B1254" s="2" t="s">
        <v>1259</v>
      </c>
      <c r="C1254" s="3">
        <v>45573</v>
      </c>
      <c r="D1254" s="2" t="s">
        <v>2009</v>
      </c>
      <c r="E1254" s="2" t="s">
        <v>2030</v>
      </c>
      <c r="F1254" s="4">
        <v>3055.99</v>
      </c>
      <c r="G1254" s="5">
        <v>543.79999999999995</v>
      </c>
      <c r="H1254" s="6">
        <v>10</v>
      </c>
      <c r="I1254" s="2" t="s">
        <v>2117</v>
      </c>
      <c r="J1254" s="2" t="str">
        <v>Engage Rich Web-Readiness</v>
      </c>
      <c r="K1254" s="2" t="str">
        <v>Office Supplies</v>
      </c>
      <c r="L1254" s="2" t="str">
        <v>Turner Inc</v>
      </c>
      <c r="M1254" s="2">
        <v>81.069999999999993</v>
      </c>
      <c r="N1254" s="16">
        <f t="shared" si="19"/>
        <v>0.17794560846076066</v>
      </c>
    </row>
    <row r="1255" spans="2:14" ht="14.4" customHeight="1" x14ac:dyDescent="0.3">
      <c r="B1255" s="2" t="s">
        <v>1260</v>
      </c>
      <c r="C1255" s="3">
        <v>44575</v>
      </c>
      <c r="D1255" s="2" t="s">
        <v>2009</v>
      </c>
      <c r="E1255" s="2" t="s">
        <v>2063</v>
      </c>
      <c r="F1255" s="4">
        <v>795.45</v>
      </c>
      <c r="G1255" s="5">
        <v>927.69</v>
      </c>
      <c r="H1255" s="6">
        <v>1</v>
      </c>
      <c r="I1255" s="2" t="s">
        <v>2116</v>
      </c>
      <c r="J1255" s="2" t="str">
        <v>Unleash End-To-End Web Services</v>
      </c>
      <c r="K1255" s="2" t="str">
        <v>Office Supplies</v>
      </c>
      <c r="L1255" s="2" t="str">
        <v>Jones Ltd</v>
      </c>
      <c r="M1255" s="2">
        <v>188.02</v>
      </c>
      <c r="N1255" s="16">
        <f t="shared" si="19"/>
        <v>1.1662455214029794</v>
      </c>
    </row>
    <row r="1256" spans="2:14" ht="14.4" customHeight="1" x14ac:dyDescent="0.3">
      <c r="B1256" s="2" t="s">
        <v>1261</v>
      </c>
      <c r="C1256" s="3">
        <v>44632</v>
      </c>
      <c r="D1256" s="2" t="s">
        <v>2011</v>
      </c>
      <c r="E1256" s="2" t="s">
        <v>2048</v>
      </c>
      <c r="F1256" s="4">
        <v>274.33999999999997</v>
      </c>
      <c r="G1256" s="5">
        <v>182.11</v>
      </c>
      <c r="H1256" s="6">
        <v>16</v>
      </c>
      <c r="I1256" s="2" t="s">
        <v>2117</v>
      </c>
      <c r="J1256" s="2" t="str">
        <v>Drive Compelling E-Services</v>
      </c>
      <c r="K1256" s="2" t="str">
        <v>Office Supplies</v>
      </c>
      <c r="L1256" s="2" t="str">
        <v>Morris-Villanueva</v>
      </c>
      <c r="M1256" s="2">
        <v>27.22</v>
      </c>
      <c r="N1256" s="16">
        <f t="shared" si="19"/>
        <v>0.6638113290078006</v>
      </c>
    </row>
    <row r="1257" spans="2:14" ht="14.4" customHeight="1" x14ac:dyDescent="0.3">
      <c r="B1257" s="2" t="s">
        <v>1262</v>
      </c>
      <c r="C1257" s="3">
        <v>45556</v>
      </c>
      <c r="D1257" s="2" t="s">
        <v>2010</v>
      </c>
      <c r="E1257" s="2" t="s">
        <v>2054</v>
      </c>
      <c r="F1257" s="4">
        <v>3663.78</v>
      </c>
      <c r="G1257" s="5">
        <v>89.28</v>
      </c>
      <c r="H1257" s="6">
        <v>11</v>
      </c>
      <c r="I1257" s="2" t="s">
        <v>2118</v>
      </c>
      <c r="J1257" s="2" t="str">
        <v>Empower Killer Info-Mediaries</v>
      </c>
      <c r="K1257" s="2" t="str">
        <v>Furniture</v>
      </c>
      <c r="L1257" s="2" t="str">
        <v>Jones Ltd</v>
      </c>
      <c r="M1257" s="2">
        <v>213.24</v>
      </c>
      <c r="N1257" s="16">
        <f t="shared" si="19"/>
        <v>2.4368275387714328E-2</v>
      </c>
    </row>
    <row r="1258" spans="2:14" ht="14.4" customHeight="1" x14ac:dyDescent="0.3">
      <c r="B1258" s="2" t="s">
        <v>1263</v>
      </c>
      <c r="C1258" s="3">
        <v>45454</v>
      </c>
      <c r="D1258" s="2" t="s">
        <v>2010</v>
      </c>
      <c r="E1258" s="2" t="s">
        <v>2052</v>
      </c>
      <c r="F1258" s="4">
        <v>2642.3</v>
      </c>
      <c r="G1258" s="5">
        <v>50.54</v>
      </c>
      <c r="H1258" s="6">
        <v>10</v>
      </c>
      <c r="I1258" s="2" t="s">
        <v>2116</v>
      </c>
      <c r="J1258" s="2" t="str">
        <v>Innovate Sticky Web Services</v>
      </c>
      <c r="K1258" s="2" t="str">
        <v>Electronics</v>
      </c>
      <c r="L1258" s="2" t="str">
        <v>Friedman, Sanders and Adams</v>
      </c>
      <c r="M1258" s="2">
        <v>125.85</v>
      </c>
      <c r="N1258" s="16">
        <f t="shared" si="19"/>
        <v>1.9127275479695716E-2</v>
      </c>
    </row>
    <row r="1259" spans="2:14" ht="14.4" customHeight="1" x14ac:dyDescent="0.3">
      <c r="B1259" s="2" t="s">
        <v>1264</v>
      </c>
      <c r="C1259" s="3">
        <v>45464</v>
      </c>
      <c r="D1259" s="2" t="s">
        <v>2010</v>
      </c>
      <c r="E1259" s="2" t="s">
        <v>2081</v>
      </c>
      <c r="F1259" s="4">
        <v>4945.2299999999996</v>
      </c>
      <c r="G1259" s="5">
        <v>907.76</v>
      </c>
      <c r="H1259" s="6">
        <v>6</v>
      </c>
      <c r="I1259" s="2" t="s">
        <v>2118</v>
      </c>
      <c r="J1259" s="2" t="str">
        <v>Orchestrate User-Centric Platforms</v>
      </c>
      <c r="K1259" s="2" t="str">
        <v>Furniture</v>
      </c>
      <c r="L1259" s="2" t="str">
        <v>Wells Ltd</v>
      </c>
      <c r="M1259" s="2">
        <v>201.87</v>
      </c>
      <c r="N1259" s="16">
        <f t="shared" si="19"/>
        <v>0.18356274632322461</v>
      </c>
    </row>
    <row r="1260" spans="2:14" ht="14.4" customHeight="1" x14ac:dyDescent="0.3">
      <c r="B1260" s="2" t="s">
        <v>1265</v>
      </c>
      <c r="C1260" s="3">
        <v>44208</v>
      </c>
      <c r="D1260" s="2" t="s">
        <v>2012</v>
      </c>
      <c r="E1260" s="2" t="s">
        <v>2093</v>
      </c>
      <c r="F1260" s="4">
        <v>4237.2</v>
      </c>
      <c r="G1260" s="5">
        <v>564.54</v>
      </c>
      <c r="H1260" s="6">
        <v>20</v>
      </c>
      <c r="I1260" s="2" t="s">
        <v>2116</v>
      </c>
      <c r="J1260" s="2" t="str">
        <v>Synergize Frictionless Synergies</v>
      </c>
      <c r="K1260" s="2" t="str">
        <v>Furniture</v>
      </c>
      <c r="L1260" s="2" t="str">
        <v>Hester and Sons</v>
      </c>
      <c r="M1260" s="2">
        <v>289.06</v>
      </c>
      <c r="N1260" s="16">
        <f t="shared" si="19"/>
        <v>0.13323421127159443</v>
      </c>
    </row>
    <row r="1261" spans="2:14" ht="14.4" customHeight="1" x14ac:dyDescent="0.3">
      <c r="B1261" s="2" t="s">
        <v>1266</v>
      </c>
      <c r="C1261" s="3">
        <v>45279</v>
      </c>
      <c r="D1261" s="2" t="s">
        <v>2012</v>
      </c>
      <c r="E1261" s="2" t="s">
        <v>2098</v>
      </c>
      <c r="F1261" s="4">
        <v>3090.26</v>
      </c>
      <c r="G1261" s="5">
        <v>939.23</v>
      </c>
      <c r="H1261" s="6">
        <v>6</v>
      </c>
      <c r="I1261" s="2" t="s">
        <v>2118</v>
      </c>
      <c r="J1261" s="2" t="str">
        <v>Deliver Viral Channels</v>
      </c>
      <c r="K1261" s="2" t="str">
        <v>Furniture</v>
      </c>
      <c r="L1261" s="2" t="str">
        <v>Parker LLC</v>
      </c>
      <c r="M1261" s="2">
        <v>45.41</v>
      </c>
      <c r="N1261" s="16">
        <f t="shared" si="19"/>
        <v>0.30393235520635803</v>
      </c>
    </row>
    <row r="1262" spans="2:14" ht="14.4" customHeight="1" x14ac:dyDescent="0.3">
      <c r="B1262" s="2" t="s">
        <v>1267</v>
      </c>
      <c r="C1262" s="3">
        <v>45253</v>
      </c>
      <c r="D1262" s="2" t="s">
        <v>2012</v>
      </c>
      <c r="E1262" s="2" t="s">
        <v>2100</v>
      </c>
      <c r="F1262" s="4">
        <v>1986.78</v>
      </c>
      <c r="G1262" s="5">
        <v>626.26</v>
      </c>
      <c r="H1262" s="6">
        <v>16</v>
      </c>
      <c r="I1262" s="2" t="s">
        <v>2118</v>
      </c>
      <c r="J1262" s="2" t="str">
        <v>Strategize Best-Of-Breed Web-Readiness</v>
      </c>
      <c r="K1262" s="2" t="str">
        <v>Office Supplies</v>
      </c>
      <c r="L1262" s="2" t="str">
        <v>Morris, King and Ayers</v>
      </c>
      <c r="M1262" s="2">
        <v>220.16</v>
      </c>
      <c r="N1262" s="16">
        <f t="shared" si="19"/>
        <v>0.31521356164245662</v>
      </c>
    </row>
    <row r="1263" spans="2:14" ht="14.4" customHeight="1" x14ac:dyDescent="0.3">
      <c r="B1263" s="2" t="s">
        <v>1268</v>
      </c>
      <c r="C1263" s="3">
        <v>45360</v>
      </c>
      <c r="D1263" s="2" t="s">
        <v>2012</v>
      </c>
      <c r="E1263" s="2" t="s">
        <v>2094</v>
      </c>
      <c r="F1263" s="4">
        <v>650.85</v>
      </c>
      <c r="G1263" s="5">
        <v>255.79</v>
      </c>
      <c r="H1263" s="6">
        <v>17</v>
      </c>
      <c r="I1263" s="2" t="s">
        <v>2116</v>
      </c>
      <c r="J1263" s="2" t="str">
        <v>Implement Rich Platforms</v>
      </c>
      <c r="K1263" s="2" t="str">
        <v>Electronics</v>
      </c>
      <c r="L1263" s="2" t="str">
        <v>Parker, Anderson and Salazar</v>
      </c>
      <c r="M1263" s="2">
        <v>53.59</v>
      </c>
      <c r="N1263" s="16">
        <f t="shared" si="19"/>
        <v>0.39300914189137282</v>
      </c>
    </row>
    <row r="1264" spans="2:14" ht="14.4" customHeight="1" x14ac:dyDescent="0.3">
      <c r="B1264" s="2" t="s">
        <v>1269</v>
      </c>
      <c r="C1264" s="3">
        <v>43868</v>
      </c>
      <c r="D1264" s="2" t="s">
        <v>2010</v>
      </c>
      <c r="E1264" s="2" t="s">
        <v>2078</v>
      </c>
      <c r="F1264" s="4">
        <v>3528.12</v>
      </c>
      <c r="G1264" s="5">
        <v>124.66</v>
      </c>
      <c r="H1264" s="6">
        <v>15</v>
      </c>
      <c r="I1264" s="2" t="s">
        <v>2117</v>
      </c>
      <c r="J1264" s="2" t="str">
        <v>Strategize E-Business Content</v>
      </c>
      <c r="K1264" s="2" t="str">
        <v>Electronics</v>
      </c>
      <c r="L1264" s="2" t="str">
        <v>Patterson LLC</v>
      </c>
      <c r="M1264" s="2">
        <v>294.02</v>
      </c>
      <c r="N1264" s="16">
        <f t="shared" si="19"/>
        <v>3.5333265308436224E-2</v>
      </c>
    </row>
    <row r="1265" spans="2:14" ht="14.4" customHeight="1" x14ac:dyDescent="0.3">
      <c r="B1265" s="2" t="s">
        <v>1270</v>
      </c>
      <c r="C1265" s="3">
        <v>44272</v>
      </c>
      <c r="D1265" s="2" t="s">
        <v>2009</v>
      </c>
      <c r="E1265" s="2" t="s">
        <v>2110</v>
      </c>
      <c r="F1265" s="4">
        <v>599.54</v>
      </c>
      <c r="G1265" s="5">
        <v>930.28</v>
      </c>
      <c r="H1265" s="6">
        <v>15</v>
      </c>
      <c r="I1265" s="2" t="s">
        <v>2117</v>
      </c>
      <c r="J1265" s="2" t="str">
        <v>Repurpose End-To-End Networks</v>
      </c>
      <c r="K1265" s="2" t="str">
        <v>Office Supplies</v>
      </c>
      <c r="L1265" s="2" t="str">
        <v>Torres-Rush</v>
      </c>
      <c r="M1265" s="2">
        <v>97.02</v>
      </c>
      <c r="N1265" s="16">
        <f t="shared" si="19"/>
        <v>1.5516562698068519</v>
      </c>
    </row>
    <row r="1266" spans="2:14" ht="14.4" customHeight="1" x14ac:dyDescent="0.3">
      <c r="B1266" s="2" t="s">
        <v>1271</v>
      </c>
      <c r="C1266" s="3">
        <v>43857</v>
      </c>
      <c r="D1266" s="2" t="s">
        <v>2009</v>
      </c>
      <c r="E1266" s="2" t="s">
        <v>2027</v>
      </c>
      <c r="F1266" s="4">
        <v>2731.89</v>
      </c>
      <c r="G1266" s="5">
        <v>773.49</v>
      </c>
      <c r="H1266" s="6">
        <v>16</v>
      </c>
      <c r="I1266" s="2" t="s">
        <v>2117</v>
      </c>
      <c r="J1266" s="2" t="str">
        <v>Monetize Value-Added Niches</v>
      </c>
      <c r="K1266" s="2" t="str">
        <v>Office Supplies</v>
      </c>
      <c r="L1266" s="2" t="str">
        <v>Foster, Velazquez and Lee</v>
      </c>
      <c r="M1266" s="2">
        <v>171.51</v>
      </c>
      <c r="N1266" s="16">
        <f t="shared" si="19"/>
        <v>0.28313365472255475</v>
      </c>
    </row>
    <row r="1267" spans="2:14" ht="14.4" customHeight="1" x14ac:dyDescent="0.3">
      <c r="B1267" s="2" t="s">
        <v>1272</v>
      </c>
      <c r="C1267" s="3">
        <v>45219</v>
      </c>
      <c r="D1267" s="2" t="s">
        <v>2010</v>
      </c>
      <c r="E1267" s="2" t="s">
        <v>2037</v>
      </c>
      <c r="F1267" s="4">
        <v>1196.81</v>
      </c>
      <c r="G1267" s="5">
        <v>693.3</v>
      </c>
      <c r="H1267" s="6">
        <v>4</v>
      </c>
      <c r="I1267" s="2" t="s">
        <v>2116</v>
      </c>
      <c r="J1267" s="2" t="str">
        <v>Utilize Back-End Models</v>
      </c>
      <c r="K1267" s="2" t="str">
        <v>Furniture</v>
      </c>
      <c r="L1267" s="2" t="str">
        <v>Lewis-Holden</v>
      </c>
      <c r="M1267" s="2">
        <v>241.53</v>
      </c>
      <c r="N1267" s="16">
        <f t="shared" si="19"/>
        <v>0.57928994577251192</v>
      </c>
    </row>
    <row r="1268" spans="2:14" ht="14.4" customHeight="1" x14ac:dyDescent="0.3">
      <c r="B1268" s="2" t="s">
        <v>1273</v>
      </c>
      <c r="C1268" s="3">
        <v>44774</v>
      </c>
      <c r="D1268" s="2" t="s">
        <v>2009</v>
      </c>
      <c r="E1268" s="2" t="s">
        <v>2062</v>
      </c>
      <c r="F1268" s="4">
        <v>3656.81</v>
      </c>
      <c r="G1268" s="5">
        <v>665.04</v>
      </c>
      <c r="H1268" s="6">
        <v>16</v>
      </c>
      <c r="I1268" s="2" t="s">
        <v>2118</v>
      </c>
      <c r="J1268" s="2" t="str">
        <v>Incubate Real-Time E-Tailers</v>
      </c>
      <c r="K1268" s="2" t="str">
        <v>Electronics</v>
      </c>
      <c r="L1268" s="2" t="str">
        <v>Johnson-Riley</v>
      </c>
      <c r="M1268" s="2">
        <v>86.67</v>
      </c>
      <c r="N1268" s="16">
        <f t="shared" si="19"/>
        <v>0.18186342741351066</v>
      </c>
    </row>
    <row r="1269" spans="2:14" ht="14.4" customHeight="1" x14ac:dyDescent="0.3">
      <c r="B1269" s="2" t="s">
        <v>1274</v>
      </c>
      <c r="C1269" s="3">
        <v>44412</v>
      </c>
      <c r="D1269" s="2" t="s">
        <v>2011</v>
      </c>
      <c r="E1269" s="2" t="s">
        <v>2021</v>
      </c>
      <c r="F1269" s="4">
        <v>3479.83</v>
      </c>
      <c r="G1269" s="5">
        <v>574.5</v>
      </c>
      <c r="H1269" s="6">
        <v>11</v>
      </c>
      <c r="I1269" s="2" t="s">
        <v>2118</v>
      </c>
      <c r="J1269" s="2" t="str">
        <v>Whiteboard Compelling Experiences</v>
      </c>
      <c r="K1269" s="2" t="str">
        <v>Furniture</v>
      </c>
      <c r="L1269" s="2" t="str">
        <v>Carrillo, Carr and Ball</v>
      </c>
      <c r="M1269" s="2">
        <v>206.54</v>
      </c>
      <c r="N1269" s="16">
        <f t="shared" si="19"/>
        <v>0.16509427184661321</v>
      </c>
    </row>
    <row r="1270" spans="2:14" ht="14.4" customHeight="1" x14ac:dyDescent="0.3">
      <c r="B1270" s="2" t="s">
        <v>1275</v>
      </c>
      <c r="C1270" s="3">
        <v>44681</v>
      </c>
      <c r="D1270" s="2" t="s">
        <v>2010</v>
      </c>
      <c r="E1270" s="2" t="s">
        <v>2112</v>
      </c>
      <c r="F1270" s="4">
        <v>3062.28</v>
      </c>
      <c r="G1270" s="5">
        <v>187.22</v>
      </c>
      <c r="H1270" s="6">
        <v>11</v>
      </c>
      <c r="I1270" s="2" t="s">
        <v>2116</v>
      </c>
      <c r="J1270" s="2" t="str">
        <v>Mesh B2B Platforms</v>
      </c>
      <c r="K1270" s="2" t="str">
        <v>Furniture</v>
      </c>
      <c r="L1270" s="2" t="str">
        <v>Stevens, Walton and Riddle</v>
      </c>
      <c r="M1270" s="2">
        <v>236.57</v>
      </c>
      <c r="N1270" s="16">
        <f t="shared" si="19"/>
        <v>6.113745313949083E-2</v>
      </c>
    </row>
    <row r="1271" spans="2:14" ht="14.4" customHeight="1" x14ac:dyDescent="0.3">
      <c r="B1271" s="2" t="s">
        <v>1276</v>
      </c>
      <c r="C1271" s="3">
        <v>45420</v>
      </c>
      <c r="D1271" s="2" t="s">
        <v>2012</v>
      </c>
      <c r="E1271" s="2" t="s">
        <v>2077</v>
      </c>
      <c r="F1271" s="4">
        <v>4970.13</v>
      </c>
      <c r="G1271" s="5">
        <v>659.89</v>
      </c>
      <c r="H1271" s="6">
        <v>19</v>
      </c>
      <c r="I1271" s="2" t="s">
        <v>2116</v>
      </c>
      <c r="J1271" s="2" t="str">
        <v>Synthesize Wireless Initiatives</v>
      </c>
      <c r="K1271" s="2" t="str">
        <v>Electronics</v>
      </c>
      <c r="L1271" s="2" t="str">
        <v>Mosley Ltd</v>
      </c>
      <c r="M1271" s="2">
        <v>162.69999999999999</v>
      </c>
      <c r="N1271" s="16">
        <f t="shared" si="19"/>
        <v>0.13277117499944668</v>
      </c>
    </row>
    <row r="1272" spans="2:14" ht="14.4" customHeight="1" x14ac:dyDescent="0.3">
      <c r="B1272" s="2" t="s">
        <v>1277</v>
      </c>
      <c r="C1272" s="3">
        <v>44536</v>
      </c>
      <c r="D1272" s="2" t="s">
        <v>2012</v>
      </c>
      <c r="E1272" s="2" t="s">
        <v>2086</v>
      </c>
      <c r="F1272" s="4">
        <v>2705.12</v>
      </c>
      <c r="G1272" s="5">
        <v>151.18</v>
      </c>
      <c r="H1272" s="6">
        <v>9</v>
      </c>
      <c r="I1272" s="2" t="s">
        <v>2116</v>
      </c>
      <c r="J1272" s="2" t="str">
        <v>Harness Proactive Eyeballs</v>
      </c>
      <c r="K1272" s="2" t="str">
        <v>Electronics</v>
      </c>
      <c r="L1272" s="2" t="str">
        <v>Moran and Sons</v>
      </c>
      <c r="M1272" s="2">
        <v>58.01</v>
      </c>
      <c r="N1272" s="16">
        <f t="shared" si="19"/>
        <v>5.5886615011533691E-2</v>
      </c>
    </row>
    <row r="1273" spans="2:14" ht="14.4" customHeight="1" x14ac:dyDescent="0.3">
      <c r="B1273" s="2" t="s">
        <v>1278</v>
      </c>
      <c r="C1273" s="3">
        <v>44047</v>
      </c>
      <c r="D1273" s="2" t="s">
        <v>2011</v>
      </c>
      <c r="E1273" s="2" t="s">
        <v>2054</v>
      </c>
      <c r="F1273" s="4">
        <v>3803.11</v>
      </c>
      <c r="G1273" s="5">
        <v>727.79</v>
      </c>
      <c r="H1273" s="6">
        <v>17</v>
      </c>
      <c r="I1273" s="2" t="s">
        <v>2116</v>
      </c>
      <c r="J1273" s="2" t="str">
        <v>Empower Killer Info-Mediaries</v>
      </c>
      <c r="K1273" s="2" t="str">
        <v>Furniture</v>
      </c>
      <c r="L1273" s="2" t="str">
        <v>Jones Ltd</v>
      </c>
      <c r="M1273" s="2">
        <v>213.24</v>
      </c>
      <c r="N1273" s="16">
        <f t="shared" si="19"/>
        <v>0.19136706537544271</v>
      </c>
    </row>
    <row r="1274" spans="2:14" ht="14.4" customHeight="1" x14ac:dyDescent="0.3">
      <c r="B1274" s="2" t="s">
        <v>1279</v>
      </c>
      <c r="C1274" s="3">
        <v>44645</v>
      </c>
      <c r="D1274" s="2" t="s">
        <v>2011</v>
      </c>
      <c r="E1274" s="2" t="s">
        <v>2027</v>
      </c>
      <c r="F1274" s="4">
        <v>3476.26</v>
      </c>
      <c r="G1274" s="5">
        <v>856.89</v>
      </c>
      <c r="H1274" s="6">
        <v>19</v>
      </c>
      <c r="I1274" s="2" t="s">
        <v>2116</v>
      </c>
      <c r="J1274" s="2" t="str">
        <v>Monetize Value-Added Niches</v>
      </c>
      <c r="K1274" s="2" t="str">
        <v>Office Supplies</v>
      </c>
      <c r="L1274" s="2" t="str">
        <v>Foster, Velazquez and Lee</v>
      </c>
      <c r="M1274" s="2">
        <v>171.51</v>
      </c>
      <c r="N1274" s="16">
        <f t="shared" si="19"/>
        <v>0.24649767278627027</v>
      </c>
    </row>
    <row r="1275" spans="2:14" ht="14.4" customHeight="1" x14ac:dyDescent="0.3">
      <c r="B1275" s="2" t="s">
        <v>1280</v>
      </c>
      <c r="C1275" s="3">
        <v>45297</v>
      </c>
      <c r="D1275" s="2" t="s">
        <v>2009</v>
      </c>
      <c r="E1275" s="2" t="s">
        <v>2088</v>
      </c>
      <c r="F1275" s="4">
        <v>2891.3</v>
      </c>
      <c r="G1275" s="5">
        <v>709.48</v>
      </c>
      <c r="H1275" s="6">
        <v>9</v>
      </c>
      <c r="I1275" s="2" t="s">
        <v>2117</v>
      </c>
      <c r="J1275" s="2" t="str">
        <v>E-Enable Holistic Supply-Chains</v>
      </c>
      <c r="K1275" s="2" t="str">
        <v>Furniture</v>
      </c>
      <c r="L1275" s="2" t="str">
        <v>Lin-Mcdaniel</v>
      </c>
      <c r="M1275" s="2">
        <v>160.33000000000001</v>
      </c>
      <c r="N1275" s="16">
        <f t="shared" si="19"/>
        <v>0.2453844291495175</v>
      </c>
    </row>
    <row r="1276" spans="2:14" ht="14.4" customHeight="1" x14ac:dyDescent="0.3">
      <c r="B1276" s="2" t="s">
        <v>1281</v>
      </c>
      <c r="C1276" s="3">
        <v>45287</v>
      </c>
      <c r="D1276" s="2" t="s">
        <v>2010</v>
      </c>
      <c r="E1276" s="2" t="s">
        <v>2066</v>
      </c>
      <c r="F1276" s="4">
        <v>2801.11</v>
      </c>
      <c r="G1276" s="5">
        <v>379.06</v>
      </c>
      <c r="H1276" s="6">
        <v>15</v>
      </c>
      <c r="I1276" s="2" t="s">
        <v>2116</v>
      </c>
      <c r="J1276" s="2" t="str">
        <v>Facilitate Integrated E-Business</v>
      </c>
      <c r="K1276" s="2" t="str">
        <v>Office Supplies</v>
      </c>
      <c r="L1276" s="2" t="str">
        <v>Chang-Vargas</v>
      </c>
      <c r="M1276" s="2">
        <v>130.33000000000001</v>
      </c>
      <c r="N1276" s="16">
        <f t="shared" si="19"/>
        <v>0.13532492476196936</v>
      </c>
    </row>
    <row r="1277" spans="2:14" ht="14.4" customHeight="1" x14ac:dyDescent="0.3">
      <c r="B1277" s="2" t="s">
        <v>1282</v>
      </c>
      <c r="C1277" s="3">
        <v>44828</v>
      </c>
      <c r="D1277" s="2" t="s">
        <v>2012</v>
      </c>
      <c r="E1277" s="2" t="s">
        <v>2049</v>
      </c>
      <c r="F1277" s="4">
        <v>4947.2</v>
      </c>
      <c r="G1277" s="5">
        <v>372.13</v>
      </c>
      <c r="H1277" s="6">
        <v>6</v>
      </c>
      <c r="I1277" s="2" t="s">
        <v>2117</v>
      </c>
      <c r="J1277" s="2" t="str">
        <v>Scale 24/365 Networks</v>
      </c>
      <c r="K1277" s="2" t="str">
        <v>Furniture</v>
      </c>
      <c r="L1277" s="2" t="str">
        <v>Kim-Hamilton</v>
      </c>
      <c r="M1277" s="2">
        <v>157.55000000000001</v>
      </c>
      <c r="N1277" s="16">
        <f t="shared" si="19"/>
        <v>7.5220326649417857E-2</v>
      </c>
    </row>
    <row r="1278" spans="2:14" ht="14.4" customHeight="1" x14ac:dyDescent="0.3">
      <c r="B1278" s="2" t="s">
        <v>1283</v>
      </c>
      <c r="C1278" s="3">
        <v>44739</v>
      </c>
      <c r="D1278" s="2" t="s">
        <v>2009</v>
      </c>
      <c r="E1278" s="2" t="s">
        <v>2015</v>
      </c>
      <c r="F1278" s="4">
        <v>611.11</v>
      </c>
      <c r="G1278" s="5">
        <v>874.38</v>
      </c>
      <c r="H1278" s="6">
        <v>16</v>
      </c>
      <c r="I1278" s="2" t="s">
        <v>2117</v>
      </c>
      <c r="J1278" s="2" t="str">
        <v>Brand Web-Enabled Solutions</v>
      </c>
      <c r="K1278" s="2" t="str">
        <v>Electronics</v>
      </c>
      <c r="L1278" s="2" t="str">
        <v>Russell Group</v>
      </c>
      <c r="M1278" s="2">
        <v>51.67</v>
      </c>
      <c r="N1278" s="16">
        <f t="shared" si="19"/>
        <v>1.4308062378295232</v>
      </c>
    </row>
    <row r="1279" spans="2:14" ht="14.4" customHeight="1" x14ac:dyDescent="0.3">
      <c r="B1279" s="2" t="s">
        <v>1284</v>
      </c>
      <c r="C1279" s="3">
        <v>45126</v>
      </c>
      <c r="D1279" s="2" t="s">
        <v>2011</v>
      </c>
      <c r="E1279" s="2" t="s">
        <v>2096</v>
      </c>
      <c r="F1279" s="4">
        <v>73.989999999999995</v>
      </c>
      <c r="G1279" s="5">
        <v>197.39</v>
      </c>
      <c r="H1279" s="6">
        <v>20</v>
      </c>
      <c r="I1279" s="2" t="s">
        <v>2116</v>
      </c>
      <c r="J1279" s="2" t="str">
        <v>Disintermediate Scalable Bandwidth</v>
      </c>
      <c r="K1279" s="2" t="str">
        <v>Electronics</v>
      </c>
      <c r="L1279" s="2" t="str">
        <v>Levy PLC</v>
      </c>
      <c r="M1279" s="2">
        <v>19.86</v>
      </c>
      <c r="N1279" s="16">
        <f t="shared" si="19"/>
        <v>2.6677929449925664</v>
      </c>
    </row>
    <row r="1280" spans="2:14" ht="14.4" customHeight="1" x14ac:dyDescent="0.3">
      <c r="B1280" s="2" t="s">
        <v>1285</v>
      </c>
      <c r="C1280" s="3">
        <v>45412</v>
      </c>
      <c r="D1280" s="2" t="s">
        <v>2010</v>
      </c>
      <c r="E1280" s="2" t="s">
        <v>2029</v>
      </c>
      <c r="F1280" s="4">
        <v>1677.08</v>
      </c>
      <c r="G1280" s="5">
        <v>639.79999999999995</v>
      </c>
      <c r="H1280" s="6">
        <v>8</v>
      </c>
      <c r="I1280" s="2" t="s">
        <v>2118</v>
      </c>
      <c r="J1280" s="2" t="str">
        <v>E-Enable Next-Generation Experiences</v>
      </c>
      <c r="K1280" s="2" t="str">
        <v>Furniture</v>
      </c>
      <c r="L1280" s="2" t="str">
        <v>Sanchez-Quinn</v>
      </c>
      <c r="M1280" s="2">
        <v>266.93</v>
      </c>
      <c r="N1280" s="16">
        <f t="shared" si="19"/>
        <v>0.38149641042764804</v>
      </c>
    </row>
    <row r="1281" spans="2:14" ht="14.4" customHeight="1" x14ac:dyDescent="0.3">
      <c r="B1281" s="2" t="s">
        <v>1286</v>
      </c>
      <c r="C1281" s="3">
        <v>44674</v>
      </c>
      <c r="D1281" s="2" t="s">
        <v>2009</v>
      </c>
      <c r="E1281" s="2" t="s">
        <v>2037</v>
      </c>
      <c r="F1281" s="4">
        <v>2948.38</v>
      </c>
      <c r="G1281" s="5">
        <v>108.02</v>
      </c>
      <c r="H1281" s="6">
        <v>8</v>
      </c>
      <c r="I1281" s="2" t="s">
        <v>2116</v>
      </c>
      <c r="J1281" s="2" t="str">
        <v>Utilize Back-End Models</v>
      </c>
      <c r="K1281" s="2" t="str">
        <v>Furniture</v>
      </c>
      <c r="L1281" s="2" t="str">
        <v>Lewis-Holden</v>
      </c>
      <c r="M1281" s="2">
        <v>241.53</v>
      </c>
      <c r="N1281" s="16">
        <f t="shared" si="19"/>
        <v>3.6637068491849757E-2</v>
      </c>
    </row>
    <row r="1282" spans="2:14" ht="14.4" customHeight="1" x14ac:dyDescent="0.3">
      <c r="B1282" s="2" t="s">
        <v>1287</v>
      </c>
      <c r="C1282" s="3">
        <v>44422</v>
      </c>
      <c r="D1282" s="2" t="s">
        <v>2011</v>
      </c>
      <c r="E1282" s="2" t="s">
        <v>2045</v>
      </c>
      <c r="F1282" s="4">
        <v>1883.36</v>
      </c>
      <c r="G1282" s="5">
        <v>529.99</v>
      </c>
      <c r="H1282" s="6">
        <v>3</v>
      </c>
      <c r="I1282" s="2" t="s">
        <v>2116</v>
      </c>
      <c r="J1282" s="2" t="str">
        <v>Leverage Scalable Interfaces</v>
      </c>
      <c r="K1282" s="2" t="str">
        <v>Office Supplies</v>
      </c>
      <c r="L1282" s="2" t="str">
        <v>Kaufman-Jones</v>
      </c>
      <c r="M1282" s="2">
        <v>73.33</v>
      </c>
      <c r="N1282" s="16">
        <f t="shared" si="19"/>
        <v>0.2814066349503016</v>
      </c>
    </row>
    <row r="1283" spans="2:14" ht="14.4" customHeight="1" x14ac:dyDescent="0.3">
      <c r="B1283" s="2" t="s">
        <v>1288</v>
      </c>
      <c r="C1283" s="3">
        <v>45363</v>
      </c>
      <c r="D1283" s="2" t="s">
        <v>2010</v>
      </c>
      <c r="E1283" s="2" t="s">
        <v>2035</v>
      </c>
      <c r="F1283" s="4">
        <v>635.32000000000005</v>
      </c>
      <c r="G1283" s="5">
        <v>91.47</v>
      </c>
      <c r="H1283" s="6">
        <v>11</v>
      </c>
      <c r="I1283" s="2" t="s">
        <v>2117</v>
      </c>
      <c r="J1283" s="2" t="str">
        <v>Optimize 24/365 E-Services</v>
      </c>
      <c r="K1283" s="2" t="str">
        <v>Office Supplies</v>
      </c>
      <c r="L1283" s="2" t="str">
        <v>Chase Ltd</v>
      </c>
      <c r="M1283" s="2">
        <v>100.35</v>
      </c>
      <c r="N1283" s="16">
        <f t="shared" si="19"/>
        <v>0.14397468992004028</v>
      </c>
    </row>
    <row r="1284" spans="2:14" ht="14.4" customHeight="1" x14ac:dyDescent="0.3">
      <c r="B1284" s="2" t="s">
        <v>1289</v>
      </c>
      <c r="C1284" s="3">
        <v>45430</v>
      </c>
      <c r="D1284" s="2" t="s">
        <v>2011</v>
      </c>
      <c r="E1284" s="2" t="s">
        <v>2103</v>
      </c>
      <c r="F1284" s="4">
        <v>137.6</v>
      </c>
      <c r="G1284" s="5">
        <v>17.11</v>
      </c>
      <c r="H1284" s="6">
        <v>18</v>
      </c>
      <c r="I1284" s="2" t="s">
        <v>2117</v>
      </c>
      <c r="J1284" s="2" t="str">
        <v>Benchmark Cross-Platform Markets</v>
      </c>
      <c r="K1284" s="2" t="str">
        <v>Furniture</v>
      </c>
      <c r="L1284" s="2" t="str">
        <v>Murphy, Mathews and Wilson</v>
      </c>
      <c r="M1284" s="2">
        <v>78.88</v>
      </c>
      <c r="N1284" s="16">
        <f t="shared" si="19"/>
        <v>0.12434593023255815</v>
      </c>
    </row>
    <row r="1285" spans="2:14" ht="14.4" customHeight="1" x14ac:dyDescent="0.3">
      <c r="B1285" s="2" t="s">
        <v>1290</v>
      </c>
      <c r="C1285" s="3">
        <v>44410</v>
      </c>
      <c r="D1285" s="2" t="s">
        <v>2009</v>
      </c>
      <c r="E1285" s="2" t="s">
        <v>2041</v>
      </c>
      <c r="F1285" s="4">
        <v>4045.55</v>
      </c>
      <c r="G1285" s="5">
        <v>261.7</v>
      </c>
      <c r="H1285" s="6">
        <v>12</v>
      </c>
      <c r="I1285" s="2" t="s">
        <v>2118</v>
      </c>
      <c r="J1285" s="2" t="str">
        <v>Expedite Synergistic Web-Readiness</v>
      </c>
      <c r="K1285" s="2" t="str">
        <v>Electronics</v>
      </c>
      <c r="L1285" s="2" t="str">
        <v>Dunlap, Carpenter and Monroe</v>
      </c>
      <c r="M1285" s="2">
        <v>289.66000000000003</v>
      </c>
      <c r="N1285" s="16">
        <f t="shared" ref="N1285:N1348" si="20">(G1285/F1285)</f>
        <v>6.4688361285857296E-2</v>
      </c>
    </row>
    <row r="1286" spans="2:14" ht="14.4" customHeight="1" x14ac:dyDescent="0.3">
      <c r="B1286" s="2" t="s">
        <v>1291</v>
      </c>
      <c r="C1286" s="3">
        <v>45169</v>
      </c>
      <c r="D1286" s="2" t="s">
        <v>2012</v>
      </c>
      <c r="E1286" s="2" t="s">
        <v>2107</v>
      </c>
      <c r="F1286" s="4">
        <v>949.84</v>
      </c>
      <c r="G1286" s="5">
        <v>894.84</v>
      </c>
      <c r="H1286" s="6">
        <v>14</v>
      </c>
      <c r="I1286" s="2" t="s">
        <v>2116</v>
      </c>
      <c r="J1286" s="2" t="str">
        <v>Extend Bricks-And-Clicks Niches</v>
      </c>
      <c r="K1286" s="2" t="str">
        <v>Office Supplies</v>
      </c>
      <c r="L1286" s="2" t="str">
        <v>Hernandez-Rios</v>
      </c>
      <c r="M1286" s="2">
        <v>65.989999999999995</v>
      </c>
      <c r="N1286" s="16">
        <f t="shared" si="20"/>
        <v>0.94209551082287546</v>
      </c>
    </row>
    <row r="1287" spans="2:14" ht="14.4" customHeight="1" x14ac:dyDescent="0.3">
      <c r="B1287" s="2" t="s">
        <v>1292</v>
      </c>
      <c r="C1287" s="3">
        <v>45256</v>
      </c>
      <c r="D1287" s="2" t="s">
        <v>2011</v>
      </c>
      <c r="E1287" s="2" t="s">
        <v>2077</v>
      </c>
      <c r="F1287" s="4">
        <v>349.9</v>
      </c>
      <c r="G1287" s="5">
        <v>736.48</v>
      </c>
      <c r="H1287" s="6">
        <v>18</v>
      </c>
      <c r="I1287" s="2" t="s">
        <v>2116</v>
      </c>
      <c r="J1287" s="2" t="str">
        <v>Synthesize Wireless Initiatives</v>
      </c>
      <c r="K1287" s="2" t="str">
        <v>Electronics</v>
      </c>
      <c r="L1287" s="2" t="str">
        <v>Mosley Ltd</v>
      </c>
      <c r="M1287" s="2">
        <v>162.69999999999999</v>
      </c>
      <c r="N1287" s="16">
        <f t="shared" si="20"/>
        <v>2.1048299514146902</v>
      </c>
    </row>
    <row r="1288" spans="2:14" ht="14.4" customHeight="1" x14ac:dyDescent="0.3">
      <c r="B1288" s="2" t="s">
        <v>1293</v>
      </c>
      <c r="C1288" s="3">
        <v>44888</v>
      </c>
      <c r="D1288" s="2" t="s">
        <v>2012</v>
      </c>
      <c r="E1288" s="2" t="s">
        <v>2095</v>
      </c>
      <c r="F1288" s="4">
        <v>3533.16</v>
      </c>
      <c r="G1288" s="5">
        <v>343.68</v>
      </c>
      <c r="H1288" s="6">
        <v>19</v>
      </c>
      <c r="I1288" s="2" t="s">
        <v>2117</v>
      </c>
      <c r="J1288" s="2" t="str">
        <v>Envisioneer B2B Users</v>
      </c>
      <c r="K1288" s="2" t="str">
        <v>Office Supplies</v>
      </c>
      <c r="L1288" s="2" t="str">
        <v>Rogers Group</v>
      </c>
      <c r="M1288" s="2">
        <v>239.16</v>
      </c>
      <c r="N1288" s="16">
        <f t="shared" si="20"/>
        <v>9.7272696396426994E-2</v>
      </c>
    </row>
    <row r="1289" spans="2:14" ht="14.4" customHeight="1" x14ac:dyDescent="0.3">
      <c r="B1289" s="2" t="s">
        <v>1294</v>
      </c>
      <c r="C1289" s="3">
        <v>43977</v>
      </c>
      <c r="D1289" s="2" t="s">
        <v>2011</v>
      </c>
      <c r="E1289" s="2" t="s">
        <v>2054</v>
      </c>
      <c r="F1289" s="4">
        <v>999.12</v>
      </c>
      <c r="G1289" s="5">
        <v>44.32</v>
      </c>
      <c r="H1289" s="6">
        <v>13</v>
      </c>
      <c r="I1289" s="2" t="s">
        <v>2117</v>
      </c>
      <c r="J1289" s="2" t="str">
        <v>Empower Killer Info-Mediaries</v>
      </c>
      <c r="K1289" s="2" t="str">
        <v>Furniture</v>
      </c>
      <c r="L1289" s="2" t="str">
        <v>Jones Ltd</v>
      </c>
      <c r="M1289" s="2">
        <v>213.24</v>
      </c>
      <c r="N1289" s="16">
        <f t="shared" si="20"/>
        <v>4.4359035951637441E-2</v>
      </c>
    </row>
    <row r="1290" spans="2:14" ht="14.4" customHeight="1" x14ac:dyDescent="0.3">
      <c r="B1290" s="2" t="s">
        <v>1295</v>
      </c>
      <c r="C1290" s="3">
        <v>45465</v>
      </c>
      <c r="D1290" s="2" t="s">
        <v>2010</v>
      </c>
      <c r="E1290" s="2" t="s">
        <v>2037</v>
      </c>
      <c r="F1290" s="4">
        <v>1560.28</v>
      </c>
      <c r="G1290" s="5">
        <v>206.34</v>
      </c>
      <c r="H1290" s="6">
        <v>12</v>
      </c>
      <c r="I1290" s="2" t="s">
        <v>2116</v>
      </c>
      <c r="J1290" s="2" t="str">
        <v>Utilize Back-End Models</v>
      </c>
      <c r="K1290" s="2" t="str">
        <v>Furniture</v>
      </c>
      <c r="L1290" s="2" t="str">
        <v>Lewis-Holden</v>
      </c>
      <c r="M1290" s="2">
        <v>241.53</v>
      </c>
      <c r="N1290" s="16">
        <f t="shared" si="20"/>
        <v>0.1322454943984413</v>
      </c>
    </row>
    <row r="1291" spans="2:14" ht="14.4" customHeight="1" x14ac:dyDescent="0.3">
      <c r="B1291" s="2" t="s">
        <v>1296</v>
      </c>
      <c r="C1291" s="3">
        <v>44399</v>
      </c>
      <c r="D1291" s="2" t="s">
        <v>2010</v>
      </c>
      <c r="E1291" s="2" t="s">
        <v>2036</v>
      </c>
      <c r="F1291" s="4">
        <v>991.59</v>
      </c>
      <c r="G1291" s="5">
        <v>424.68</v>
      </c>
      <c r="H1291" s="6">
        <v>1</v>
      </c>
      <c r="I1291" s="2" t="s">
        <v>2116</v>
      </c>
      <c r="J1291" s="2" t="str">
        <v>Innovate Strategic Systems</v>
      </c>
      <c r="K1291" s="2" t="str">
        <v>Office Supplies</v>
      </c>
      <c r="L1291" s="2" t="str">
        <v>Mcfarland, Parker and Armstrong</v>
      </c>
      <c r="M1291" s="2">
        <v>70.239999999999995</v>
      </c>
      <c r="N1291" s="16">
        <f t="shared" si="20"/>
        <v>0.42828185036154054</v>
      </c>
    </row>
    <row r="1292" spans="2:14" ht="14.4" customHeight="1" x14ac:dyDescent="0.3">
      <c r="B1292" s="2" t="s">
        <v>1297</v>
      </c>
      <c r="C1292" s="3">
        <v>44687</v>
      </c>
      <c r="D1292" s="2" t="s">
        <v>2012</v>
      </c>
      <c r="E1292" s="2" t="s">
        <v>2038</v>
      </c>
      <c r="F1292" s="4">
        <v>4152.8900000000003</v>
      </c>
      <c r="G1292" s="5">
        <v>570.71</v>
      </c>
      <c r="H1292" s="6">
        <v>15</v>
      </c>
      <c r="I1292" s="2" t="s">
        <v>2116</v>
      </c>
      <c r="J1292" s="2" t="str">
        <v>Reinvent Mission-Critical Markets</v>
      </c>
      <c r="K1292" s="2" t="str">
        <v>Furniture</v>
      </c>
      <c r="L1292" s="2" t="str">
        <v>Gilbert-Sanders</v>
      </c>
      <c r="M1292" s="2">
        <v>154.21</v>
      </c>
      <c r="N1292" s="16">
        <f t="shared" si="20"/>
        <v>0.13742478129687999</v>
      </c>
    </row>
    <row r="1293" spans="2:14" ht="14.4" customHeight="1" x14ac:dyDescent="0.3">
      <c r="B1293" s="2" t="s">
        <v>1298</v>
      </c>
      <c r="C1293" s="3">
        <v>45455</v>
      </c>
      <c r="D1293" s="2" t="s">
        <v>2012</v>
      </c>
      <c r="E1293" s="2" t="s">
        <v>2090</v>
      </c>
      <c r="F1293" s="4">
        <v>3818.6</v>
      </c>
      <c r="G1293" s="5">
        <v>877.22</v>
      </c>
      <c r="H1293" s="6">
        <v>14</v>
      </c>
      <c r="I1293" s="2" t="s">
        <v>2117</v>
      </c>
      <c r="J1293" s="2" t="str">
        <v>Empower Bleeding-Edge Action-Items</v>
      </c>
      <c r="K1293" s="2" t="str">
        <v>Furniture</v>
      </c>
      <c r="L1293" s="2" t="str">
        <v>Gray, Hayes and Banks</v>
      </c>
      <c r="M1293" s="2">
        <v>204.26</v>
      </c>
      <c r="N1293" s="16">
        <f t="shared" si="20"/>
        <v>0.22972293510710734</v>
      </c>
    </row>
    <row r="1294" spans="2:14" ht="14.4" customHeight="1" x14ac:dyDescent="0.3">
      <c r="B1294" s="2" t="s">
        <v>1299</v>
      </c>
      <c r="C1294" s="3">
        <v>43983</v>
      </c>
      <c r="D1294" s="2" t="s">
        <v>2009</v>
      </c>
      <c r="E1294" s="2" t="s">
        <v>2024</v>
      </c>
      <c r="F1294" s="4">
        <v>3085.62</v>
      </c>
      <c r="G1294" s="5">
        <v>219.19</v>
      </c>
      <c r="H1294" s="6">
        <v>20</v>
      </c>
      <c r="I1294" s="2" t="s">
        <v>2117</v>
      </c>
      <c r="J1294" s="2" t="str">
        <v>Target Viral Methodologies</v>
      </c>
      <c r="K1294" s="2" t="str">
        <v>Electronics</v>
      </c>
      <c r="L1294" s="2" t="str">
        <v>Alvarez, Myers and Walter</v>
      </c>
      <c r="M1294" s="2">
        <v>149.26</v>
      </c>
      <c r="N1294" s="16">
        <f t="shared" si="20"/>
        <v>7.1035966839727516E-2</v>
      </c>
    </row>
    <row r="1295" spans="2:14" ht="14.4" customHeight="1" x14ac:dyDescent="0.3">
      <c r="B1295" s="2" t="s">
        <v>1300</v>
      </c>
      <c r="C1295" s="3">
        <v>44191</v>
      </c>
      <c r="D1295" s="2" t="s">
        <v>2011</v>
      </c>
      <c r="E1295" s="2" t="s">
        <v>2111</v>
      </c>
      <c r="F1295" s="4">
        <v>2819.54</v>
      </c>
      <c r="G1295" s="5">
        <v>43.46</v>
      </c>
      <c r="H1295" s="6">
        <v>11</v>
      </c>
      <c r="I1295" s="2" t="s">
        <v>2117</v>
      </c>
      <c r="J1295" s="2" t="str">
        <v>Evolve Intuitive Bandwidth</v>
      </c>
      <c r="K1295" s="2" t="str">
        <v>Office Supplies</v>
      </c>
      <c r="L1295" s="2" t="str">
        <v>Rogers Group</v>
      </c>
      <c r="M1295" s="2">
        <v>131.63</v>
      </c>
      <c r="N1295" s="16">
        <f t="shared" si="20"/>
        <v>1.5413861835618577E-2</v>
      </c>
    </row>
    <row r="1296" spans="2:14" ht="14.4" customHeight="1" x14ac:dyDescent="0.3">
      <c r="B1296" s="2" t="s">
        <v>1301</v>
      </c>
      <c r="C1296" s="3">
        <v>44827</v>
      </c>
      <c r="D1296" s="2" t="s">
        <v>2011</v>
      </c>
      <c r="E1296" s="2" t="s">
        <v>2071</v>
      </c>
      <c r="F1296" s="4">
        <v>4514.0600000000004</v>
      </c>
      <c r="G1296" s="5">
        <v>894.84</v>
      </c>
      <c r="H1296" s="6">
        <v>5</v>
      </c>
      <c r="I1296" s="2" t="s">
        <v>2118</v>
      </c>
      <c r="J1296" s="2" t="str">
        <v>Incentivize Front-End Mindshare</v>
      </c>
      <c r="K1296" s="2" t="str">
        <v>Electronics</v>
      </c>
      <c r="L1296" s="2" t="str">
        <v>Phillips-Tran</v>
      </c>
      <c r="M1296" s="2">
        <v>196.86</v>
      </c>
      <c r="N1296" s="16">
        <f t="shared" si="20"/>
        <v>0.19823396233102794</v>
      </c>
    </row>
    <row r="1297" spans="2:14" ht="14.4" customHeight="1" x14ac:dyDescent="0.3">
      <c r="B1297" s="2" t="s">
        <v>1302</v>
      </c>
      <c r="C1297" s="3">
        <v>44950</v>
      </c>
      <c r="D1297" s="2" t="s">
        <v>2010</v>
      </c>
      <c r="E1297" s="2" t="s">
        <v>2083</v>
      </c>
      <c r="F1297" s="4">
        <v>1718.04</v>
      </c>
      <c r="G1297" s="5">
        <v>221.54</v>
      </c>
      <c r="H1297" s="6">
        <v>9</v>
      </c>
      <c r="I1297" s="2" t="s">
        <v>2118</v>
      </c>
      <c r="J1297" s="2" t="str">
        <v>Whiteboard Sticky Content</v>
      </c>
      <c r="K1297" s="2" t="str">
        <v>Furniture</v>
      </c>
      <c r="L1297" s="2" t="str">
        <v>Wolfe Group</v>
      </c>
      <c r="M1297" s="2">
        <v>82.16</v>
      </c>
      <c r="N1297" s="16">
        <f t="shared" si="20"/>
        <v>0.12894926777024981</v>
      </c>
    </row>
    <row r="1298" spans="2:14" ht="14.4" customHeight="1" x14ac:dyDescent="0.3">
      <c r="B1298" s="2" t="s">
        <v>1303</v>
      </c>
      <c r="C1298" s="3">
        <v>44962</v>
      </c>
      <c r="D1298" s="2" t="s">
        <v>2009</v>
      </c>
      <c r="E1298" s="2" t="s">
        <v>2098</v>
      </c>
      <c r="F1298" s="4">
        <v>2774.56</v>
      </c>
      <c r="G1298" s="5">
        <v>412.94</v>
      </c>
      <c r="H1298" s="6">
        <v>14</v>
      </c>
      <c r="I1298" s="2" t="s">
        <v>2118</v>
      </c>
      <c r="J1298" s="2" t="str">
        <v>Deliver Viral Channels</v>
      </c>
      <c r="K1298" s="2" t="str">
        <v>Furniture</v>
      </c>
      <c r="L1298" s="2" t="str">
        <v>Parker LLC</v>
      </c>
      <c r="M1298" s="2">
        <v>45.41</v>
      </c>
      <c r="N1298" s="16">
        <f t="shared" si="20"/>
        <v>0.14883080560521308</v>
      </c>
    </row>
    <row r="1299" spans="2:14" ht="14.4" customHeight="1" x14ac:dyDescent="0.3">
      <c r="B1299" s="2" t="s">
        <v>1304</v>
      </c>
      <c r="C1299" s="3">
        <v>44777</v>
      </c>
      <c r="D1299" s="2" t="s">
        <v>2010</v>
      </c>
      <c r="E1299" s="2" t="s">
        <v>2056</v>
      </c>
      <c r="F1299" s="4">
        <v>4913.29</v>
      </c>
      <c r="G1299" s="5">
        <v>309.33</v>
      </c>
      <c r="H1299" s="6">
        <v>11</v>
      </c>
      <c r="I1299" s="2" t="s">
        <v>2117</v>
      </c>
      <c r="J1299" s="2" t="str">
        <v>Mesh Intuitive Supply-Chains</v>
      </c>
      <c r="K1299" s="2" t="str">
        <v>Electronics</v>
      </c>
      <c r="L1299" s="2" t="str">
        <v>Soto, Barnett and Heath</v>
      </c>
      <c r="M1299" s="2">
        <v>281</v>
      </c>
      <c r="N1299" s="16">
        <f t="shared" si="20"/>
        <v>6.2957814417630542E-2</v>
      </c>
    </row>
    <row r="1300" spans="2:14" ht="14.4" customHeight="1" x14ac:dyDescent="0.3">
      <c r="B1300" s="2" t="s">
        <v>1305</v>
      </c>
      <c r="C1300" s="3">
        <v>45053</v>
      </c>
      <c r="D1300" s="2" t="s">
        <v>2011</v>
      </c>
      <c r="E1300" s="2" t="s">
        <v>2072</v>
      </c>
      <c r="F1300" s="4">
        <v>1694.8</v>
      </c>
      <c r="G1300" s="5">
        <v>542.99</v>
      </c>
      <c r="H1300" s="6">
        <v>11</v>
      </c>
      <c r="I1300" s="2" t="s">
        <v>2118</v>
      </c>
      <c r="J1300" s="2" t="str">
        <v>Evolve Innovative Web Services</v>
      </c>
      <c r="K1300" s="2" t="str">
        <v>Furniture</v>
      </c>
      <c r="L1300" s="2" t="str">
        <v>Bush Inc</v>
      </c>
      <c r="M1300" s="2">
        <v>87.75</v>
      </c>
      <c r="N1300" s="16">
        <f t="shared" si="20"/>
        <v>0.32038588624026437</v>
      </c>
    </row>
    <row r="1301" spans="2:14" ht="14.4" customHeight="1" x14ac:dyDescent="0.3">
      <c r="B1301" s="2" t="s">
        <v>1306</v>
      </c>
      <c r="C1301" s="3">
        <v>44742</v>
      </c>
      <c r="D1301" s="2" t="s">
        <v>2012</v>
      </c>
      <c r="E1301" s="2" t="s">
        <v>2040</v>
      </c>
      <c r="F1301" s="4">
        <v>3612.43</v>
      </c>
      <c r="G1301" s="5">
        <v>773.82</v>
      </c>
      <c r="H1301" s="6">
        <v>14</v>
      </c>
      <c r="I1301" s="2" t="s">
        <v>2118</v>
      </c>
      <c r="J1301" s="2" t="str">
        <v>Synergize End-To-End Supply-Chains</v>
      </c>
      <c r="K1301" s="2" t="str">
        <v>Office Supplies</v>
      </c>
      <c r="L1301" s="2" t="str">
        <v>Higgins-Espinoza</v>
      </c>
      <c r="M1301" s="2">
        <v>279.8</v>
      </c>
      <c r="N1301" s="16">
        <f t="shared" si="20"/>
        <v>0.21421037916305646</v>
      </c>
    </row>
    <row r="1302" spans="2:14" ht="14.4" customHeight="1" x14ac:dyDescent="0.3">
      <c r="B1302" s="2" t="s">
        <v>1307</v>
      </c>
      <c r="C1302" s="3">
        <v>44637</v>
      </c>
      <c r="D1302" s="2" t="s">
        <v>2010</v>
      </c>
      <c r="E1302" s="2" t="s">
        <v>2075</v>
      </c>
      <c r="F1302" s="4">
        <v>3954.43</v>
      </c>
      <c r="G1302" s="5">
        <v>116.53</v>
      </c>
      <c r="H1302" s="6">
        <v>2</v>
      </c>
      <c r="I1302" s="2" t="s">
        <v>2116</v>
      </c>
      <c r="J1302" s="2" t="str">
        <v>Reinvent Visionary Niches</v>
      </c>
      <c r="K1302" s="2" t="str">
        <v>Furniture</v>
      </c>
      <c r="L1302" s="2" t="str">
        <v>Huber-Richmond</v>
      </c>
      <c r="M1302" s="2">
        <v>219.81</v>
      </c>
      <c r="N1302" s="16">
        <f t="shared" si="20"/>
        <v>2.946821665827945E-2</v>
      </c>
    </row>
    <row r="1303" spans="2:14" ht="14.4" customHeight="1" x14ac:dyDescent="0.3">
      <c r="B1303" s="2" t="s">
        <v>1308</v>
      </c>
      <c r="C1303" s="3">
        <v>44462</v>
      </c>
      <c r="D1303" s="2" t="s">
        <v>2012</v>
      </c>
      <c r="E1303" s="2" t="s">
        <v>2103</v>
      </c>
      <c r="F1303" s="4">
        <v>2839.64</v>
      </c>
      <c r="G1303" s="5">
        <v>944.14</v>
      </c>
      <c r="H1303" s="6">
        <v>15</v>
      </c>
      <c r="I1303" s="2" t="s">
        <v>2117</v>
      </c>
      <c r="J1303" s="2" t="str">
        <v>Benchmark Cross-Platform Markets</v>
      </c>
      <c r="K1303" s="2" t="str">
        <v>Furniture</v>
      </c>
      <c r="L1303" s="2" t="str">
        <v>Murphy, Mathews and Wilson</v>
      </c>
      <c r="M1303" s="2">
        <v>78.88</v>
      </c>
      <c r="N1303" s="16">
        <f t="shared" si="20"/>
        <v>0.33248580806017664</v>
      </c>
    </row>
    <row r="1304" spans="2:14" ht="14.4" customHeight="1" x14ac:dyDescent="0.3">
      <c r="B1304" s="2" t="s">
        <v>1309</v>
      </c>
      <c r="C1304" s="3">
        <v>45599</v>
      </c>
      <c r="D1304" s="2" t="s">
        <v>2009</v>
      </c>
      <c r="E1304" s="2" t="s">
        <v>2076</v>
      </c>
      <c r="F1304" s="4">
        <v>1676.44</v>
      </c>
      <c r="G1304" s="5">
        <v>142.09</v>
      </c>
      <c r="H1304" s="6">
        <v>3</v>
      </c>
      <c r="I1304" s="2" t="s">
        <v>2118</v>
      </c>
      <c r="J1304" s="2" t="str">
        <v>Deliver Extensible Partnerships</v>
      </c>
      <c r="K1304" s="2" t="str">
        <v>Furniture</v>
      </c>
      <c r="L1304" s="2" t="str">
        <v>Martin, Paul and Salazar</v>
      </c>
      <c r="M1304" s="2">
        <v>43.76</v>
      </c>
      <c r="N1304" s="16">
        <f t="shared" si="20"/>
        <v>8.4756985039727034E-2</v>
      </c>
    </row>
    <row r="1305" spans="2:14" ht="14.4" customHeight="1" x14ac:dyDescent="0.3">
      <c r="B1305" s="2" t="s">
        <v>1310</v>
      </c>
      <c r="C1305" s="3">
        <v>43931</v>
      </c>
      <c r="D1305" s="2" t="s">
        <v>2012</v>
      </c>
      <c r="E1305" s="2" t="s">
        <v>2111</v>
      </c>
      <c r="F1305" s="4">
        <v>2521.7199999999998</v>
      </c>
      <c r="G1305" s="5">
        <v>852.45</v>
      </c>
      <c r="H1305" s="6">
        <v>18</v>
      </c>
      <c r="I1305" s="2" t="s">
        <v>2118</v>
      </c>
      <c r="J1305" s="2" t="str">
        <v>Evolve Intuitive Bandwidth</v>
      </c>
      <c r="K1305" s="2" t="str">
        <v>Office Supplies</v>
      </c>
      <c r="L1305" s="2" t="str">
        <v>Rogers Group</v>
      </c>
      <c r="M1305" s="2">
        <v>131.63</v>
      </c>
      <c r="N1305" s="16">
        <f t="shared" si="20"/>
        <v>0.33804308170613712</v>
      </c>
    </row>
    <row r="1306" spans="2:14" ht="14.4" customHeight="1" x14ac:dyDescent="0.3">
      <c r="B1306" s="2" t="s">
        <v>1311</v>
      </c>
      <c r="C1306" s="3">
        <v>44933</v>
      </c>
      <c r="D1306" s="2" t="s">
        <v>2009</v>
      </c>
      <c r="E1306" s="2" t="s">
        <v>2053</v>
      </c>
      <c r="F1306" s="4">
        <v>988.15</v>
      </c>
      <c r="G1306" s="5">
        <v>653.83000000000004</v>
      </c>
      <c r="H1306" s="6">
        <v>19</v>
      </c>
      <c r="I1306" s="2" t="s">
        <v>2116</v>
      </c>
      <c r="J1306" s="2" t="str">
        <v>Transition Mission-Critical Interfaces</v>
      </c>
      <c r="K1306" s="2" t="str">
        <v>Office Supplies</v>
      </c>
      <c r="L1306" s="2" t="str">
        <v>Weaver Ltd</v>
      </c>
      <c r="M1306" s="2">
        <v>34.64</v>
      </c>
      <c r="N1306" s="16">
        <f t="shared" si="20"/>
        <v>0.66167079896776815</v>
      </c>
    </row>
    <row r="1307" spans="2:14" ht="14.4" customHeight="1" x14ac:dyDescent="0.3">
      <c r="B1307" s="2" t="s">
        <v>1312</v>
      </c>
      <c r="C1307" s="3">
        <v>45509</v>
      </c>
      <c r="D1307" s="2" t="s">
        <v>2010</v>
      </c>
      <c r="E1307" s="2" t="s">
        <v>2032</v>
      </c>
      <c r="F1307" s="4">
        <v>4876.68</v>
      </c>
      <c r="G1307" s="5">
        <v>787.63</v>
      </c>
      <c r="H1307" s="6">
        <v>2</v>
      </c>
      <c r="I1307" s="2" t="s">
        <v>2117</v>
      </c>
      <c r="J1307" s="2" t="str">
        <v>Reinvent Frictionless Roi</v>
      </c>
      <c r="K1307" s="2" t="str">
        <v>Furniture</v>
      </c>
      <c r="L1307" s="2" t="str">
        <v>Bridges, Castillo and Rodriguez</v>
      </c>
      <c r="M1307" s="2">
        <v>253.89</v>
      </c>
      <c r="N1307" s="16">
        <f t="shared" si="20"/>
        <v>0.16150946955715773</v>
      </c>
    </row>
    <row r="1308" spans="2:14" ht="14.4" customHeight="1" x14ac:dyDescent="0.3">
      <c r="B1308" s="2" t="s">
        <v>1313</v>
      </c>
      <c r="C1308" s="3">
        <v>44695</v>
      </c>
      <c r="D1308" s="2" t="s">
        <v>2012</v>
      </c>
      <c r="E1308" s="2" t="s">
        <v>2087</v>
      </c>
      <c r="F1308" s="4">
        <v>1952.36</v>
      </c>
      <c r="G1308" s="5">
        <v>408.24</v>
      </c>
      <c r="H1308" s="6">
        <v>12</v>
      </c>
      <c r="I1308" s="2" t="s">
        <v>2118</v>
      </c>
      <c r="J1308" s="2" t="str">
        <v>Empower Seamless Roi</v>
      </c>
      <c r="K1308" s="2" t="str">
        <v>Office Supplies</v>
      </c>
      <c r="L1308" s="2" t="str">
        <v>Proctor Group</v>
      </c>
      <c r="M1308" s="2">
        <v>266.64999999999998</v>
      </c>
      <c r="N1308" s="16">
        <f t="shared" si="20"/>
        <v>0.20910078059374299</v>
      </c>
    </row>
    <row r="1309" spans="2:14" ht="14.4" customHeight="1" x14ac:dyDescent="0.3">
      <c r="B1309" s="2" t="s">
        <v>1314</v>
      </c>
      <c r="C1309" s="3">
        <v>44065</v>
      </c>
      <c r="D1309" s="2" t="s">
        <v>2012</v>
      </c>
      <c r="E1309" s="2" t="s">
        <v>2092</v>
      </c>
      <c r="F1309" s="4">
        <v>146.65</v>
      </c>
      <c r="G1309" s="5">
        <v>996.47</v>
      </c>
      <c r="H1309" s="6">
        <v>10</v>
      </c>
      <c r="I1309" s="2" t="s">
        <v>2116</v>
      </c>
      <c r="J1309" s="2" t="str">
        <v>Seize Clicks-And-Mortar Platforms</v>
      </c>
      <c r="K1309" s="2" t="str">
        <v>Office Supplies</v>
      </c>
      <c r="L1309" s="2" t="str">
        <v>Owens, Campos and Wood</v>
      </c>
      <c r="M1309" s="2">
        <v>271.16000000000003</v>
      </c>
      <c r="N1309" s="16">
        <f t="shared" si="20"/>
        <v>6.7948857824752809</v>
      </c>
    </row>
    <row r="1310" spans="2:14" ht="14.4" customHeight="1" x14ac:dyDescent="0.3">
      <c r="B1310" s="2" t="s">
        <v>1315</v>
      </c>
      <c r="C1310" s="3">
        <v>44583</v>
      </c>
      <c r="D1310" s="2" t="s">
        <v>2011</v>
      </c>
      <c r="E1310" s="2" t="s">
        <v>2074</v>
      </c>
      <c r="F1310" s="4">
        <v>3347.93</v>
      </c>
      <c r="G1310" s="5">
        <v>184.94</v>
      </c>
      <c r="H1310" s="6">
        <v>4</v>
      </c>
      <c r="I1310" s="2" t="s">
        <v>2117</v>
      </c>
      <c r="J1310" s="2" t="str">
        <v>Utilize Ubiquitous Synergies</v>
      </c>
      <c r="K1310" s="2" t="str">
        <v>Electronics</v>
      </c>
      <c r="L1310" s="2" t="str">
        <v>Kramer, Huang and Shaw</v>
      </c>
      <c r="M1310" s="2">
        <v>295.89999999999998</v>
      </c>
      <c r="N1310" s="16">
        <f t="shared" si="20"/>
        <v>5.5240103586395174E-2</v>
      </c>
    </row>
    <row r="1311" spans="2:14" ht="14.4" customHeight="1" x14ac:dyDescent="0.3">
      <c r="B1311" s="2" t="s">
        <v>1316</v>
      </c>
      <c r="C1311" s="3">
        <v>44931</v>
      </c>
      <c r="D1311" s="2" t="s">
        <v>2012</v>
      </c>
      <c r="E1311" s="2" t="s">
        <v>2064</v>
      </c>
      <c r="F1311" s="4">
        <v>2464.44</v>
      </c>
      <c r="G1311" s="5">
        <v>94.68</v>
      </c>
      <c r="H1311" s="6">
        <v>6</v>
      </c>
      <c r="I1311" s="2" t="s">
        <v>2116</v>
      </c>
      <c r="J1311" s="2" t="str">
        <v>Synergize E-Business Deliverables</v>
      </c>
      <c r="K1311" s="2" t="str">
        <v>Electronics</v>
      </c>
      <c r="L1311" s="2" t="str">
        <v>Crawford, Warren and Williams</v>
      </c>
      <c r="M1311" s="2">
        <v>125.93</v>
      </c>
      <c r="N1311" s="16">
        <f t="shared" si="20"/>
        <v>3.8418464235282661E-2</v>
      </c>
    </row>
    <row r="1312" spans="2:14" ht="14.4" customHeight="1" x14ac:dyDescent="0.3">
      <c r="B1312" s="2" t="s">
        <v>1317</v>
      </c>
      <c r="C1312" s="3">
        <v>45521</v>
      </c>
      <c r="D1312" s="2" t="s">
        <v>2012</v>
      </c>
      <c r="E1312" s="2" t="s">
        <v>2100</v>
      </c>
      <c r="F1312" s="4">
        <v>2158.13</v>
      </c>
      <c r="G1312" s="5">
        <v>192.61</v>
      </c>
      <c r="H1312" s="6">
        <v>11</v>
      </c>
      <c r="I1312" s="2" t="s">
        <v>2118</v>
      </c>
      <c r="J1312" s="2" t="str">
        <v>Strategize Best-Of-Breed Web-Readiness</v>
      </c>
      <c r="K1312" s="2" t="str">
        <v>Office Supplies</v>
      </c>
      <c r="L1312" s="2" t="str">
        <v>Morris, King and Ayers</v>
      </c>
      <c r="M1312" s="2">
        <v>220.16</v>
      </c>
      <c r="N1312" s="16">
        <f t="shared" si="20"/>
        <v>8.9248562412829621E-2</v>
      </c>
    </row>
    <row r="1313" spans="2:14" ht="14.4" customHeight="1" x14ac:dyDescent="0.3">
      <c r="B1313" s="2" t="s">
        <v>1318</v>
      </c>
      <c r="C1313" s="3">
        <v>44431</v>
      </c>
      <c r="D1313" s="2" t="s">
        <v>2010</v>
      </c>
      <c r="E1313" s="2" t="s">
        <v>2067</v>
      </c>
      <c r="F1313" s="4">
        <v>2391.35</v>
      </c>
      <c r="G1313" s="5">
        <v>297.77999999999997</v>
      </c>
      <c r="H1313" s="6">
        <v>14</v>
      </c>
      <c r="I1313" s="2" t="s">
        <v>2118</v>
      </c>
      <c r="J1313" s="2" t="str">
        <v>Transition Compelling Web-Readiness</v>
      </c>
      <c r="K1313" s="2" t="str">
        <v>Furniture</v>
      </c>
      <c r="L1313" s="2" t="str">
        <v>Wood-Beck</v>
      </c>
      <c r="M1313" s="2">
        <v>88.34</v>
      </c>
      <c r="N1313" s="16">
        <f t="shared" si="20"/>
        <v>0.12452380454554958</v>
      </c>
    </row>
    <row r="1314" spans="2:14" ht="14.4" customHeight="1" x14ac:dyDescent="0.3">
      <c r="B1314" s="2" t="s">
        <v>1319</v>
      </c>
      <c r="C1314" s="3">
        <v>45391</v>
      </c>
      <c r="D1314" s="2" t="s">
        <v>2009</v>
      </c>
      <c r="E1314" s="2" t="s">
        <v>2079</v>
      </c>
      <c r="F1314" s="4">
        <v>2914.2</v>
      </c>
      <c r="G1314" s="5">
        <v>364.28</v>
      </c>
      <c r="H1314" s="6">
        <v>10</v>
      </c>
      <c r="I1314" s="2" t="s">
        <v>2117</v>
      </c>
      <c r="J1314" s="2" t="str">
        <v>Iterate Extensible Roi</v>
      </c>
      <c r="K1314" s="2" t="str">
        <v>Office Supplies</v>
      </c>
      <c r="L1314" s="2" t="str">
        <v>Hill-Kelly</v>
      </c>
      <c r="M1314" s="2">
        <v>180</v>
      </c>
      <c r="N1314" s="16">
        <f t="shared" si="20"/>
        <v>0.12500171573673735</v>
      </c>
    </row>
    <row r="1315" spans="2:14" ht="14.4" customHeight="1" x14ac:dyDescent="0.3">
      <c r="B1315" s="2" t="s">
        <v>1320</v>
      </c>
      <c r="C1315" s="3">
        <v>45224</v>
      </c>
      <c r="D1315" s="2" t="s">
        <v>2011</v>
      </c>
      <c r="E1315" s="2" t="s">
        <v>2071</v>
      </c>
      <c r="F1315" s="4">
        <v>1427.25</v>
      </c>
      <c r="G1315" s="5">
        <v>244.08</v>
      </c>
      <c r="H1315" s="6">
        <v>12</v>
      </c>
      <c r="I1315" s="2" t="s">
        <v>2118</v>
      </c>
      <c r="J1315" s="2" t="str">
        <v>Incentivize Front-End Mindshare</v>
      </c>
      <c r="K1315" s="2" t="str">
        <v>Electronics</v>
      </c>
      <c r="L1315" s="2" t="str">
        <v>Phillips-Tran</v>
      </c>
      <c r="M1315" s="2">
        <v>196.86</v>
      </c>
      <c r="N1315" s="16">
        <f t="shared" si="20"/>
        <v>0.17101418812401473</v>
      </c>
    </row>
    <row r="1316" spans="2:14" ht="14.4" customHeight="1" x14ac:dyDescent="0.3">
      <c r="B1316" s="2" t="s">
        <v>1321</v>
      </c>
      <c r="C1316" s="3">
        <v>45269</v>
      </c>
      <c r="D1316" s="2" t="s">
        <v>2012</v>
      </c>
      <c r="E1316" s="2" t="s">
        <v>2037</v>
      </c>
      <c r="F1316" s="4">
        <v>975.89</v>
      </c>
      <c r="G1316" s="5">
        <v>633.19000000000005</v>
      </c>
      <c r="H1316" s="6">
        <v>1</v>
      </c>
      <c r="I1316" s="2" t="s">
        <v>2118</v>
      </c>
      <c r="J1316" s="2" t="str">
        <v>Utilize Back-End Models</v>
      </c>
      <c r="K1316" s="2" t="str">
        <v>Furniture</v>
      </c>
      <c r="L1316" s="2" t="str">
        <v>Lewis-Holden</v>
      </c>
      <c r="M1316" s="2">
        <v>241.53</v>
      </c>
      <c r="N1316" s="16">
        <f t="shared" si="20"/>
        <v>0.64883337261371676</v>
      </c>
    </row>
    <row r="1317" spans="2:14" ht="14.4" customHeight="1" x14ac:dyDescent="0.3">
      <c r="B1317" s="2" t="s">
        <v>1322</v>
      </c>
      <c r="C1317" s="3">
        <v>43857</v>
      </c>
      <c r="D1317" s="2" t="s">
        <v>2012</v>
      </c>
      <c r="E1317" s="2" t="s">
        <v>2022</v>
      </c>
      <c r="F1317" s="4">
        <v>4406.5600000000004</v>
      </c>
      <c r="G1317" s="5">
        <v>577.14</v>
      </c>
      <c r="H1317" s="6">
        <v>12</v>
      </c>
      <c r="I1317" s="2" t="s">
        <v>2117</v>
      </c>
      <c r="J1317" s="2" t="str">
        <v>Monetize Collaborative Metrics</v>
      </c>
      <c r="K1317" s="2" t="str">
        <v>Electronics</v>
      </c>
      <c r="L1317" s="2" t="str">
        <v>Ramirez-Brown</v>
      </c>
      <c r="M1317" s="2">
        <v>286.04000000000002</v>
      </c>
      <c r="N1317" s="16">
        <f t="shared" si="20"/>
        <v>0.13097291311136122</v>
      </c>
    </row>
    <row r="1318" spans="2:14" ht="14.4" customHeight="1" x14ac:dyDescent="0.3">
      <c r="B1318" s="2" t="s">
        <v>1323</v>
      </c>
      <c r="C1318" s="3">
        <v>44058</v>
      </c>
      <c r="D1318" s="2" t="s">
        <v>2011</v>
      </c>
      <c r="E1318" s="2" t="s">
        <v>2015</v>
      </c>
      <c r="F1318" s="4">
        <v>1825.35</v>
      </c>
      <c r="G1318" s="5">
        <v>918.03</v>
      </c>
      <c r="H1318" s="6">
        <v>14</v>
      </c>
      <c r="I1318" s="2" t="s">
        <v>2117</v>
      </c>
      <c r="J1318" s="2" t="str">
        <v>Brand Web-Enabled Solutions</v>
      </c>
      <c r="K1318" s="2" t="str">
        <v>Electronics</v>
      </c>
      <c r="L1318" s="2" t="str">
        <v>Russell Group</v>
      </c>
      <c r="M1318" s="2">
        <v>51.67</v>
      </c>
      <c r="N1318" s="16">
        <f t="shared" si="20"/>
        <v>0.50293368395102311</v>
      </c>
    </row>
    <row r="1319" spans="2:14" ht="14.4" customHeight="1" x14ac:dyDescent="0.3">
      <c r="B1319" s="2" t="s">
        <v>1324</v>
      </c>
      <c r="C1319" s="3">
        <v>44317</v>
      </c>
      <c r="D1319" s="2" t="s">
        <v>2009</v>
      </c>
      <c r="E1319" s="2" t="s">
        <v>2051</v>
      </c>
      <c r="F1319" s="4">
        <v>4381.45</v>
      </c>
      <c r="G1319" s="5">
        <v>236.99</v>
      </c>
      <c r="H1319" s="6">
        <v>9</v>
      </c>
      <c r="I1319" s="2" t="s">
        <v>2116</v>
      </c>
      <c r="J1319" s="2" t="str">
        <v>Generate Front-End Functionalities</v>
      </c>
      <c r="K1319" s="2" t="str">
        <v>Office Supplies</v>
      </c>
      <c r="L1319" s="2" t="str">
        <v>Morales-Brown</v>
      </c>
      <c r="M1319" s="2">
        <v>299.77</v>
      </c>
      <c r="N1319" s="16">
        <f t="shared" si="20"/>
        <v>5.4089399627977042E-2</v>
      </c>
    </row>
    <row r="1320" spans="2:14" ht="14.4" customHeight="1" x14ac:dyDescent="0.3">
      <c r="B1320" s="2" t="s">
        <v>1325</v>
      </c>
      <c r="C1320" s="3">
        <v>45478</v>
      </c>
      <c r="D1320" s="2" t="s">
        <v>2009</v>
      </c>
      <c r="E1320" s="2" t="s">
        <v>2085</v>
      </c>
      <c r="F1320" s="4">
        <v>2751.87</v>
      </c>
      <c r="G1320" s="5">
        <v>440.78</v>
      </c>
      <c r="H1320" s="6">
        <v>8</v>
      </c>
      <c r="I1320" s="2" t="s">
        <v>2117</v>
      </c>
      <c r="J1320" s="2" t="str">
        <v>Incentivize User-Centric Mindshare</v>
      </c>
      <c r="K1320" s="2" t="str">
        <v>Electronics</v>
      </c>
      <c r="L1320" s="2" t="str">
        <v>Becker, Wright and Wong</v>
      </c>
      <c r="M1320" s="2">
        <v>38.51</v>
      </c>
      <c r="N1320" s="16">
        <f t="shared" si="20"/>
        <v>0.16017471755569848</v>
      </c>
    </row>
    <row r="1321" spans="2:14" ht="14.4" customHeight="1" x14ac:dyDescent="0.3">
      <c r="B1321" s="2" t="s">
        <v>1326</v>
      </c>
      <c r="C1321" s="3">
        <v>44366</v>
      </c>
      <c r="D1321" s="2" t="s">
        <v>2010</v>
      </c>
      <c r="E1321" s="2" t="s">
        <v>2022</v>
      </c>
      <c r="F1321" s="4">
        <v>4125.9799999999996</v>
      </c>
      <c r="G1321" s="5">
        <v>622.61</v>
      </c>
      <c r="H1321" s="6">
        <v>1</v>
      </c>
      <c r="I1321" s="2" t="s">
        <v>2117</v>
      </c>
      <c r="J1321" s="2" t="str">
        <v>Monetize Collaborative Metrics</v>
      </c>
      <c r="K1321" s="2" t="str">
        <v>Electronics</v>
      </c>
      <c r="L1321" s="2" t="str">
        <v>Ramirez-Brown</v>
      </c>
      <c r="M1321" s="2">
        <v>286.04000000000002</v>
      </c>
      <c r="N1321" s="16">
        <f t="shared" si="20"/>
        <v>0.15089990741593515</v>
      </c>
    </row>
    <row r="1322" spans="2:14" ht="14.4" customHeight="1" x14ac:dyDescent="0.3">
      <c r="B1322" s="2" t="s">
        <v>1327</v>
      </c>
      <c r="C1322" s="3">
        <v>45327</v>
      </c>
      <c r="D1322" s="2" t="s">
        <v>2011</v>
      </c>
      <c r="E1322" s="2" t="s">
        <v>2084</v>
      </c>
      <c r="F1322" s="4">
        <v>1030.58</v>
      </c>
      <c r="G1322" s="5">
        <v>504.45</v>
      </c>
      <c r="H1322" s="6">
        <v>1</v>
      </c>
      <c r="I1322" s="2" t="s">
        <v>2116</v>
      </c>
      <c r="J1322" s="2" t="str">
        <v>Grow Synergistic Infrastructures</v>
      </c>
      <c r="K1322" s="2" t="str">
        <v>Furniture</v>
      </c>
      <c r="L1322" s="2" t="str">
        <v>Adams-Carter</v>
      </c>
      <c r="M1322" s="2">
        <v>113.17</v>
      </c>
      <c r="N1322" s="16">
        <f t="shared" si="20"/>
        <v>0.4894816511090842</v>
      </c>
    </row>
    <row r="1323" spans="2:14" ht="14.4" customHeight="1" x14ac:dyDescent="0.3">
      <c r="B1323" s="2" t="s">
        <v>1328</v>
      </c>
      <c r="C1323" s="3">
        <v>44096</v>
      </c>
      <c r="D1323" s="2" t="s">
        <v>2010</v>
      </c>
      <c r="E1323" s="2" t="s">
        <v>2044</v>
      </c>
      <c r="F1323" s="4">
        <v>509.87</v>
      </c>
      <c r="G1323" s="5">
        <v>302.38</v>
      </c>
      <c r="H1323" s="6">
        <v>1</v>
      </c>
      <c r="I1323" s="2" t="s">
        <v>2116</v>
      </c>
      <c r="J1323" s="2" t="str">
        <v>Grow Back-End Supply-Chains</v>
      </c>
      <c r="K1323" s="2" t="str">
        <v>Electronics</v>
      </c>
      <c r="L1323" s="2" t="str">
        <v>Green LLC</v>
      </c>
      <c r="M1323" s="2">
        <v>140.08000000000001</v>
      </c>
      <c r="N1323" s="16">
        <f t="shared" si="20"/>
        <v>0.59305313119030345</v>
      </c>
    </row>
    <row r="1324" spans="2:14" ht="14.4" customHeight="1" x14ac:dyDescent="0.3">
      <c r="B1324" s="2" t="s">
        <v>1329</v>
      </c>
      <c r="C1324" s="3">
        <v>44684</v>
      </c>
      <c r="D1324" s="2" t="s">
        <v>2012</v>
      </c>
      <c r="E1324" s="2" t="s">
        <v>2082</v>
      </c>
      <c r="F1324" s="4">
        <v>3134.86</v>
      </c>
      <c r="G1324" s="5">
        <v>542.88</v>
      </c>
      <c r="H1324" s="6">
        <v>15</v>
      </c>
      <c r="I1324" s="2" t="s">
        <v>2116</v>
      </c>
      <c r="J1324" s="2" t="str">
        <v>Re-Contextualize Viral Markets</v>
      </c>
      <c r="K1324" s="2" t="str">
        <v>Electronics</v>
      </c>
      <c r="L1324" s="2" t="str">
        <v>Meadows-Barber</v>
      </c>
      <c r="M1324" s="2">
        <v>177.52</v>
      </c>
      <c r="N1324" s="16">
        <f t="shared" si="20"/>
        <v>0.17317519761648048</v>
      </c>
    </row>
    <row r="1325" spans="2:14" ht="14.4" customHeight="1" x14ac:dyDescent="0.3">
      <c r="B1325" s="2" t="s">
        <v>1330</v>
      </c>
      <c r="C1325" s="3">
        <v>44037</v>
      </c>
      <c r="D1325" s="2" t="s">
        <v>2011</v>
      </c>
      <c r="E1325" s="2" t="s">
        <v>2045</v>
      </c>
      <c r="F1325" s="4">
        <v>1075.05</v>
      </c>
      <c r="G1325" s="5">
        <v>227.64</v>
      </c>
      <c r="H1325" s="6">
        <v>11</v>
      </c>
      <c r="I1325" s="2" t="s">
        <v>2116</v>
      </c>
      <c r="J1325" s="2" t="str">
        <v>Leverage Scalable Interfaces</v>
      </c>
      <c r="K1325" s="2" t="str">
        <v>Office Supplies</v>
      </c>
      <c r="L1325" s="2" t="str">
        <v>Kaufman-Jones</v>
      </c>
      <c r="M1325" s="2">
        <v>73.33</v>
      </c>
      <c r="N1325" s="16">
        <f t="shared" si="20"/>
        <v>0.21174829077717316</v>
      </c>
    </row>
    <row r="1326" spans="2:14" ht="14.4" customHeight="1" x14ac:dyDescent="0.3">
      <c r="B1326" s="2" t="s">
        <v>1331</v>
      </c>
      <c r="C1326" s="3">
        <v>44226</v>
      </c>
      <c r="D1326" s="2" t="s">
        <v>2009</v>
      </c>
      <c r="E1326" s="2" t="s">
        <v>2020</v>
      </c>
      <c r="F1326" s="4">
        <v>4501.5200000000004</v>
      </c>
      <c r="G1326" s="5">
        <v>523.86</v>
      </c>
      <c r="H1326" s="6">
        <v>8</v>
      </c>
      <c r="I1326" s="2" t="s">
        <v>2116</v>
      </c>
      <c r="J1326" s="2" t="str">
        <v>Harness Revolutionary Interfaces</v>
      </c>
      <c r="K1326" s="2" t="str">
        <v>Furniture</v>
      </c>
      <c r="L1326" s="2" t="str">
        <v>Davis, Short and Nguyen</v>
      </c>
      <c r="M1326" s="2">
        <v>26.49</v>
      </c>
      <c r="N1326" s="16">
        <f t="shared" si="20"/>
        <v>0.11637402477385415</v>
      </c>
    </row>
    <row r="1327" spans="2:14" ht="14.4" customHeight="1" x14ac:dyDescent="0.3">
      <c r="B1327" s="2" t="s">
        <v>1332</v>
      </c>
      <c r="C1327" s="3">
        <v>44374</v>
      </c>
      <c r="D1327" s="2" t="s">
        <v>2011</v>
      </c>
      <c r="E1327" s="2" t="s">
        <v>2033</v>
      </c>
      <c r="F1327" s="4">
        <v>998.4</v>
      </c>
      <c r="G1327" s="5">
        <v>966.66</v>
      </c>
      <c r="H1327" s="6">
        <v>1</v>
      </c>
      <c r="I1327" s="2" t="s">
        <v>2116</v>
      </c>
      <c r="J1327" s="2" t="str">
        <v>Leverage Rich Portals</v>
      </c>
      <c r="K1327" s="2" t="str">
        <v>Office Supplies</v>
      </c>
      <c r="L1327" s="2" t="str">
        <v>Wilson PLC</v>
      </c>
      <c r="M1327" s="2">
        <v>46.35</v>
      </c>
      <c r="N1327" s="16">
        <f t="shared" si="20"/>
        <v>0.9682091346153846</v>
      </c>
    </row>
    <row r="1328" spans="2:14" ht="14.4" customHeight="1" x14ac:dyDescent="0.3">
      <c r="B1328" s="2" t="s">
        <v>1333</v>
      </c>
      <c r="C1328" s="3">
        <v>44359</v>
      </c>
      <c r="D1328" s="2" t="s">
        <v>2010</v>
      </c>
      <c r="E1328" s="2" t="s">
        <v>2062</v>
      </c>
      <c r="F1328" s="4">
        <v>3582.04</v>
      </c>
      <c r="G1328" s="5">
        <v>724.98</v>
      </c>
      <c r="H1328" s="6">
        <v>6</v>
      </c>
      <c r="I1328" s="2" t="s">
        <v>2117</v>
      </c>
      <c r="J1328" s="2" t="str">
        <v>Incubate Real-Time E-Tailers</v>
      </c>
      <c r="K1328" s="2" t="str">
        <v>Electronics</v>
      </c>
      <c r="L1328" s="2" t="str">
        <v>Johnson-Riley</v>
      </c>
      <c r="M1328" s="2">
        <v>86.67</v>
      </c>
      <c r="N1328" s="16">
        <f t="shared" si="20"/>
        <v>0.20239304977052183</v>
      </c>
    </row>
    <row r="1329" spans="2:14" ht="14.4" customHeight="1" x14ac:dyDescent="0.3">
      <c r="B1329" s="2" t="s">
        <v>1334</v>
      </c>
      <c r="C1329" s="3">
        <v>44725</v>
      </c>
      <c r="D1329" s="2" t="s">
        <v>2012</v>
      </c>
      <c r="E1329" s="2" t="s">
        <v>2112</v>
      </c>
      <c r="F1329" s="4">
        <v>1007.54</v>
      </c>
      <c r="G1329" s="5">
        <v>578.99</v>
      </c>
      <c r="H1329" s="6">
        <v>3</v>
      </c>
      <c r="I1329" s="2" t="s">
        <v>2118</v>
      </c>
      <c r="J1329" s="2" t="str">
        <v>Mesh B2B Platforms</v>
      </c>
      <c r="K1329" s="2" t="str">
        <v>Furniture</v>
      </c>
      <c r="L1329" s="2" t="str">
        <v>Stevens, Walton and Riddle</v>
      </c>
      <c r="M1329" s="2">
        <v>236.57</v>
      </c>
      <c r="N1329" s="16">
        <f t="shared" si="20"/>
        <v>0.57465708557476625</v>
      </c>
    </row>
    <row r="1330" spans="2:14" ht="14.4" customHeight="1" x14ac:dyDescent="0.3">
      <c r="B1330" s="2" t="s">
        <v>1335</v>
      </c>
      <c r="C1330" s="3">
        <v>45127</v>
      </c>
      <c r="D1330" s="2" t="s">
        <v>2011</v>
      </c>
      <c r="E1330" s="2" t="s">
        <v>2021</v>
      </c>
      <c r="F1330" s="4">
        <v>1906.57</v>
      </c>
      <c r="G1330" s="5">
        <v>803.21</v>
      </c>
      <c r="H1330" s="6">
        <v>11</v>
      </c>
      <c r="I1330" s="2" t="s">
        <v>2118</v>
      </c>
      <c r="J1330" s="2" t="str">
        <v>Whiteboard Compelling Experiences</v>
      </c>
      <c r="K1330" s="2" t="str">
        <v>Furniture</v>
      </c>
      <c r="L1330" s="2" t="str">
        <v>Carrillo, Carr and Ball</v>
      </c>
      <c r="M1330" s="2">
        <v>206.54</v>
      </c>
      <c r="N1330" s="16">
        <f t="shared" si="20"/>
        <v>0.42128534488636665</v>
      </c>
    </row>
    <row r="1331" spans="2:14" ht="14.4" customHeight="1" x14ac:dyDescent="0.3">
      <c r="B1331" s="2" t="s">
        <v>1336</v>
      </c>
      <c r="C1331" s="3">
        <v>44770</v>
      </c>
      <c r="D1331" s="2" t="s">
        <v>2012</v>
      </c>
      <c r="E1331" s="2" t="s">
        <v>2018</v>
      </c>
      <c r="F1331" s="4">
        <v>1671.63</v>
      </c>
      <c r="G1331" s="5">
        <v>794.06</v>
      </c>
      <c r="H1331" s="6">
        <v>1</v>
      </c>
      <c r="I1331" s="2" t="s">
        <v>2116</v>
      </c>
      <c r="J1331" s="2" t="str">
        <v>Deliver Sticky Networks</v>
      </c>
      <c r="K1331" s="2" t="str">
        <v>Furniture</v>
      </c>
      <c r="L1331" s="2" t="str">
        <v>Massey LLC</v>
      </c>
      <c r="M1331" s="2">
        <v>272.33</v>
      </c>
      <c r="N1331" s="16">
        <f t="shared" si="20"/>
        <v>0.4750213863115641</v>
      </c>
    </row>
    <row r="1332" spans="2:14" ht="14.4" customHeight="1" x14ac:dyDescent="0.3">
      <c r="B1332" s="2" t="s">
        <v>1337</v>
      </c>
      <c r="C1332" s="3">
        <v>44469</v>
      </c>
      <c r="D1332" s="2" t="s">
        <v>2011</v>
      </c>
      <c r="E1332" s="2" t="s">
        <v>2096</v>
      </c>
      <c r="F1332" s="4">
        <v>1768.41</v>
      </c>
      <c r="G1332" s="5">
        <v>777.41</v>
      </c>
      <c r="H1332" s="6">
        <v>13</v>
      </c>
      <c r="I1332" s="2" t="s">
        <v>2117</v>
      </c>
      <c r="J1332" s="2" t="str">
        <v>Disintermediate Scalable Bandwidth</v>
      </c>
      <c r="K1332" s="2" t="str">
        <v>Electronics</v>
      </c>
      <c r="L1332" s="2" t="str">
        <v>Levy PLC</v>
      </c>
      <c r="M1332" s="2">
        <v>19.86</v>
      </c>
      <c r="N1332" s="16">
        <f t="shared" si="20"/>
        <v>0.43960959279805017</v>
      </c>
    </row>
    <row r="1333" spans="2:14" ht="14.4" customHeight="1" x14ac:dyDescent="0.3">
      <c r="B1333" s="2" t="s">
        <v>1338</v>
      </c>
      <c r="C1333" s="3">
        <v>44772</v>
      </c>
      <c r="D1333" s="2" t="s">
        <v>2011</v>
      </c>
      <c r="E1333" s="2" t="s">
        <v>2096</v>
      </c>
      <c r="F1333" s="4">
        <v>2972.1</v>
      </c>
      <c r="G1333" s="5">
        <v>919.64</v>
      </c>
      <c r="H1333" s="6">
        <v>15</v>
      </c>
      <c r="I1333" s="2" t="s">
        <v>2116</v>
      </c>
      <c r="J1333" s="2" t="str">
        <v>Disintermediate Scalable Bandwidth</v>
      </c>
      <c r="K1333" s="2" t="str">
        <v>Electronics</v>
      </c>
      <c r="L1333" s="2" t="str">
        <v>Levy PLC</v>
      </c>
      <c r="M1333" s="2">
        <v>19.86</v>
      </c>
      <c r="N1333" s="16">
        <f t="shared" si="20"/>
        <v>0.3094243127754786</v>
      </c>
    </row>
    <row r="1334" spans="2:14" ht="14.4" customHeight="1" x14ac:dyDescent="0.3">
      <c r="B1334" s="2" t="s">
        <v>1339</v>
      </c>
      <c r="C1334" s="3">
        <v>45157</v>
      </c>
      <c r="D1334" s="2" t="s">
        <v>2012</v>
      </c>
      <c r="E1334" s="2" t="s">
        <v>2019</v>
      </c>
      <c r="F1334" s="4">
        <v>1121.1099999999999</v>
      </c>
      <c r="G1334" s="5">
        <v>181.2</v>
      </c>
      <c r="H1334" s="6">
        <v>13</v>
      </c>
      <c r="I1334" s="2" t="s">
        <v>2118</v>
      </c>
      <c r="J1334" s="2" t="str">
        <v>Implement Clicks-And-Mortar Partnerships</v>
      </c>
      <c r="K1334" s="2" t="str">
        <v>Electronics</v>
      </c>
      <c r="L1334" s="2" t="str">
        <v>Smith Inc</v>
      </c>
      <c r="M1334" s="2">
        <v>195.53</v>
      </c>
      <c r="N1334" s="16">
        <f t="shared" si="20"/>
        <v>0.16162553183898101</v>
      </c>
    </row>
    <row r="1335" spans="2:14" ht="14.4" customHeight="1" x14ac:dyDescent="0.3">
      <c r="B1335" s="2" t="s">
        <v>1340</v>
      </c>
      <c r="C1335" s="3">
        <v>43957</v>
      </c>
      <c r="D1335" s="2" t="s">
        <v>2009</v>
      </c>
      <c r="E1335" s="2" t="s">
        <v>2049</v>
      </c>
      <c r="F1335" s="4">
        <v>4338.03</v>
      </c>
      <c r="G1335" s="5">
        <v>899.2</v>
      </c>
      <c r="H1335" s="6">
        <v>12</v>
      </c>
      <c r="I1335" s="2" t="s">
        <v>2116</v>
      </c>
      <c r="J1335" s="2" t="str">
        <v>Scale 24/365 Networks</v>
      </c>
      <c r="K1335" s="2" t="str">
        <v>Furniture</v>
      </c>
      <c r="L1335" s="2" t="str">
        <v>Kim-Hamilton</v>
      </c>
      <c r="M1335" s="2">
        <v>157.55000000000001</v>
      </c>
      <c r="N1335" s="16">
        <f t="shared" si="20"/>
        <v>0.20728302939352658</v>
      </c>
    </row>
    <row r="1336" spans="2:14" ht="14.4" customHeight="1" x14ac:dyDescent="0.3">
      <c r="B1336" s="2" t="s">
        <v>1341</v>
      </c>
      <c r="C1336" s="3">
        <v>44048</v>
      </c>
      <c r="D1336" s="2" t="s">
        <v>2012</v>
      </c>
      <c r="E1336" s="2" t="s">
        <v>2034</v>
      </c>
      <c r="F1336" s="4">
        <v>1176.3699999999999</v>
      </c>
      <c r="G1336" s="5">
        <v>311.56</v>
      </c>
      <c r="H1336" s="6">
        <v>20</v>
      </c>
      <c r="I1336" s="2" t="s">
        <v>2116</v>
      </c>
      <c r="J1336" s="2" t="str">
        <v>Utilize Virtual Partnerships</v>
      </c>
      <c r="K1336" s="2" t="str">
        <v>Furniture</v>
      </c>
      <c r="L1336" s="2" t="str">
        <v>Smith, Diaz and Heath</v>
      </c>
      <c r="M1336" s="2">
        <v>193.02</v>
      </c>
      <c r="N1336" s="16">
        <f t="shared" si="20"/>
        <v>0.26484864455910984</v>
      </c>
    </row>
    <row r="1337" spans="2:14" ht="14.4" customHeight="1" x14ac:dyDescent="0.3">
      <c r="B1337" s="2" t="s">
        <v>1342</v>
      </c>
      <c r="C1337" s="3">
        <v>44568</v>
      </c>
      <c r="D1337" s="2" t="s">
        <v>2009</v>
      </c>
      <c r="E1337" s="2" t="s">
        <v>2070</v>
      </c>
      <c r="F1337" s="4">
        <v>2027.46</v>
      </c>
      <c r="G1337" s="5">
        <v>67.78</v>
      </c>
      <c r="H1337" s="6">
        <v>3</v>
      </c>
      <c r="I1337" s="2" t="s">
        <v>2118</v>
      </c>
      <c r="J1337" s="2" t="str">
        <v>Seize Plug-And-Play Web-Readiness</v>
      </c>
      <c r="K1337" s="2" t="str">
        <v>Electronics</v>
      </c>
      <c r="L1337" s="2" t="str">
        <v>Joseph, Mayer and Carr</v>
      </c>
      <c r="M1337" s="2">
        <v>102.73</v>
      </c>
      <c r="N1337" s="16">
        <f t="shared" si="20"/>
        <v>3.3430992473341026E-2</v>
      </c>
    </row>
    <row r="1338" spans="2:14" ht="14.4" customHeight="1" x14ac:dyDescent="0.3">
      <c r="B1338" s="2" t="s">
        <v>1343</v>
      </c>
      <c r="C1338" s="3">
        <v>44148</v>
      </c>
      <c r="D1338" s="2" t="s">
        <v>2012</v>
      </c>
      <c r="E1338" s="2" t="s">
        <v>2058</v>
      </c>
      <c r="F1338" s="4">
        <v>1938.15</v>
      </c>
      <c r="G1338" s="5">
        <v>245.1</v>
      </c>
      <c r="H1338" s="6">
        <v>14</v>
      </c>
      <c r="I1338" s="2" t="s">
        <v>2116</v>
      </c>
      <c r="J1338" s="2" t="str">
        <v>Envisioneer B2C Web-Readiness</v>
      </c>
      <c r="K1338" s="2" t="str">
        <v>Electronics</v>
      </c>
      <c r="L1338" s="2" t="str">
        <v>Kemp Group</v>
      </c>
      <c r="M1338" s="2">
        <v>97.23</v>
      </c>
      <c r="N1338" s="16">
        <f t="shared" si="20"/>
        <v>0.12646080024765885</v>
      </c>
    </row>
    <row r="1339" spans="2:14" ht="14.4" customHeight="1" x14ac:dyDescent="0.3">
      <c r="B1339" s="2" t="s">
        <v>1344</v>
      </c>
      <c r="C1339" s="3">
        <v>44772</v>
      </c>
      <c r="D1339" s="2" t="s">
        <v>2012</v>
      </c>
      <c r="E1339" s="2" t="s">
        <v>2054</v>
      </c>
      <c r="F1339" s="4">
        <v>2090.92</v>
      </c>
      <c r="G1339" s="5">
        <v>132.41999999999999</v>
      </c>
      <c r="H1339" s="6">
        <v>10</v>
      </c>
      <c r="I1339" s="2" t="s">
        <v>2116</v>
      </c>
      <c r="J1339" s="2" t="str">
        <v>Empower Killer Info-Mediaries</v>
      </c>
      <c r="K1339" s="2" t="str">
        <v>Furniture</v>
      </c>
      <c r="L1339" s="2" t="str">
        <v>Jones Ltd</v>
      </c>
      <c r="M1339" s="2">
        <v>213.24</v>
      </c>
      <c r="N1339" s="16">
        <f t="shared" si="20"/>
        <v>6.3330973925353432E-2</v>
      </c>
    </row>
    <row r="1340" spans="2:14" ht="14.4" customHeight="1" x14ac:dyDescent="0.3">
      <c r="B1340" s="2" t="s">
        <v>1345</v>
      </c>
      <c r="C1340" s="3">
        <v>44112</v>
      </c>
      <c r="D1340" s="2" t="s">
        <v>2010</v>
      </c>
      <c r="E1340" s="2" t="s">
        <v>2084</v>
      </c>
      <c r="F1340" s="4">
        <v>992.84</v>
      </c>
      <c r="G1340" s="5">
        <v>976.04</v>
      </c>
      <c r="H1340" s="6">
        <v>20</v>
      </c>
      <c r="I1340" s="2" t="s">
        <v>2118</v>
      </c>
      <c r="J1340" s="2" t="str">
        <v>Grow Synergistic Infrastructures</v>
      </c>
      <c r="K1340" s="2" t="str">
        <v>Furniture</v>
      </c>
      <c r="L1340" s="2" t="str">
        <v>Adams-Carter</v>
      </c>
      <c r="M1340" s="2">
        <v>113.17</v>
      </c>
      <c r="N1340" s="16">
        <f t="shared" si="20"/>
        <v>0.98307884452681193</v>
      </c>
    </row>
    <row r="1341" spans="2:14" ht="14.4" customHeight="1" x14ac:dyDescent="0.3">
      <c r="B1341" s="2" t="s">
        <v>1346</v>
      </c>
      <c r="C1341" s="3">
        <v>45350</v>
      </c>
      <c r="D1341" s="2" t="s">
        <v>2012</v>
      </c>
      <c r="E1341" s="2" t="s">
        <v>2049</v>
      </c>
      <c r="F1341" s="4">
        <v>2023.28</v>
      </c>
      <c r="G1341" s="5">
        <v>812.58</v>
      </c>
      <c r="H1341" s="6">
        <v>3</v>
      </c>
      <c r="I1341" s="2" t="s">
        <v>2117</v>
      </c>
      <c r="J1341" s="2" t="str">
        <v>Scale 24/365 Networks</v>
      </c>
      <c r="K1341" s="2" t="str">
        <v>Furniture</v>
      </c>
      <c r="L1341" s="2" t="str">
        <v>Kim-Hamilton</v>
      </c>
      <c r="M1341" s="2">
        <v>157.55000000000001</v>
      </c>
      <c r="N1341" s="16">
        <f t="shared" si="20"/>
        <v>0.40161519908267768</v>
      </c>
    </row>
    <row r="1342" spans="2:14" ht="14.4" customHeight="1" x14ac:dyDescent="0.3">
      <c r="B1342" s="2" t="s">
        <v>1347</v>
      </c>
      <c r="C1342" s="3">
        <v>44340</v>
      </c>
      <c r="D1342" s="2" t="s">
        <v>2012</v>
      </c>
      <c r="E1342" s="2" t="s">
        <v>2019</v>
      </c>
      <c r="F1342" s="4">
        <v>1926.92</v>
      </c>
      <c r="G1342" s="5">
        <v>364.64</v>
      </c>
      <c r="H1342" s="6">
        <v>11</v>
      </c>
      <c r="I1342" s="2" t="s">
        <v>2118</v>
      </c>
      <c r="J1342" s="2" t="str">
        <v>Implement Clicks-And-Mortar Partnerships</v>
      </c>
      <c r="K1342" s="2" t="str">
        <v>Electronics</v>
      </c>
      <c r="L1342" s="2" t="str">
        <v>Smith Inc</v>
      </c>
      <c r="M1342" s="2">
        <v>195.53</v>
      </c>
      <c r="N1342" s="16">
        <f t="shared" si="20"/>
        <v>0.18923463350839681</v>
      </c>
    </row>
    <row r="1343" spans="2:14" ht="14.4" customHeight="1" x14ac:dyDescent="0.3">
      <c r="B1343" s="2" t="s">
        <v>1348</v>
      </c>
      <c r="C1343" s="3">
        <v>44388</v>
      </c>
      <c r="D1343" s="2" t="s">
        <v>2009</v>
      </c>
      <c r="E1343" s="2" t="s">
        <v>2057</v>
      </c>
      <c r="F1343" s="4">
        <v>3944.65</v>
      </c>
      <c r="G1343" s="5">
        <v>37.17</v>
      </c>
      <c r="H1343" s="6">
        <v>11</v>
      </c>
      <c r="I1343" s="2" t="s">
        <v>2116</v>
      </c>
      <c r="J1343" s="2" t="str">
        <v>Reinvent Out-Of-The-Box Models</v>
      </c>
      <c r="K1343" s="2" t="str">
        <v>Office Supplies</v>
      </c>
      <c r="L1343" s="2" t="str">
        <v>Wagner-Curtis</v>
      </c>
      <c r="M1343" s="2">
        <v>172.34</v>
      </c>
      <c r="N1343" s="16">
        <f t="shared" si="20"/>
        <v>9.4228892297161977E-3</v>
      </c>
    </row>
    <row r="1344" spans="2:14" ht="14.4" customHeight="1" x14ac:dyDescent="0.3">
      <c r="B1344" s="2" t="s">
        <v>1349</v>
      </c>
      <c r="C1344" s="3">
        <v>44718</v>
      </c>
      <c r="D1344" s="2" t="s">
        <v>2011</v>
      </c>
      <c r="E1344" s="2" t="s">
        <v>2060</v>
      </c>
      <c r="F1344" s="4">
        <v>859.81</v>
      </c>
      <c r="G1344" s="5">
        <v>542.14</v>
      </c>
      <c r="H1344" s="6">
        <v>20</v>
      </c>
      <c r="I1344" s="2" t="s">
        <v>2116</v>
      </c>
      <c r="J1344" s="2" t="str">
        <v>Synergize End-To-End Roi</v>
      </c>
      <c r="K1344" s="2" t="str">
        <v>Electronics</v>
      </c>
      <c r="L1344" s="2" t="str">
        <v>Evans-Smith</v>
      </c>
      <c r="M1344" s="2">
        <v>159.85</v>
      </c>
      <c r="N1344" s="16">
        <f t="shared" si="20"/>
        <v>0.63053465300473366</v>
      </c>
    </row>
    <row r="1345" spans="2:14" ht="14.4" customHeight="1" x14ac:dyDescent="0.3">
      <c r="B1345" s="2" t="s">
        <v>1350</v>
      </c>
      <c r="C1345" s="3">
        <v>45424</v>
      </c>
      <c r="D1345" s="2" t="s">
        <v>2010</v>
      </c>
      <c r="E1345" s="2" t="s">
        <v>2062</v>
      </c>
      <c r="F1345" s="4">
        <v>183.06</v>
      </c>
      <c r="G1345" s="5">
        <v>641.77</v>
      </c>
      <c r="H1345" s="6">
        <v>2</v>
      </c>
      <c r="I1345" s="2" t="s">
        <v>2117</v>
      </c>
      <c r="J1345" s="2" t="str">
        <v>Incubate Real-Time E-Tailers</v>
      </c>
      <c r="K1345" s="2" t="str">
        <v>Electronics</v>
      </c>
      <c r="L1345" s="2" t="str">
        <v>Johnson-Riley</v>
      </c>
      <c r="M1345" s="2">
        <v>86.67</v>
      </c>
      <c r="N1345" s="16">
        <f t="shared" si="20"/>
        <v>3.5057904512181799</v>
      </c>
    </row>
    <row r="1346" spans="2:14" ht="14.4" customHeight="1" x14ac:dyDescent="0.3">
      <c r="B1346" s="2" t="s">
        <v>1351</v>
      </c>
      <c r="C1346" s="3">
        <v>45045</v>
      </c>
      <c r="D1346" s="2" t="s">
        <v>2009</v>
      </c>
      <c r="E1346" s="2" t="s">
        <v>2019</v>
      </c>
      <c r="F1346" s="4">
        <v>2100.08</v>
      </c>
      <c r="G1346" s="5">
        <v>150.97</v>
      </c>
      <c r="H1346" s="6">
        <v>7</v>
      </c>
      <c r="I1346" s="2" t="s">
        <v>2116</v>
      </c>
      <c r="J1346" s="2" t="str">
        <v>Implement Clicks-And-Mortar Partnerships</v>
      </c>
      <c r="K1346" s="2" t="str">
        <v>Electronics</v>
      </c>
      <c r="L1346" s="2" t="str">
        <v>Smith Inc</v>
      </c>
      <c r="M1346" s="2">
        <v>195.53</v>
      </c>
      <c r="N1346" s="16">
        <f t="shared" si="20"/>
        <v>7.1887737609995811E-2</v>
      </c>
    </row>
    <row r="1347" spans="2:14" ht="14.4" customHeight="1" x14ac:dyDescent="0.3">
      <c r="B1347" s="2" t="s">
        <v>1352</v>
      </c>
      <c r="C1347" s="3">
        <v>44315</v>
      </c>
      <c r="D1347" s="2" t="s">
        <v>2009</v>
      </c>
      <c r="E1347" s="2" t="s">
        <v>2110</v>
      </c>
      <c r="F1347" s="4">
        <v>1078.9100000000001</v>
      </c>
      <c r="G1347" s="5">
        <v>499.12</v>
      </c>
      <c r="H1347" s="6">
        <v>14</v>
      </c>
      <c r="I1347" s="2" t="s">
        <v>2118</v>
      </c>
      <c r="J1347" s="2" t="str">
        <v>Repurpose End-To-End Networks</v>
      </c>
      <c r="K1347" s="2" t="str">
        <v>Office Supplies</v>
      </c>
      <c r="L1347" s="2" t="str">
        <v>Torres-Rush</v>
      </c>
      <c r="M1347" s="2">
        <v>97.02</v>
      </c>
      <c r="N1347" s="16">
        <f t="shared" si="20"/>
        <v>0.46261504666746994</v>
      </c>
    </row>
    <row r="1348" spans="2:14" ht="14.4" customHeight="1" x14ac:dyDescent="0.3">
      <c r="B1348" s="2" t="s">
        <v>1353</v>
      </c>
      <c r="C1348" s="3">
        <v>44433</v>
      </c>
      <c r="D1348" s="2" t="s">
        <v>2012</v>
      </c>
      <c r="E1348" s="2" t="s">
        <v>2086</v>
      </c>
      <c r="F1348" s="4">
        <v>4119.79</v>
      </c>
      <c r="G1348" s="5">
        <v>639.14</v>
      </c>
      <c r="H1348" s="6">
        <v>5</v>
      </c>
      <c r="I1348" s="2" t="s">
        <v>2118</v>
      </c>
      <c r="J1348" s="2" t="str">
        <v>Harness Proactive Eyeballs</v>
      </c>
      <c r="K1348" s="2" t="str">
        <v>Electronics</v>
      </c>
      <c r="L1348" s="2" t="str">
        <v>Moran and Sons</v>
      </c>
      <c r="M1348" s="2">
        <v>58.01</v>
      </c>
      <c r="N1348" s="16">
        <f t="shared" si="20"/>
        <v>0.15513897553030614</v>
      </c>
    </row>
    <row r="1349" spans="2:14" ht="14.4" customHeight="1" x14ac:dyDescent="0.3">
      <c r="B1349" s="2" t="s">
        <v>1354</v>
      </c>
      <c r="C1349" s="3">
        <v>44543</v>
      </c>
      <c r="D1349" s="2" t="s">
        <v>2012</v>
      </c>
      <c r="E1349" s="2" t="s">
        <v>2090</v>
      </c>
      <c r="F1349" s="4">
        <v>2284.65</v>
      </c>
      <c r="G1349" s="5">
        <v>652.57000000000005</v>
      </c>
      <c r="H1349" s="6">
        <v>11</v>
      </c>
      <c r="I1349" s="2" t="s">
        <v>2118</v>
      </c>
      <c r="J1349" s="2" t="str">
        <v>Empower Bleeding-Edge Action-Items</v>
      </c>
      <c r="K1349" s="2" t="str">
        <v>Furniture</v>
      </c>
      <c r="L1349" s="2" t="str">
        <v>Gray, Hayes and Banks</v>
      </c>
      <c r="M1349" s="2">
        <v>204.26</v>
      </c>
      <c r="N1349" s="16">
        <f t="shared" ref="N1349:N1412" si="21">(G1349/F1349)</f>
        <v>0.28563237257347951</v>
      </c>
    </row>
    <row r="1350" spans="2:14" ht="14.4" customHeight="1" x14ac:dyDescent="0.3">
      <c r="B1350" s="2" t="s">
        <v>1355</v>
      </c>
      <c r="C1350" s="3">
        <v>44921</v>
      </c>
      <c r="D1350" s="2" t="s">
        <v>2010</v>
      </c>
      <c r="E1350" s="2" t="s">
        <v>2101</v>
      </c>
      <c r="F1350" s="4">
        <v>1443.41</v>
      </c>
      <c r="G1350" s="5">
        <v>560.36</v>
      </c>
      <c r="H1350" s="6">
        <v>3</v>
      </c>
      <c r="I1350" s="2" t="s">
        <v>2116</v>
      </c>
      <c r="J1350" s="2" t="str">
        <v>Deploy Granular Channels</v>
      </c>
      <c r="K1350" s="2" t="str">
        <v>Furniture</v>
      </c>
      <c r="L1350" s="2" t="str">
        <v>Barnes Ltd</v>
      </c>
      <c r="M1350" s="2">
        <v>288.99</v>
      </c>
      <c r="N1350" s="16">
        <f t="shared" si="21"/>
        <v>0.38821956339501595</v>
      </c>
    </row>
    <row r="1351" spans="2:14" ht="14.4" customHeight="1" x14ac:dyDescent="0.3">
      <c r="B1351" s="2" t="s">
        <v>1356</v>
      </c>
      <c r="C1351" s="3">
        <v>44765</v>
      </c>
      <c r="D1351" s="2" t="s">
        <v>2010</v>
      </c>
      <c r="E1351" s="2" t="s">
        <v>2103</v>
      </c>
      <c r="F1351" s="4">
        <v>1971.97</v>
      </c>
      <c r="G1351" s="5">
        <v>480.8</v>
      </c>
      <c r="H1351" s="6">
        <v>19</v>
      </c>
      <c r="I1351" s="2" t="s">
        <v>2118</v>
      </c>
      <c r="J1351" s="2" t="str">
        <v>Benchmark Cross-Platform Markets</v>
      </c>
      <c r="K1351" s="2" t="str">
        <v>Furniture</v>
      </c>
      <c r="L1351" s="2" t="str">
        <v>Murphy, Mathews and Wilson</v>
      </c>
      <c r="M1351" s="2">
        <v>78.88</v>
      </c>
      <c r="N1351" s="16">
        <f t="shared" si="21"/>
        <v>0.24381709660897477</v>
      </c>
    </row>
    <row r="1352" spans="2:14" ht="14.4" customHeight="1" x14ac:dyDescent="0.3">
      <c r="B1352" s="2" t="s">
        <v>1357</v>
      </c>
      <c r="C1352" s="3">
        <v>44519</v>
      </c>
      <c r="D1352" s="2" t="s">
        <v>2011</v>
      </c>
      <c r="E1352" s="2" t="s">
        <v>2043</v>
      </c>
      <c r="F1352" s="4">
        <v>2881.36</v>
      </c>
      <c r="G1352" s="5">
        <v>232</v>
      </c>
      <c r="H1352" s="6">
        <v>13</v>
      </c>
      <c r="I1352" s="2" t="s">
        <v>2116</v>
      </c>
      <c r="J1352" s="2" t="str">
        <v>Brand Distributed Info-Mediaries</v>
      </c>
      <c r="K1352" s="2" t="str">
        <v>Furniture</v>
      </c>
      <c r="L1352" s="2" t="str">
        <v>Garcia Ltd</v>
      </c>
      <c r="M1352" s="2">
        <v>114.48</v>
      </c>
      <c r="N1352" s="16">
        <f t="shared" si="21"/>
        <v>8.0517533387011689E-2</v>
      </c>
    </row>
    <row r="1353" spans="2:14" ht="14.4" customHeight="1" x14ac:dyDescent="0.3">
      <c r="B1353" s="2" t="s">
        <v>1358</v>
      </c>
      <c r="C1353" s="3">
        <v>44091</v>
      </c>
      <c r="D1353" s="2" t="s">
        <v>2012</v>
      </c>
      <c r="E1353" s="2" t="s">
        <v>2028</v>
      </c>
      <c r="F1353" s="4">
        <v>966.65</v>
      </c>
      <c r="G1353" s="5">
        <v>406.27</v>
      </c>
      <c r="H1353" s="6">
        <v>13</v>
      </c>
      <c r="I1353" s="2" t="s">
        <v>2118</v>
      </c>
      <c r="J1353" s="2" t="str">
        <v>Synergize World-Class Networks</v>
      </c>
      <c r="K1353" s="2" t="str">
        <v>Electronics</v>
      </c>
      <c r="L1353" s="2" t="str">
        <v>Gomez-Lawrence</v>
      </c>
      <c r="M1353" s="2">
        <v>72.37</v>
      </c>
      <c r="N1353" s="16">
        <f t="shared" si="21"/>
        <v>0.42028655666477005</v>
      </c>
    </row>
    <row r="1354" spans="2:14" ht="14.4" customHeight="1" x14ac:dyDescent="0.3">
      <c r="B1354" s="2" t="s">
        <v>1359</v>
      </c>
      <c r="C1354" s="3">
        <v>44356</v>
      </c>
      <c r="D1354" s="2" t="s">
        <v>2012</v>
      </c>
      <c r="E1354" s="2" t="s">
        <v>2095</v>
      </c>
      <c r="F1354" s="4">
        <v>4592.4799999999996</v>
      </c>
      <c r="G1354" s="5">
        <v>212.78</v>
      </c>
      <c r="H1354" s="6">
        <v>13</v>
      </c>
      <c r="I1354" s="2" t="s">
        <v>2118</v>
      </c>
      <c r="J1354" s="2" t="str">
        <v>Envisioneer B2B Users</v>
      </c>
      <c r="K1354" s="2" t="str">
        <v>Office Supplies</v>
      </c>
      <c r="L1354" s="2" t="str">
        <v>Rogers Group</v>
      </c>
      <c r="M1354" s="2">
        <v>239.16</v>
      </c>
      <c r="N1354" s="16">
        <f t="shared" si="21"/>
        <v>4.6332264920043206E-2</v>
      </c>
    </row>
    <row r="1355" spans="2:14" ht="14.4" customHeight="1" x14ac:dyDescent="0.3">
      <c r="B1355" s="2" t="s">
        <v>1360</v>
      </c>
      <c r="C1355" s="3">
        <v>44649</v>
      </c>
      <c r="D1355" s="2" t="s">
        <v>2009</v>
      </c>
      <c r="E1355" s="2" t="s">
        <v>2027</v>
      </c>
      <c r="F1355" s="4">
        <v>3729.33</v>
      </c>
      <c r="G1355" s="5">
        <v>845.56</v>
      </c>
      <c r="H1355" s="6">
        <v>19</v>
      </c>
      <c r="I1355" s="2" t="s">
        <v>2116</v>
      </c>
      <c r="J1355" s="2" t="str">
        <v>Monetize Value-Added Niches</v>
      </c>
      <c r="K1355" s="2" t="str">
        <v>Office Supplies</v>
      </c>
      <c r="L1355" s="2" t="str">
        <v>Foster, Velazquez and Lee</v>
      </c>
      <c r="M1355" s="2">
        <v>171.51</v>
      </c>
      <c r="N1355" s="16">
        <f t="shared" si="21"/>
        <v>0.22673241574223787</v>
      </c>
    </row>
    <row r="1356" spans="2:14" ht="14.4" customHeight="1" x14ac:dyDescent="0.3">
      <c r="B1356" s="2" t="s">
        <v>1361</v>
      </c>
      <c r="C1356" s="3">
        <v>44359</v>
      </c>
      <c r="D1356" s="2" t="s">
        <v>2012</v>
      </c>
      <c r="E1356" s="2" t="s">
        <v>2024</v>
      </c>
      <c r="F1356" s="4">
        <v>3645.76</v>
      </c>
      <c r="G1356" s="5">
        <v>216.55</v>
      </c>
      <c r="H1356" s="6">
        <v>15</v>
      </c>
      <c r="I1356" s="2" t="s">
        <v>2116</v>
      </c>
      <c r="J1356" s="2" t="str">
        <v>Target Viral Methodologies</v>
      </c>
      <c r="K1356" s="2" t="str">
        <v>Electronics</v>
      </c>
      <c r="L1356" s="2" t="str">
        <v>Alvarez, Myers and Walter</v>
      </c>
      <c r="M1356" s="2">
        <v>149.26</v>
      </c>
      <c r="N1356" s="16">
        <f t="shared" si="21"/>
        <v>5.9397766172211007E-2</v>
      </c>
    </row>
    <row r="1357" spans="2:14" ht="14.4" customHeight="1" x14ac:dyDescent="0.3">
      <c r="B1357" s="2" t="s">
        <v>1362</v>
      </c>
      <c r="C1357" s="3">
        <v>43901</v>
      </c>
      <c r="D1357" s="2" t="s">
        <v>2010</v>
      </c>
      <c r="E1357" s="2" t="s">
        <v>2105</v>
      </c>
      <c r="F1357" s="4">
        <v>1407.9</v>
      </c>
      <c r="G1357" s="5">
        <v>172.68</v>
      </c>
      <c r="H1357" s="6">
        <v>10</v>
      </c>
      <c r="I1357" s="2" t="s">
        <v>2118</v>
      </c>
      <c r="J1357" s="2" t="str">
        <v>Brand B2C Info-Mediaries</v>
      </c>
      <c r="K1357" s="2" t="str">
        <v>Office Supplies</v>
      </c>
      <c r="L1357" s="2" t="str">
        <v>Preston Ltd</v>
      </c>
      <c r="M1357" s="2">
        <v>13.46</v>
      </c>
      <c r="N1357" s="16">
        <f t="shared" si="21"/>
        <v>0.1226507564457703</v>
      </c>
    </row>
    <row r="1358" spans="2:14" ht="14.4" customHeight="1" x14ac:dyDescent="0.3">
      <c r="B1358" s="2" t="s">
        <v>1363</v>
      </c>
      <c r="C1358" s="3">
        <v>45007</v>
      </c>
      <c r="D1358" s="2" t="s">
        <v>2012</v>
      </c>
      <c r="E1358" s="2" t="s">
        <v>2047</v>
      </c>
      <c r="F1358" s="4">
        <v>4039.12</v>
      </c>
      <c r="G1358" s="5">
        <v>724.84</v>
      </c>
      <c r="H1358" s="6">
        <v>8</v>
      </c>
      <c r="I1358" s="2" t="s">
        <v>2118</v>
      </c>
      <c r="J1358" s="2" t="str">
        <v>Transform Holistic Functionalities</v>
      </c>
      <c r="K1358" s="2" t="str">
        <v>Office Supplies</v>
      </c>
      <c r="L1358" s="2" t="str">
        <v>Ruiz Ltd</v>
      </c>
      <c r="M1358" s="2">
        <v>179.27</v>
      </c>
      <c r="N1358" s="16">
        <f t="shared" si="21"/>
        <v>0.17945493077700095</v>
      </c>
    </row>
    <row r="1359" spans="2:14" ht="14.4" customHeight="1" x14ac:dyDescent="0.3">
      <c r="B1359" s="2" t="s">
        <v>1364</v>
      </c>
      <c r="C1359" s="3">
        <v>44613</v>
      </c>
      <c r="D1359" s="2" t="s">
        <v>2011</v>
      </c>
      <c r="E1359" s="2" t="s">
        <v>2029</v>
      </c>
      <c r="F1359" s="4">
        <v>3406.72</v>
      </c>
      <c r="G1359" s="5">
        <v>952.99</v>
      </c>
      <c r="H1359" s="6">
        <v>17</v>
      </c>
      <c r="I1359" s="2" t="s">
        <v>2117</v>
      </c>
      <c r="J1359" s="2" t="str">
        <v>E-Enable Next-Generation Experiences</v>
      </c>
      <c r="K1359" s="2" t="str">
        <v>Furniture</v>
      </c>
      <c r="L1359" s="2" t="str">
        <v>Sanchez-Quinn</v>
      </c>
      <c r="M1359" s="2">
        <v>266.93</v>
      </c>
      <c r="N1359" s="16">
        <f t="shared" si="21"/>
        <v>0.27973828198384371</v>
      </c>
    </row>
    <row r="1360" spans="2:14" ht="14.4" customHeight="1" x14ac:dyDescent="0.3">
      <c r="B1360" s="2" t="s">
        <v>1365</v>
      </c>
      <c r="C1360" s="3">
        <v>44341</v>
      </c>
      <c r="D1360" s="2" t="s">
        <v>2011</v>
      </c>
      <c r="E1360" s="2" t="s">
        <v>2021</v>
      </c>
      <c r="F1360" s="4">
        <v>859.69</v>
      </c>
      <c r="G1360" s="5">
        <v>660.7</v>
      </c>
      <c r="H1360" s="6">
        <v>13</v>
      </c>
      <c r="I1360" s="2" t="s">
        <v>2118</v>
      </c>
      <c r="J1360" s="2" t="str">
        <v>Whiteboard Compelling Experiences</v>
      </c>
      <c r="K1360" s="2" t="str">
        <v>Furniture</v>
      </c>
      <c r="L1360" s="2" t="str">
        <v>Carrillo, Carr and Ball</v>
      </c>
      <c r="M1360" s="2">
        <v>206.54</v>
      </c>
      <c r="N1360" s="16">
        <f t="shared" si="21"/>
        <v>0.76853284323418902</v>
      </c>
    </row>
    <row r="1361" spans="2:14" ht="14.4" customHeight="1" x14ac:dyDescent="0.3">
      <c r="B1361" s="2" t="s">
        <v>1366</v>
      </c>
      <c r="C1361" s="3">
        <v>44524</v>
      </c>
      <c r="D1361" s="2" t="s">
        <v>2009</v>
      </c>
      <c r="E1361" s="2" t="s">
        <v>2096</v>
      </c>
      <c r="F1361" s="4">
        <v>3031.82</v>
      </c>
      <c r="G1361" s="5">
        <v>148.72999999999999</v>
      </c>
      <c r="H1361" s="6">
        <v>19</v>
      </c>
      <c r="I1361" s="2" t="s">
        <v>2117</v>
      </c>
      <c r="J1361" s="2" t="str">
        <v>Disintermediate Scalable Bandwidth</v>
      </c>
      <c r="K1361" s="2" t="str">
        <v>Electronics</v>
      </c>
      <c r="L1361" s="2" t="str">
        <v>Levy PLC</v>
      </c>
      <c r="M1361" s="2">
        <v>19.86</v>
      </c>
      <c r="N1361" s="16">
        <f t="shared" si="21"/>
        <v>4.9056342394997059E-2</v>
      </c>
    </row>
    <row r="1362" spans="2:14" ht="14.4" customHeight="1" x14ac:dyDescent="0.3">
      <c r="B1362" s="2" t="s">
        <v>1367</v>
      </c>
      <c r="C1362" s="3">
        <v>44141</v>
      </c>
      <c r="D1362" s="2" t="s">
        <v>2012</v>
      </c>
      <c r="E1362" s="2" t="s">
        <v>2110</v>
      </c>
      <c r="F1362" s="4">
        <v>3037.35</v>
      </c>
      <c r="G1362" s="5">
        <v>47.62</v>
      </c>
      <c r="H1362" s="6">
        <v>3</v>
      </c>
      <c r="I1362" s="2" t="s">
        <v>2118</v>
      </c>
      <c r="J1362" s="2" t="str">
        <v>Repurpose End-To-End Networks</v>
      </c>
      <c r="K1362" s="2" t="str">
        <v>Office Supplies</v>
      </c>
      <c r="L1362" s="2" t="str">
        <v>Torres-Rush</v>
      </c>
      <c r="M1362" s="2">
        <v>97.02</v>
      </c>
      <c r="N1362" s="16">
        <f t="shared" si="21"/>
        <v>1.567814048430375E-2</v>
      </c>
    </row>
    <row r="1363" spans="2:14" ht="14.4" customHeight="1" x14ac:dyDescent="0.3">
      <c r="B1363" s="2" t="s">
        <v>1368</v>
      </c>
      <c r="C1363" s="3">
        <v>44078</v>
      </c>
      <c r="D1363" s="2" t="s">
        <v>2010</v>
      </c>
      <c r="E1363" s="2" t="s">
        <v>2032</v>
      </c>
      <c r="F1363" s="4">
        <v>3131.87</v>
      </c>
      <c r="G1363" s="5">
        <v>676.26</v>
      </c>
      <c r="H1363" s="6">
        <v>9</v>
      </c>
      <c r="I1363" s="2" t="s">
        <v>2117</v>
      </c>
      <c r="J1363" s="2" t="str">
        <v>Reinvent Frictionless Roi</v>
      </c>
      <c r="K1363" s="2" t="str">
        <v>Furniture</v>
      </c>
      <c r="L1363" s="2" t="str">
        <v>Bridges, Castillo and Rodriguez</v>
      </c>
      <c r="M1363" s="2">
        <v>253.89</v>
      </c>
      <c r="N1363" s="16">
        <f t="shared" si="21"/>
        <v>0.21592850277948958</v>
      </c>
    </row>
    <row r="1364" spans="2:14" ht="14.4" customHeight="1" x14ac:dyDescent="0.3">
      <c r="B1364" s="2" t="s">
        <v>1369</v>
      </c>
      <c r="C1364" s="3">
        <v>44384</v>
      </c>
      <c r="D1364" s="2" t="s">
        <v>2010</v>
      </c>
      <c r="E1364" s="2" t="s">
        <v>2083</v>
      </c>
      <c r="F1364" s="4">
        <v>311.18</v>
      </c>
      <c r="G1364" s="5">
        <v>233.43</v>
      </c>
      <c r="H1364" s="6">
        <v>5</v>
      </c>
      <c r="I1364" s="2" t="s">
        <v>2117</v>
      </c>
      <c r="J1364" s="2" t="str">
        <v>Whiteboard Sticky Content</v>
      </c>
      <c r="K1364" s="2" t="str">
        <v>Furniture</v>
      </c>
      <c r="L1364" s="2" t="str">
        <v>Wolfe Group</v>
      </c>
      <c r="M1364" s="2">
        <v>82.16</v>
      </c>
      <c r="N1364" s="16">
        <f t="shared" si="21"/>
        <v>0.75014461083617201</v>
      </c>
    </row>
    <row r="1365" spans="2:14" ht="14.4" customHeight="1" x14ac:dyDescent="0.3">
      <c r="B1365" s="2" t="s">
        <v>1370</v>
      </c>
      <c r="C1365" s="3">
        <v>44339</v>
      </c>
      <c r="D1365" s="2" t="s">
        <v>2009</v>
      </c>
      <c r="E1365" s="2" t="s">
        <v>2032</v>
      </c>
      <c r="F1365" s="4">
        <v>2901.15</v>
      </c>
      <c r="G1365" s="5">
        <v>627.32000000000005</v>
      </c>
      <c r="H1365" s="6">
        <v>1</v>
      </c>
      <c r="I1365" s="2" t="s">
        <v>2118</v>
      </c>
      <c r="J1365" s="2" t="str">
        <v>Reinvent Frictionless Roi</v>
      </c>
      <c r="K1365" s="2" t="str">
        <v>Furniture</v>
      </c>
      <c r="L1365" s="2" t="str">
        <v>Bridges, Castillo and Rodriguez</v>
      </c>
      <c r="M1365" s="2">
        <v>253.89</v>
      </c>
      <c r="N1365" s="16">
        <f t="shared" si="21"/>
        <v>0.21623149440739017</v>
      </c>
    </row>
    <row r="1366" spans="2:14" ht="14.4" customHeight="1" x14ac:dyDescent="0.3">
      <c r="B1366" s="2" t="s">
        <v>1371</v>
      </c>
      <c r="C1366" s="3">
        <v>44163</v>
      </c>
      <c r="D1366" s="2" t="s">
        <v>2011</v>
      </c>
      <c r="E1366" s="2" t="s">
        <v>2033</v>
      </c>
      <c r="F1366" s="4">
        <v>1148.96</v>
      </c>
      <c r="G1366" s="5">
        <v>371.25</v>
      </c>
      <c r="H1366" s="6">
        <v>4</v>
      </c>
      <c r="I1366" s="2" t="s">
        <v>2118</v>
      </c>
      <c r="J1366" s="2" t="str">
        <v>Leverage Rich Portals</v>
      </c>
      <c r="K1366" s="2" t="str">
        <v>Office Supplies</v>
      </c>
      <c r="L1366" s="2" t="str">
        <v>Wilson PLC</v>
      </c>
      <c r="M1366" s="2">
        <v>46.35</v>
      </c>
      <c r="N1366" s="16">
        <f t="shared" si="21"/>
        <v>0.32311829828714661</v>
      </c>
    </row>
    <row r="1367" spans="2:14" ht="14.4" customHeight="1" x14ac:dyDescent="0.3">
      <c r="B1367" s="2" t="s">
        <v>1372</v>
      </c>
      <c r="C1367" s="3">
        <v>44247</v>
      </c>
      <c r="D1367" s="2" t="s">
        <v>2011</v>
      </c>
      <c r="E1367" s="2" t="s">
        <v>2042</v>
      </c>
      <c r="F1367" s="4">
        <v>2102.0500000000002</v>
      </c>
      <c r="G1367" s="5">
        <v>708.6</v>
      </c>
      <c r="H1367" s="6">
        <v>11</v>
      </c>
      <c r="I1367" s="2" t="s">
        <v>2117</v>
      </c>
      <c r="J1367" s="2" t="str">
        <v>Orchestrate E-Business Niches</v>
      </c>
      <c r="K1367" s="2" t="str">
        <v>Furniture</v>
      </c>
      <c r="L1367" s="2" t="str">
        <v>Johnson LLC</v>
      </c>
      <c r="M1367" s="2">
        <v>198.99</v>
      </c>
      <c r="N1367" s="16">
        <f t="shared" si="21"/>
        <v>0.33709949810898882</v>
      </c>
    </row>
    <row r="1368" spans="2:14" ht="14.4" customHeight="1" x14ac:dyDescent="0.3">
      <c r="B1368" s="2" t="s">
        <v>1373</v>
      </c>
      <c r="C1368" s="3">
        <v>44319</v>
      </c>
      <c r="D1368" s="2" t="s">
        <v>2012</v>
      </c>
      <c r="E1368" s="2" t="s">
        <v>2029</v>
      </c>
      <c r="F1368" s="4">
        <v>1817.07</v>
      </c>
      <c r="G1368" s="5">
        <v>64.790000000000006</v>
      </c>
      <c r="H1368" s="6">
        <v>9</v>
      </c>
      <c r="I1368" s="2" t="s">
        <v>2118</v>
      </c>
      <c r="J1368" s="2" t="str">
        <v>E-Enable Next-Generation Experiences</v>
      </c>
      <c r="K1368" s="2" t="str">
        <v>Furniture</v>
      </c>
      <c r="L1368" s="2" t="str">
        <v>Sanchez-Quinn</v>
      </c>
      <c r="M1368" s="2">
        <v>266.93</v>
      </c>
      <c r="N1368" s="16">
        <f t="shared" si="21"/>
        <v>3.5656303829791923E-2</v>
      </c>
    </row>
    <row r="1369" spans="2:14" ht="14.4" customHeight="1" x14ac:dyDescent="0.3">
      <c r="B1369" s="2" t="s">
        <v>1374</v>
      </c>
      <c r="C1369" s="3">
        <v>44735</v>
      </c>
      <c r="D1369" s="2" t="s">
        <v>2012</v>
      </c>
      <c r="E1369" s="2" t="s">
        <v>2051</v>
      </c>
      <c r="F1369" s="4">
        <v>564.37</v>
      </c>
      <c r="G1369" s="5">
        <v>994.45</v>
      </c>
      <c r="H1369" s="6">
        <v>8</v>
      </c>
      <c r="I1369" s="2" t="s">
        <v>2116</v>
      </c>
      <c r="J1369" s="2" t="str">
        <v>Generate Front-End Functionalities</v>
      </c>
      <c r="K1369" s="2" t="str">
        <v>Office Supplies</v>
      </c>
      <c r="L1369" s="2" t="str">
        <v>Morales-Brown</v>
      </c>
      <c r="M1369" s="2">
        <v>299.77</v>
      </c>
      <c r="N1369" s="16">
        <f t="shared" si="21"/>
        <v>1.7620532629303471</v>
      </c>
    </row>
    <row r="1370" spans="2:14" ht="14.4" customHeight="1" x14ac:dyDescent="0.3">
      <c r="B1370" s="2" t="s">
        <v>1375</v>
      </c>
      <c r="C1370" s="3">
        <v>45502</v>
      </c>
      <c r="D1370" s="2" t="s">
        <v>2012</v>
      </c>
      <c r="E1370" s="2" t="s">
        <v>2018</v>
      </c>
      <c r="F1370" s="4">
        <v>1129.1300000000001</v>
      </c>
      <c r="G1370" s="5">
        <v>549.04999999999995</v>
      </c>
      <c r="H1370" s="6">
        <v>7</v>
      </c>
      <c r="I1370" s="2" t="s">
        <v>2117</v>
      </c>
      <c r="J1370" s="2" t="str">
        <v>Deliver Sticky Networks</v>
      </c>
      <c r="K1370" s="2" t="str">
        <v>Furniture</v>
      </c>
      <c r="L1370" s="2" t="str">
        <v>Massey LLC</v>
      </c>
      <c r="M1370" s="2">
        <v>272.33</v>
      </c>
      <c r="N1370" s="16">
        <f t="shared" si="21"/>
        <v>0.48625933240636587</v>
      </c>
    </row>
    <row r="1371" spans="2:14" ht="14.4" customHeight="1" x14ac:dyDescent="0.3">
      <c r="B1371" s="2" t="s">
        <v>1376</v>
      </c>
      <c r="C1371" s="3">
        <v>45113</v>
      </c>
      <c r="D1371" s="2" t="s">
        <v>2010</v>
      </c>
      <c r="E1371" s="2" t="s">
        <v>2111</v>
      </c>
      <c r="F1371" s="4">
        <v>1130.76</v>
      </c>
      <c r="G1371" s="5">
        <v>865.49</v>
      </c>
      <c r="H1371" s="6">
        <v>16</v>
      </c>
      <c r="I1371" s="2" t="s">
        <v>2118</v>
      </c>
      <c r="J1371" s="2" t="str">
        <v>Evolve Intuitive Bandwidth</v>
      </c>
      <c r="K1371" s="2" t="str">
        <v>Office Supplies</v>
      </c>
      <c r="L1371" s="2" t="str">
        <v>Rogers Group</v>
      </c>
      <c r="M1371" s="2">
        <v>131.63</v>
      </c>
      <c r="N1371" s="16">
        <f t="shared" si="21"/>
        <v>0.76540556793660897</v>
      </c>
    </row>
    <row r="1372" spans="2:14" ht="14.4" customHeight="1" x14ac:dyDescent="0.3">
      <c r="B1372" s="2" t="s">
        <v>1377</v>
      </c>
      <c r="C1372" s="3">
        <v>44526</v>
      </c>
      <c r="D1372" s="2" t="s">
        <v>2009</v>
      </c>
      <c r="E1372" s="2" t="s">
        <v>2031</v>
      </c>
      <c r="F1372" s="4">
        <v>3069.11</v>
      </c>
      <c r="G1372" s="5">
        <v>509.53</v>
      </c>
      <c r="H1372" s="6">
        <v>3</v>
      </c>
      <c r="I1372" s="2" t="s">
        <v>2118</v>
      </c>
      <c r="J1372" s="2" t="str">
        <v>Embrace 24/365 Functionalities</v>
      </c>
      <c r="K1372" s="2" t="str">
        <v>Office Supplies</v>
      </c>
      <c r="L1372" s="2" t="str">
        <v>Smith LLC</v>
      </c>
      <c r="M1372" s="2">
        <v>204.04</v>
      </c>
      <c r="N1372" s="16">
        <f t="shared" si="21"/>
        <v>0.1660188132715999</v>
      </c>
    </row>
    <row r="1373" spans="2:14" ht="14.4" customHeight="1" x14ac:dyDescent="0.3">
      <c r="B1373" s="2" t="s">
        <v>1378</v>
      </c>
      <c r="C1373" s="3">
        <v>43950</v>
      </c>
      <c r="D1373" s="2" t="s">
        <v>2012</v>
      </c>
      <c r="E1373" s="2" t="s">
        <v>2038</v>
      </c>
      <c r="F1373" s="4">
        <v>4793.29</v>
      </c>
      <c r="G1373" s="5">
        <v>719.41</v>
      </c>
      <c r="H1373" s="6">
        <v>9</v>
      </c>
      <c r="I1373" s="2" t="s">
        <v>2116</v>
      </c>
      <c r="J1373" s="2" t="str">
        <v>Reinvent Mission-Critical Markets</v>
      </c>
      <c r="K1373" s="2" t="str">
        <v>Furniture</v>
      </c>
      <c r="L1373" s="2" t="str">
        <v>Gilbert-Sanders</v>
      </c>
      <c r="M1373" s="2">
        <v>154.21</v>
      </c>
      <c r="N1373" s="16">
        <f t="shared" si="21"/>
        <v>0.15008689230152983</v>
      </c>
    </row>
    <row r="1374" spans="2:14" ht="14.4" customHeight="1" x14ac:dyDescent="0.3">
      <c r="B1374" s="2" t="s">
        <v>1379</v>
      </c>
      <c r="C1374" s="3">
        <v>44914</v>
      </c>
      <c r="D1374" s="2" t="s">
        <v>2011</v>
      </c>
      <c r="E1374" s="2" t="s">
        <v>2024</v>
      </c>
      <c r="F1374" s="4">
        <v>3337.8</v>
      </c>
      <c r="G1374" s="5">
        <v>142.08000000000001</v>
      </c>
      <c r="H1374" s="6">
        <v>17</v>
      </c>
      <c r="I1374" s="2" t="s">
        <v>2117</v>
      </c>
      <c r="J1374" s="2" t="str">
        <v>Target Viral Methodologies</v>
      </c>
      <c r="K1374" s="2" t="str">
        <v>Electronics</v>
      </c>
      <c r="L1374" s="2" t="str">
        <v>Alvarez, Myers and Walter</v>
      </c>
      <c r="M1374" s="2">
        <v>149.26</v>
      </c>
      <c r="N1374" s="16">
        <f t="shared" si="21"/>
        <v>4.2566960273233867E-2</v>
      </c>
    </row>
    <row r="1375" spans="2:14" ht="14.4" customHeight="1" x14ac:dyDescent="0.3">
      <c r="B1375" s="2" t="s">
        <v>1380</v>
      </c>
      <c r="C1375" s="3">
        <v>45128</v>
      </c>
      <c r="D1375" s="2" t="s">
        <v>2012</v>
      </c>
      <c r="E1375" s="2" t="s">
        <v>2051</v>
      </c>
      <c r="F1375" s="4">
        <v>3708.92</v>
      </c>
      <c r="G1375" s="5">
        <v>879.24</v>
      </c>
      <c r="H1375" s="6">
        <v>16</v>
      </c>
      <c r="I1375" s="2" t="s">
        <v>2118</v>
      </c>
      <c r="J1375" s="2" t="str">
        <v>Generate Front-End Functionalities</v>
      </c>
      <c r="K1375" s="2" t="str">
        <v>Office Supplies</v>
      </c>
      <c r="L1375" s="2" t="str">
        <v>Morales-Brown</v>
      </c>
      <c r="M1375" s="2">
        <v>299.77</v>
      </c>
      <c r="N1375" s="16">
        <f t="shared" si="21"/>
        <v>0.23706092339548979</v>
      </c>
    </row>
    <row r="1376" spans="2:14" ht="14.4" customHeight="1" x14ac:dyDescent="0.3">
      <c r="B1376" s="2" t="s">
        <v>1381</v>
      </c>
      <c r="C1376" s="3">
        <v>43860</v>
      </c>
      <c r="D1376" s="2" t="s">
        <v>2011</v>
      </c>
      <c r="E1376" s="2" t="s">
        <v>2062</v>
      </c>
      <c r="F1376" s="4">
        <v>669.11</v>
      </c>
      <c r="G1376" s="5">
        <v>946.53</v>
      </c>
      <c r="H1376" s="6">
        <v>10</v>
      </c>
      <c r="I1376" s="2" t="s">
        <v>2117</v>
      </c>
      <c r="J1376" s="2" t="str">
        <v>Incubate Real-Time E-Tailers</v>
      </c>
      <c r="K1376" s="2" t="str">
        <v>Electronics</v>
      </c>
      <c r="L1376" s="2" t="str">
        <v>Johnson-Riley</v>
      </c>
      <c r="M1376" s="2">
        <v>86.67</v>
      </c>
      <c r="N1376" s="16">
        <f t="shared" si="21"/>
        <v>1.4146104526908878</v>
      </c>
    </row>
    <row r="1377" spans="2:14" ht="14.4" customHeight="1" x14ac:dyDescent="0.3">
      <c r="B1377" s="2" t="s">
        <v>1382</v>
      </c>
      <c r="C1377" s="3">
        <v>44576</v>
      </c>
      <c r="D1377" s="2" t="s">
        <v>2010</v>
      </c>
      <c r="E1377" s="2" t="s">
        <v>2070</v>
      </c>
      <c r="F1377" s="4">
        <v>920.12</v>
      </c>
      <c r="G1377" s="5">
        <v>656.34</v>
      </c>
      <c r="H1377" s="6">
        <v>11</v>
      </c>
      <c r="I1377" s="2" t="s">
        <v>2117</v>
      </c>
      <c r="J1377" s="2" t="str">
        <v>Seize Plug-And-Play Web-Readiness</v>
      </c>
      <c r="K1377" s="2" t="str">
        <v>Electronics</v>
      </c>
      <c r="L1377" s="2" t="str">
        <v>Joseph, Mayer and Carr</v>
      </c>
      <c r="M1377" s="2">
        <v>102.73</v>
      </c>
      <c r="N1377" s="16">
        <f t="shared" si="21"/>
        <v>0.71332000173890364</v>
      </c>
    </row>
    <row r="1378" spans="2:14" ht="14.4" customHeight="1" x14ac:dyDescent="0.3">
      <c r="B1378" s="2" t="s">
        <v>1383</v>
      </c>
      <c r="C1378" s="3">
        <v>44523</v>
      </c>
      <c r="D1378" s="2" t="s">
        <v>2009</v>
      </c>
      <c r="E1378" s="2" t="s">
        <v>2100</v>
      </c>
      <c r="F1378" s="4">
        <v>2937.25</v>
      </c>
      <c r="G1378" s="5">
        <v>214.67</v>
      </c>
      <c r="H1378" s="6">
        <v>1</v>
      </c>
      <c r="I1378" s="2" t="s">
        <v>2117</v>
      </c>
      <c r="J1378" s="2" t="str">
        <v>Strategize Best-Of-Breed Web-Readiness</v>
      </c>
      <c r="K1378" s="2" t="str">
        <v>Office Supplies</v>
      </c>
      <c r="L1378" s="2" t="str">
        <v>Morris, King and Ayers</v>
      </c>
      <c r="M1378" s="2">
        <v>220.16</v>
      </c>
      <c r="N1378" s="16">
        <f t="shared" si="21"/>
        <v>7.3085368967571701E-2</v>
      </c>
    </row>
    <row r="1379" spans="2:14" ht="14.4" customHeight="1" x14ac:dyDescent="0.3">
      <c r="B1379" s="2" t="s">
        <v>1384</v>
      </c>
      <c r="C1379" s="3">
        <v>45524</v>
      </c>
      <c r="D1379" s="2" t="s">
        <v>2010</v>
      </c>
      <c r="E1379" s="2" t="s">
        <v>2096</v>
      </c>
      <c r="F1379" s="4">
        <v>476.61</v>
      </c>
      <c r="G1379" s="5">
        <v>809.42</v>
      </c>
      <c r="H1379" s="6">
        <v>17</v>
      </c>
      <c r="I1379" s="2" t="s">
        <v>2117</v>
      </c>
      <c r="J1379" s="2" t="str">
        <v>Disintermediate Scalable Bandwidth</v>
      </c>
      <c r="K1379" s="2" t="str">
        <v>Electronics</v>
      </c>
      <c r="L1379" s="2" t="str">
        <v>Levy PLC</v>
      </c>
      <c r="M1379" s="2">
        <v>19.86</v>
      </c>
      <c r="N1379" s="16">
        <f t="shared" si="21"/>
        <v>1.6982858102012126</v>
      </c>
    </row>
    <row r="1380" spans="2:14" ht="14.4" customHeight="1" x14ac:dyDescent="0.3">
      <c r="B1380" s="2" t="s">
        <v>1385</v>
      </c>
      <c r="C1380" s="3">
        <v>44030</v>
      </c>
      <c r="D1380" s="2" t="s">
        <v>2011</v>
      </c>
      <c r="E1380" s="2" t="s">
        <v>2067</v>
      </c>
      <c r="F1380" s="4">
        <v>2349.23</v>
      </c>
      <c r="G1380" s="5">
        <v>30.3</v>
      </c>
      <c r="H1380" s="6">
        <v>19</v>
      </c>
      <c r="I1380" s="2" t="s">
        <v>2116</v>
      </c>
      <c r="J1380" s="2" t="str">
        <v>Transition Compelling Web-Readiness</v>
      </c>
      <c r="K1380" s="2" t="str">
        <v>Furniture</v>
      </c>
      <c r="L1380" s="2" t="str">
        <v>Wood-Beck</v>
      </c>
      <c r="M1380" s="2">
        <v>88.34</v>
      </c>
      <c r="N1380" s="16">
        <f t="shared" si="21"/>
        <v>1.2897843123065855E-2</v>
      </c>
    </row>
    <row r="1381" spans="2:14" ht="14.4" customHeight="1" x14ac:dyDescent="0.3">
      <c r="B1381" s="2" t="s">
        <v>1386</v>
      </c>
      <c r="C1381" s="3">
        <v>45290</v>
      </c>
      <c r="D1381" s="2" t="s">
        <v>2012</v>
      </c>
      <c r="E1381" s="2" t="s">
        <v>2022</v>
      </c>
      <c r="F1381" s="4">
        <v>3750.88</v>
      </c>
      <c r="G1381" s="5">
        <v>501.57</v>
      </c>
      <c r="H1381" s="6">
        <v>6</v>
      </c>
      <c r="I1381" s="2" t="s">
        <v>2118</v>
      </c>
      <c r="J1381" s="2" t="str">
        <v>Monetize Collaborative Metrics</v>
      </c>
      <c r="K1381" s="2" t="str">
        <v>Electronics</v>
      </c>
      <c r="L1381" s="2" t="str">
        <v>Ramirez-Brown</v>
      </c>
      <c r="M1381" s="2">
        <v>286.04000000000002</v>
      </c>
      <c r="N1381" s="16">
        <f t="shared" si="21"/>
        <v>0.13372062022778655</v>
      </c>
    </row>
    <row r="1382" spans="2:14" ht="14.4" customHeight="1" x14ac:dyDescent="0.3">
      <c r="B1382" s="2" t="s">
        <v>1387</v>
      </c>
      <c r="C1382" s="3">
        <v>44463</v>
      </c>
      <c r="D1382" s="2" t="s">
        <v>2010</v>
      </c>
      <c r="E1382" s="2" t="s">
        <v>2029</v>
      </c>
      <c r="F1382" s="4">
        <v>212.18</v>
      </c>
      <c r="G1382" s="5">
        <v>549.30999999999995</v>
      </c>
      <c r="H1382" s="6">
        <v>2</v>
      </c>
      <c r="I1382" s="2" t="s">
        <v>2116</v>
      </c>
      <c r="J1382" s="2" t="str">
        <v>E-Enable Next-Generation Experiences</v>
      </c>
      <c r="K1382" s="2" t="str">
        <v>Furniture</v>
      </c>
      <c r="L1382" s="2" t="str">
        <v>Sanchez-Quinn</v>
      </c>
      <c r="M1382" s="2">
        <v>266.93</v>
      </c>
      <c r="N1382" s="16">
        <f t="shared" si="21"/>
        <v>2.5888867942313127</v>
      </c>
    </row>
    <row r="1383" spans="2:14" ht="14.4" customHeight="1" x14ac:dyDescent="0.3">
      <c r="B1383" s="2" t="s">
        <v>1388</v>
      </c>
      <c r="C1383" s="3">
        <v>45031</v>
      </c>
      <c r="D1383" s="2" t="s">
        <v>2012</v>
      </c>
      <c r="E1383" s="2" t="s">
        <v>2022</v>
      </c>
      <c r="F1383" s="4">
        <v>4307.2299999999996</v>
      </c>
      <c r="G1383" s="5">
        <v>36.020000000000003</v>
      </c>
      <c r="H1383" s="6">
        <v>18</v>
      </c>
      <c r="I1383" s="2" t="s">
        <v>2117</v>
      </c>
      <c r="J1383" s="2" t="str">
        <v>Monetize Collaborative Metrics</v>
      </c>
      <c r="K1383" s="2" t="str">
        <v>Electronics</v>
      </c>
      <c r="L1383" s="2" t="str">
        <v>Ramirez-Brown</v>
      </c>
      <c r="M1383" s="2">
        <v>286.04000000000002</v>
      </c>
      <c r="N1383" s="16">
        <f t="shared" si="21"/>
        <v>8.3626832093944385E-3</v>
      </c>
    </row>
    <row r="1384" spans="2:14" ht="14.4" customHeight="1" x14ac:dyDescent="0.3">
      <c r="B1384" s="2" t="s">
        <v>1389</v>
      </c>
      <c r="C1384" s="3">
        <v>44694</v>
      </c>
      <c r="D1384" s="2" t="s">
        <v>2009</v>
      </c>
      <c r="E1384" s="2" t="s">
        <v>2031</v>
      </c>
      <c r="F1384" s="4">
        <v>2023.5</v>
      </c>
      <c r="G1384" s="5">
        <v>205.38</v>
      </c>
      <c r="H1384" s="6">
        <v>3</v>
      </c>
      <c r="I1384" s="2" t="s">
        <v>2118</v>
      </c>
      <c r="J1384" s="2" t="str">
        <v>Embrace 24/365 Functionalities</v>
      </c>
      <c r="K1384" s="2" t="str">
        <v>Office Supplies</v>
      </c>
      <c r="L1384" s="2" t="str">
        <v>Smith LLC</v>
      </c>
      <c r="M1384" s="2">
        <v>204.04</v>
      </c>
      <c r="N1384" s="16">
        <f t="shared" si="21"/>
        <v>0.10149740548554484</v>
      </c>
    </row>
    <row r="1385" spans="2:14" ht="14.4" customHeight="1" x14ac:dyDescent="0.3">
      <c r="B1385" s="2" t="s">
        <v>1390</v>
      </c>
      <c r="C1385" s="3">
        <v>44614</v>
      </c>
      <c r="D1385" s="2" t="s">
        <v>2009</v>
      </c>
      <c r="E1385" s="2" t="s">
        <v>2070</v>
      </c>
      <c r="F1385" s="4">
        <v>766.37</v>
      </c>
      <c r="G1385" s="5">
        <v>889.45</v>
      </c>
      <c r="H1385" s="6">
        <v>5</v>
      </c>
      <c r="I1385" s="2" t="s">
        <v>2117</v>
      </c>
      <c r="J1385" s="2" t="str">
        <v>Seize Plug-And-Play Web-Readiness</v>
      </c>
      <c r="K1385" s="2" t="str">
        <v>Electronics</v>
      </c>
      <c r="L1385" s="2" t="str">
        <v>Joseph, Mayer and Carr</v>
      </c>
      <c r="M1385" s="2">
        <v>102.73</v>
      </c>
      <c r="N1385" s="16">
        <f t="shared" si="21"/>
        <v>1.160601276145987</v>
      </c>
    </row>
    <row r="1386" spans="2:14" ht="14.4" customHeight="1" x14ac:dyDescent="0.3">
      <c r="B1386" s="2" t="s">
        <v>1391</v>
      </c>
      <c r="C1386" s="3">
        <v>45562</v>
      </c>
      <c r="D1386" s="2" t="s">
        <v>2009</v>
      </c>
      <c r="E1386" s="2" t="s">
        <v>2059</v>
      </c>
      <c r="F1386" s="4">
        <v>1080.8900000000001</v>
      </c>
      <c r="G1386" s="5">
        <v>330.59</v>
      </c>
      <c r="H1386" s="6">
        <v>4</v>
      </c>
      <c r="I1386" s="2" t="s">
        <v>2117</v>
      </c>
      <c r="J1386" s="2" t="str">
        <v>Redefine Real-Time Convergence</v>
      </c>
      <c r="K1386" s="2" t="str">
        <v>Electronics</v>
      </c>
      <c r="L1386" s="2" t="str">
        <v>Hayes, Peters and Douglas</v>
      </c>
      <c r="M1386" s="2">
        <v>78.260000000000005</v>
      </c>
      <c r="N1386" s="16">
        <f t="shared" si="21"/>
        <v>0.30584980895373254</v>
      </c>
    </row>
    <row r="1387" spans="2:14" ht="14.4" customHeight="1" x14ac:dyDescent="0.3">
      <c r="B1387" s="2" t="s">
        <v>1392</v>
      </c>
      <c r="C1387" s="3">
        <v>44871</v>
      </c>
      <c r="D1387" s="2" t="s">
        <v>2009</v>
      </c>
      <c r="E1387" s="2" t="s">
        <v>2071</v>
      </c>
      <c r="F1387" s="4">
        <v>2057.41</v>
      </c>
      <c r="G1387" s="5">
        <v>100.66</v>
      </c>
      <c r="H1387" s="6">
        <v>18</v>
      </c>
      <c r="I1387" s="2" t="s">
        <v>2116</v>
      </c>
      <c r="J1387" s="2" t="str">
        <v>Incentivize Front-End Mindshare</v>
      </c>
      <c r="K1387" s="2" t="str">
        <v>Electronics</v>
      </c>
      <c r="L1387" s="2" t="str">
        <v>Phillips-Tran</v>
      </c>
      <c r="M1387" s="2">
        <v>196.86</v>
      </c>
      <c r="N1387" s="16">
        <f t="shared" si="21"/>
        <v>4.8925590912846734E-2</v>
      </c>
    </row>
    <row r="1388" spans="2:14" ht="14.4" customHeight="1" x14ac:dyDescent="0.3">
      <c r="B1388" s="2" t="s">
        <v>1393</v>
      </c>
      <c r="C1388" s="3">
        <v>44273</v>
      </c>
      <c r="D1388" s="2" t="s">
        <v>2012</v>
      </c>
      <c r="E1388" s="2" t="s">
        <v>2022</v>
      </c>
      <c r="F1388" s="4">
        <v>3494.79</v>
      </c>
      <c r="G1388" s="5">
        <v>512.88</v>
      </c>
      <c r="H1388" s="6">
        <v>20</v>
      </c>
      <c r="I1388" s="2" t="s">
        <v>2116</v>
      </c>
      <c r="J1388" s="2" t="str">
        <v>Monetize Collaborative Metrics</v>
      </c>
      <c r="K1388" s="2" t="str">
        <v>Electronics</v>
      </c>
      <c r="L1388" s="2" t="str">
        <v>Ramirez-Brown</v>
      </c>
      <c r="M1388" s="2">
        <v>286.04000000000002</v>
      </c>
      <c r="N1388" s="16">
        <f t="shared" si="21"/>
        <v>0.14675559904886989</v>
      </c>
    </row>
    <row r="1389" spans="2:14" ht="14.4" customHeight="1" x14ac:dyDescent="0.3">
      <c r="B1389" s="2" t="s">
        <v>1394</v>
      </c>
      <c r="C1389" s="3">
        <v>45420</v>
      </c>
      <c r="D1389" s="2" t="s">
        <v>2011</v>
      </c>
      <c r="E1389" s="2" t="s">
        <v>2112</v>
      </c>
      <c r="F1389" s="4">
        <v>2304.9</v>
      </c>
      <c r="G1389" s="5">
        <v>495.22</v>
      </c>
      <c r="H1389" s="6">
        <v>18</v>
      </c>
      <c r="I1389" s="2" t="s">
        <v>2118</v>
      </c>
      <c r="J1389" s="2" t="str">
        <v>Mesh B2B Platforms</v>
      </c>
      <c r="K1389" s="2" t="str">
        <v>Furniture</v>
      </c>
      <c r="L1389" s="2" t="str">
        <v>Stevens, Walton and Riddle</v>
      </c>
      <c r="M1389" s="2">
        <v>236.57</v>
      </c>
      <c r="N1389" s="16">
        <f t="shared" si="21"/>
        <v>0.21485530825632349</v>
      </c>
    </row>
    <row r="1390" spans="2:14" ht="14.4" customHeight="1" x14ac:dyDescent="0.3">
      <c r="B1390" s="2" t="s">
        <v>1395</v>
      </c>
      <c r="C1390" s="3">
        <v>44476</v>
      </c>
      <c r="D1390" s="2" t="s">
        <v>2012</v>
      </c>
      <c r="E1390" s="2" t="s">
        <v>2086</v>
      </c>
      <c r="F1390" s="4">
        <v>623.28</v>
      </c>
      <c r="G1390" s="5">
        <v>165.95</v>
      </c>
      <c r="H1390" s="6">
        <v>18</v>
      </c>
      <c r="I1390" s="2" t="s">
        <v>2116</v>
      </c>
      <c r="J1390" s="2" t="str">
        <v>Harness Proactive Eyeballs</v>
      </c>
      <c r="K1390" s="2" t="str">
        <v>Electronics</v>
      </c>
      <c r="L1390" s="2" t="str">
        <v>Moran and Sons</v>
      </c>
      <c r="M1390" s="2">
        <v>58.01</v>
      </c>
      <c r="N1390" s="16">
        <f t="shared" si="21"/>
        <v>0.2662527275060968</v>
      </c>
    </row>
    <row r="1391" spans="2:14" ht="14.4" customHeight="1" x14ac:dyDescent="0.3">
      <c r="B1391" s="2" t="s">
        <v>1396</v>
      </c>
      <c r="C1391" s="3">
        <v>44800</v>
      </c>
      <c r="D1391" s="2" t="s">
        <v>2010</v>
      </c>
      <c r="E1391" s="2" t="s">
        <v>2081</v>
      </c>
      <c r="F1391" s="4">
        <v>4912.3599999999997</v>
      </c>
      <c r="G1391" s="5">
        <v>450.12</v>
      </c>
      <c r="H1391" s="6">
        <v>5</v>
      </c>
      <c r="I1391" s="2" t="s">
        <v>2118</v>
      </c>
      <c r="J1391" s="2" t="str">
        <v>Orchestrate User-Centric Platforms</v>
      </c>
      <c r="K1391" s="2" t="str">
        <v>Furniture</v>
      </c>
      <c r="L1391" s="2" t="str">
        <v>Wells Ltd</v>
      </c>
      <c r="M1391" s="2">
        <v>201.87</v>
      </c>
      <c r="N1391" s="16">
        <f t="shared" si="21"/>
        <v>9.1630092257082144E-2</v>
      </c>
    </row>
    <row r="1392" spans="2:14" ht="14.4" customHeight="1" x14ac:dyDescent="0.3">
      <c r="B1392" s="2" t="s">
        <v>1397</v>
      </c>
      <c r="C1392" s="3">
        <v>44655</v>
      </c>
      <c r="D1392" s="2" t="s">
        <v>2011</v>
      </c>
      <c r="E1392" s="2" t="s">
        <v>2082</v>
      </c>
      <c r="F1392" s="4">
        <v>2361.15</v>
      </c>
      <c r="G1392" s="5">
        <v>642.51</v>
      </c>
      <c r="H1392" s="6">
        <v>20</v>
      </c>
      <c r="I1392" s="2" t="s">
        <v>2118</v>
      </c>
      <c r="J1392" s="2" t="str">
        <v>Re-Contextualize Viral Markets</v>
      </c>
      <c r="K1392" s="2" t="str">
        <v>Electronics</v>
      </c>
      <c r="L1392" s="2" t="str">
        <v>Meadows-Barber</v>
      </c>
      <c r="M1392" s="2">
        <v>177.52</v>
      </c>
      <c r="N1392" s="16">
        <f t="shared" si="21"/>
        <v>0.27211740041928717</v>
      </c>
    </row>
    <row r="1393" spans="2:14" ht="14.4" customHeight="1" x14ac:dyDescent="0.3">
      <c r="B1393" s="2" t="s">
        <v>1398</v>
      </c>
      <c r="C1393" s="3">
        <v>45419</v>
      </c>
      <c r="D1393" s="2" t="s">
        <v>2012</v>
      </c>
      <c r="E1393" s="2" t="s">
        <v>2016</v>
      </c>
      <c r="F1393" s="4">
        <v>1841.69</v>
      </c>
      <c r="G1393" s="5">
        <v>675.7</v>
      </c>
      <c r="H1393" s="6">
        <v>20</v>
      </c>
      <c r="I1393" s="2" t="s">
        <v>2118</v>
      </c>
      <c r="J1393" s="2" t="str">
        <v>Revolutionize Efficient Niches</v>
      </c>
      <c r="K1393" s="2" t="str">
        <v>Electronics</v>
      </c>
      <c r="L1393" s="2" t="str">
        <v>Lopez-Torres</v>
      </c>
      <c r="M1393" s="2">
        <v>23.02</v>
      </c>
      <c r="N1393" s="16">
        <f t="shared" si="21"/>
        <v>0.36689127920551234</v>
      </c>
    </row>
    <row r="1394" spans="2:14" ht="14.4" customHeight="1" x14ac:dyDescent="0.3">
      <c r="B1394" s="2" t="s">
        <v>1399</v>
      </c>
      <c r="C1394" s="3">
        <v>44812</v>
      </c>
      <c r="D1394" s="2" t="s">
        <v>2009</v>
      </c>
      <c r="E1394" s="2" t="s">
        <v>2074</v>
      </c>
      <c r="F1394" s="4">
        <v>1624.44</v>
      </c>
      <c r="G1394" s="5">
        <v>737.44</v>
      </c>
      <c r="H1394" s="6">
        <v>1</v>
      </c>
      <c r="I1394" s="2" t="s">
        <v>2116</v>
      </c>
      <c r="J1394" s="2" t="str">
        <v>Utilize Ubiquitous Synergies</v>
      </c>
      <c r="K1394" s="2" t="str">
        <v>Electronics</v>
      </c>
      <c r="L1394" s="2" t="str">
        <v>Kramer, Huang and Shaw</v>
      </c>
      <c r="M1394" s="2">
        <v>295.89999999999998</v>
      </c>
      <c r="N1394" s="16">
        <f t="shared" si="21"/>
        <v>0.45396567432469037</v>
      </c>
    </row>
    <row r="1395" spans="2:14" ht="14.4" customHeight="1" x14ac:dyDescent="0.3">
      <c r="B1395" s="2" t="s">
        <v>1400</v>
      </c>
      <c r="C1395" s="3">
        <v>45001</v>
      </c>
      <c r="D1395" s="2" t="s">
        <v>2012</v>
      </c>
      <c r="E1395" s="2" t="s">
        <v>2112</v>
      </c>
      <c r="F1395" s="4">
        <v>2348.63</v>
      </c>
      <c r="G1395" s="5">
        <v>197.51</v>
      </c>
      <c r="H1395" s="6">
        <v>20</v>
      </c>
      <c r="I1395" s="2" t="s">
        <v>2117</v>
      </c>
      <c r="J1395" s="2" t="str">
        <v>Mesh B2B Platforms</v>
      </c>
      <c r="K1395" s="2" t="str">
        <v>Furniture</v>
      </c>
      <c r="L1395" s="2" t="str">
        <v>Stevens, Walton and Riddle</v>
      </c>
      <c r="M1395" s="2">
        <v>236.57</v>
      </c>
      <c r="N1395" s="16">
        <f t="shared" si="21"/>
        <v>8.4095834592932892E-2</v>
      </c>
    </row>
    <row r="1396" spans="2:14" ht="14.4" customHeight="1" x14ac:dyDescent="0.3">
      <c r="B1396" s="2" t="s">
        <v>1401</v>
      </c>
      <c r="C1396" s="3">
        <v>45248</v>
      </c>
      <c r="D1396" s="2" t="s">
        <v>2009</v>
      </c>
      <c r="E1396" s="2" t="s">
        <v>2066</v>
      </c>
      <c r="F1396" s="4">
        <v>2230.69</v>
      </c>
      <c r="G1396" s="5">
        <v>512.6</v>
      </c>
      <c r="H1396" s="6">
        <v>5</v>
      </c>
      <c r="I1396" s="2" t="s">
        <v>2118</v>
      </c>
      <c r="J1396" s="2" t="str">
        <v>Facilitate Integrated E-Business</v>
      </c>
      <c r="K1396" s="2" t="str">
        <v>Office Supplies</v>
      </c>
      <c r="L1396" s="2" t="str">
        <v>Chang-Vargas</v>
      </c>
      <c r="M1396" s="2">
        <v>130.33000000000001</v>
      </c>
      <c r="N1396" s="16">
        <f t="shared" si="21"/>
        <v>0.22979436855860744</v>
      </c>
    </row>
    <row r="1397" spans="2:14" ht="14.4" customHeight="1" x14ac:dyDescent="0.3">
      <c r="B1397" s="2" t="s">
        <v>1402</v>
      </c>
      <c r="C1397" s="3">
        <v>44178</v>
      </c>
      <c r="D1397" s="2" t="s">
        <v>2012</v>
      </c>
      <c r="E1397" s="2" t="s">
        <v>2061</v>
      </c>
      <c r="F1397" s="4">
        <v>1664.15</v>
      </c>
      <c r="G1397" s="5">
        <v>845.95</v>
      </c>
      <c r="H1397" s="6">
        <v>8</v>
      </c>
      <c r="I1397" s="2" t="s">
        <v>2117</v>
      </c>
      <c r="J1397" s="2" t="str">
        <v>Optimize Collaborative Initiatives</v>
      </c>
      <c r="K1397" s="2" t="str">
        <v>Electronics</v>
      </c>
      <c r="L1397" s="2" t="str">
        <v>Adkins Ltd</v>
      </c>
      <c r="M1397" s="2">
        <v>34.46</v>
      </c>
      <c r="N1397" s="16">
        <f t="shared" si="21"/>
        <v>0.50833758976053844</v>
      </c>
    </row>
    <row r="1398" spans="2:14" ht="14.4" customHeight="1" x14ac:dyDescent="0.3">
      <c r="B1398" s="2" t="s">
        <v>1403</v>
      </c>
      <c r="C1398" s="3">
        <v>44527</v>
      </c>
      <c r="D1398" s="2" t="s">
        <v>2011</v>
      </c>
      <c r="E1398" s="2" t="s">
        <v>2029</v>
      </c>
      <c r="F1398" s="4">
        <v>3475.78</v>
      </c>
      <c r="G1398" s="5">
        <v>116.84</v>
      </c>
      <c r="H1398" s="6">
        <v>12</v>
      </c>
      <c r="I1398" s="2" t="s">
        <v>2118</v>
      </c>
      <c r="J1398" s="2" t="str">
        <v>E-Enable Next-Generation Experiences</v>
      </c>
      <c r="K1398" s="2" t="str">
        <v>Furniture</v>
      </c>
      <c r="L1398" s="2" t="str">
        <v>Sanchez-Quinn</v>
      </c>
      <c r="M1398" s="2">
        <v>266.93</v>
      </c>
      <c r="N1398" s="16">
        <f t="shared" si="21"/>
        <v>3.3615476238427054E-2</v>
      </c>
    </row>
    <row r="1399" spans="2:14" ht="14.4" customHeight="1" x14ac:dyDescent="0.3">
      <c r="B1399" s="2" t="s">
        <v>1404</v>
      </c>
      <c r="C1399" s="3">
        <v>45309</v>
      </c>
      <c r="D1399" s="2" t="s">
        <v>2011</v>
      </c>
      <c r="E1399" s="2" t="s">
        <v>2031</v>
      </c>
      <c r="F1399" s="4">
        <v>3623.29</v>
      </c>
      <c r="G1399" s="5">
        <v>617.15</v>
      </c>
      <c r="H1399" s="6">
        <v>19</v>
      </c>
      <c r="I1399" s="2" t="s">
        <v>2118</v>
      </c>
      <c r="J1399" s="2" t="str">
        <v>Embrace 24/365 Functionalities</v>
      </c>
      <c r="K1399" s="2" t="str">
        <v>Office Supplies</v>
      </c>
      <c r="L1399" s="2" t="str">
        <v>Smith LLC</v>
      </c>
      <c r="M1399" s="2">
        <v>204.04</v>
      </c>
      <c r="N1399" s="16">
        <f t="shared" si="21"/>
        <v>0.17032862398538345</v>
      </c>
    </row>
    <row r="1400" spans="2:14" ht="14.4" customHeight="1" x14ac:dyDescent="0.3">
      <c r="B1400" s="2" t="s">
        <v>1405</v>
      </c>
      <c r="C1400" s="3">
        <v>44015</v>
      </c>
      <c r="D1400" s="2" t="s">
        <v>2010</v>
      </c>
      <c r="E1400" s="2" t="s">
        <v>2048</v>
      </c>
      <c r="F1400" s="4">
        <v>431.21</v>
      </c>
      <c r="G1400" s="5">
        <v>819.69</v>
      </c>
      <c r="H1400" s="6">
        <v>4</v>
      </c>
      <c r="I1400" s="2" t="s">
        <v>2116</v>
      </c>
      <c r="J1400" s="2" t="str">
        <v>Drive Compelling E-Services</v>
      </c>
      <c r="K1400" s="2" t="str">
        <v>Office Supplies</v>
      </c>
      <c r="L1400" s="2" t="str">
        <v>Morris-Villanueva</v>
      </c>
      <c r="M1400" s="2">
        <v>27.22</v>
      </c>
      <c r="N1400" s="16">
        <f t="shared" si="21"/>
        <v>1.9009067507710862</v>
      </c>
    </row>
    <row r="1401" spans="2:14" ht="14.4" customHeight="1" x14ac:dyDescent="0.3">
      <c r="B1401" s="2" t="s">
        <v>1406</v>
      </c>
      <c r="C1401" s="3">
        <v>44168</v>
      </c>
      <c r="D1401" s="2" t="s">
        <v>2010</v>
      </c>
      <c r="E1401" s="2" t="s">
        <v>2105</v>
      </c>
      <c r="F1401" s="4">
        <v>80.47</v>
      </c>
      <c r="G1401" s="5">
        <v>796.29</v>
      </c>
      <c r="H1401" s="6">
        <v>9</v>
      </c>
      <c r="I1401" s="2" t="s">
        <v>2118</v>
      </c>
      <c r="J1401" s="2" t="str">
        <v>Brand B2C Info-Mediaries</v>
      </c>
      <c r="K1401" s="2" t="str">
        <v>Office Supplies</v>
      </c>
      <c r="L1401" s="2" t="str">
        <v>Preston Ltd</v>
      </c>
      <c r="M1401" s="2">
        <v>13.46</v>
      </c>
      <c r="N1401" s="16">
        <f t="shared" si="21"/>
        <v>9.8954890021125888</v>
      </c>
    </row>
    <row r="1402" spans="2:14" ht="14.4" customHeight="1" x14ac:dyDescent="0.3">
      <c r="B1402" s="2" t="s">
        <v>1407</v>
      </c>
      <c r="C1402" s="3">
        <v>44720</v>
      </c>
      <c r="D1402" s="2" t="s">
        <v>2009</v>
      </c>
      <c r="E1402" s="2" t="s">
        <v>2109</v>
      </c>
      <c r="F1402" s="4">
        <v>4938.63</v>
      </c>
      <c r="G1402" s="5">
        <v>85.63</v>
      </c>
      <c r="H1402" s="6">
        <v>4</v>
      </c>
      <c r="I1402" s="2" t="s">
        <v>2116</v>
      </c>
      <c r="J1402" s="2" t="str">
        <v>Deliver Viral Eyeballs</v>
      </c>
      <c r="K1402" s="2" t="str">
        <v>Office Supplies</v>
      </c>
      <c r="L1402" s="2" t="str">
        <v>Estes, Chan and Thomas</v>
      </c>
      <c r="M1402" s="2">
        <v>16.89</v>
      </c>
      <c r="N1402" s="16">
        <f t="shared" si="21"/>
        <v>1.7338816635382687E-2</v>
      </c>
    </row>
    <row r="1403" spans="2:14" ht="14.4" customHeight="1" x14ac:dyDescent="0.3">
      <c r="B1403" s="2" t="s">
        <v>1408</v>
      </c>
      <c r="C1403" s="3">
        <v>44393</v>
      </c>
      <c r="D1403" s="2" t="s">
        <v>2012</v>
      </c>
      <c r="E1403" s="2" t="s">
        <v>2102</v>
      </c>
      <c r="F1403" s="4">
        <v>2051.7800000000002</v>
      </c>
      <c r="G1403" s="5">
        <v>794.5</v>
      </c>
      <c r="H1403" s="6">
        <v>8</v>
      </c>
      <c r="I1403" s="2" t="s">
        <v>2118</v>
      </c>
      <c r="J1403" s="2" t="str">
        <v>Re-Contextualize Viral Mindshare</v>
      </c>
      <c r="K1403" s="2" t="str">
        <v>Electronics</v>
      </c>
      <c r="L1403" s="2" t="str">
        <v>Carter-Lane</v>
      </c>
      <c r="M1403" s="2">
        <v>142.25</v>
      </c>
      <c r="N1403" s="16">
        <f t="shared" si="21"/>
        <v>0.38722475119164818</v>
      </c>
    </row>
    <row r="1404" spans="2:14" ht="14.4" customHeight="1" x14ac:dyDescent="0.3">
      <c r="B1404" s="2" t="s">
        <v>1409</v>
      </c>
      <c r="C1404" s="3">
        <v>44823</v>
      </c>
      <c r="D1404" s="2" t="s">
        <v>2010</v>
      </c>
      <c r="E1404" s="2" t="s">
        <v>2073</v>
      </c>
      <c r="F1404" s="4">
        <v>175.7</v>
      </c>
      <c r="G1404" s="5">
        <v>92.18</v>
      </c>
      <c r="H1404" s="6">
        <v>20</v>
      </c>
      <c r="I1404" s="2" t="s">
        <v>2118</v>
      </c>
      <c r="J1404" s="2" t="str">
        <v>Visualize Dynamic E-Commerce</v>
      </c>
      <c r="K1404" s="2" t="str">
        <v>Furniture</v>
      </c>
      <c r="L1404" s="2" t="str">
        <v>Jones LLC</v>
      </c>
      <c r="M1404" s="2">
        <v>92.61</v>
      </c>
      <c r="N1404" s="16">
        <f t="shared" si="21"/>
        <v>0.5246442800227662</v>
      </c>
    </row>
    <row r="1405" spans="2:14" ht="14.4" customHeight="1" x14ac:dyDescent="0.3">
      <c r="B1405" s="2" t="s">
        <v>1410</v>
      </c>
      <c r="C1405" s="3">
        <v>44498</v>
      </c>
      <c r="D1405" s="2" t="s">
        <v>2011</v>
      </c>
      <c r="E1405" s="2" t="s">
        <v>2075</v>
      </c>
      <c r="F1405" s="4">
        <v>4798.67</v>
      </c>
      <c r="G1405" s="5">
        <v>781.87</v>
      </c>
      <c r="H1405" s="6">
        <v>19</v>
      </c>
      <c r="I1405" s="2" t="s">
        <v>2116</v>
      </c>
      <c r="J1405" s="2" t="str">
        <v>Reinvent Visionary Niches</v>
      </c>
      <c r="K1405" s="2" t="str">
        <v>Furniture</v>
      </c>
      <c r="L1405" s="2" t="str">
        <v>Huber-Richmond</v>
      </c>
      <c r="M1405" s="2">
        <v>219.81</v>
      </c>
      <c r="N1405" s="16">
        <f t="shared" si="21"/>
        <v>0.16293472983139079</v>
      </c>
    </row>
    <row r="1406" spans="2:14" ht="14.4" customHeight="1" x14ac:dyDescent="0.3">
      <c r="B1406" s="2" t="s">
        <v>1411</v>
      </c>
      <c r="C1406" s="3">
        <v>44921</v>
      </c>
      <c r="D1406" s="2" t="s">
        <v>2012</v>
      </c>
      <c r="E1406" s="2" t="s">
        <v>2056</v>
      </c>
      <c r="F1406" s="4">
        <v>4553.41</v>
      </c>
      <c r="G1406" s="5">
        <v>271.06</v>
      </c>
      <c r="H1406" s="6">
        <v>15</v>
      </c>
      <c r="I1406" s="2" t="s">
        <v>2116</v>
      </c>
      <c r="J1406" s="2" t="str">
        <v>Mesh Intuitive Supply-Chains</v>
      </c>
      <c r="K1406" s="2" t="str">
        <v>Electronics</v>
      </c>
      <c r="L1406" s="2" t="str">
        <v>Soto, Barnett and Heath</v>
      </c>
      <c r="M1406" s="2">
        <v>281</v>
      </c>
      <c r="N1406" s="16">
        <f t="shared" si="21"/>
        <v>5.9529012322632933E-2</v>
      </c>
    </row>
    <row r="1407" spans="2:14" ht="14.4" customHeight="1" x14ac:dyDescent="0.3">
      <c r="B1407" s="2" t="s">
        <v>1412</v>
      </c>
      <c r="C1407" s="3">
        <v>44218</v>
      </c>
      <c r="D1407" s="2" t="s">
        <v>2011</v>
      </c>
      <c r="E1407" s="2" t="s">
        <v>2109</v>
      </c>
      <c r="F1407" s="4">
        <v>4736.92</v>
      </c>
      <c r="G1407" s="5">
        <v>446.46</v>
      </c>
      <c r="H1407" s="6">
        <v>7</v>
      </c>
      <c r="I1407" s="2" t="s">
        <v>2118</v>
      </c>
      <c r="J1407" s="2" t="str">
        <v>Deliver Viral Eyeballs</v>
      </c>
      <c r="K1407" s="2" t="str">
        <v>Office Supplies</v>
      </c>
      <c r="L1407" s="2" t="str">
        <v>Estes, Chan and Thomas</v>
      </c>
      <c r="M1407" s="2">
        <v>16.89</v>
      </c>
      <c r="N1407" s="16">
        <f t="shared" si="21"/>
        <v>9.4251116759413278E-2</v>
      </c>
    </row>
    <row r="1408" spans="2:14" ht="14.4" customHeight="1" x14ac:dyDescent="0.3">
      <c r="B1408" s="2" t="s">
        <v>1413</v>
      </c>
      <c r="C1408" s="3">
        <v>44485</v>
      </c>
      <c r="D1408" s="2" t="s">
        <v>2011</v>
      </c>
      <c r="E1408" s="2" t="s">
        <v>2110</v>
      </c>
      <c r="F1408" s="4">
        <v>585.94000000000005</v>
      </c>
      <c r="G1408" s="5">
        <v>437.74</v>
      </c>
      <c r="H1408" s="6">
        <v>19</v>
      </c>
      <c r="I1408" s="2" t="s">
        <v>2118</v>
      </c>
      <c r="J1408" s="2" t="str">
        <v>Repurpose End-To-End Networks</v>
      </c>
      <c r="K1408" s="2" t="str">
        <v>Office Supplies</v>
      </c>
      <c r="L1408" s="2" t="str">
        <v>Torres-Rush</v>
      </c>
      <c r="M1408" s="2">
        <v>97.02</v>
      </c>
      <c r="N1408" s="16">
        <f t="shared" si="21"/>
        <v>0.74707307915486221</v>
      </c>
    </row>
    <row r="1409" spans="2:14" ht="14.4" customHeight="1" x14ac:dyDescent="0.3">
      <c r="B1409" s="2" t="s">
        <v>1414</v>
      </c>
      <c r="C1409" s="3">
        <v>44142</v>
      </c>
      <c r="D1409" s="2" t="s">
        <v>2010</v>
      </c>
      <c r="E1409" s="2" t="s">
        <v>2083</v>
      </c>
      <c r="F1409" s="4">
        <v>2596.06</v>
      </c>
      <c r="G1409" s="5">
        <v>956.82</v>
      </c>
      <c r="H1409" s="6">
        <v>14</v>
      </c>
      <c r="I1409" s="2" t="s">
        <v>2117</v>
      </c>
      <c r="J1409" s="2" t="str">
        <v>Whiteboard Sticky Content</v>
      </c>
      <c r="K1409" s="2" t="str">
        <v>Furniture</v>
      </c>
      <c r="L1409" s="2" t="str">
        <v>Wolfe Group</v>
      </c>
      <c r="M1409" s="2">
        <v>82.16</v>
      </c>
      <c r="N1409" s="16">
        <f t="shared" si="21"/>
        <v>0.36856621187491817</v>
      </c>
    </row>
    <row r="1410" spans="2:14" ht="14.4" customHeight="1" x14ac:dyDescent="0.3">
      <c r="B1410" s="2" t="s">
        <v>1415</v>
      </c>
      <c r="C1410" s="3">
        <v>45050</v>
      </c>
      <c r="D1410" s="2" t="s">
        <v>2012</v>
      </c>
      <c r="E1410" s="2" t="s">
        <v>2037</v>
      </c>
      <c r="F1410" s="4">
        <v>1025.02</v>
      </c>
      <c r="G1410" s="5">
        <v>345.52</v>
      </c>
      <c r="H1410" s="6">
        <v>4</v>
      </c>
      <c r="I1410" s="2" t="s">
        <v>2118</v>
      </c>
      <c r="J1410" s="2" t="str">
        <v>Utilize Back-End Models</v>
      </c>
      <c r="K1410" s="2" t="str">
        <v>Furniture</v>
      </c>
      <c r="L1410" s="2" t="str">
        <v>Lewis-Holden</v>
      </c>
      <c r="M1410" s="2">
        <v>241.53</v>
      </c>
      <c r="N1410" s="16">
        <f t="shared" si="21"/>
        <v>0.33708610563696317</v>
      </c>
    </row>
    <row r="1411" spans="2:14" ht="14.4" customHeight="1" x14ac:dyDescent="0.3">
      <c r="B1411" s="2" t="s">
        <v>1416</v>
      </c>
      <c r="C1411" s="3">
        <v>45602</v>
      </c>
      <c r="D1411" s="2" t="s">
        <v>2011</v>
      </c>
      <c r="E1411" s="2" t="s">
        <v>2074</v>
      </c>
      <c r="F1411" s="4">
        <v>1548.83</v>
      </c>
      <c r="G1411" s="5">
        <v>519.46</v>
      </c>
      <c r="H1411" s="6">
        <v>4</v>
      </c>
      <c r="I1411" s="2" t="s">
        <v>2117</v>
      </c>
      <c r="J1411" s="2" t="str">
        <v>Utilize Ubiquitous Synergies</v>
      </c>
      <c r="K1411" s="2" t="str">
        <v>Electronics</v>
      </c>
      <c r="L1411" s="2" t="str">
        <v>Kramer, Huang and Shaw</v>
      </c>
      <c r="M1411" s="2">
        <v>295.89999999999998</v>
      </c>
      <c r="N1411" s="16">
        <f t="shared" si="21"/>
        <v>0.33538864820541964</v>
      </c>
    </row>
    <row r="1412" spans="2:14" ht="14.4" customHeight="1" x14ac:dyDescent="0.3">
      <c r="B1412" s="2" t="s">
        <v>1417</v>
      </c>
      <c r="C1412" s="3">
        <v>44419</v>
      </c>
      <c r="D1412" s="2" t="s">
        <v>2010</v>
      </c>
      <c r="E1412" s="2" t="s">
        <v>2026</v>
      </c>
      <c r="F1412" s="4">
        <v>1990.52</v>
      </c>
      <c r="G1412" s="5">
        <v>167.36</v>
      </c>
      <c r="H1412" s="6">
        <v>2</v>
      </c>
      <c r="I1412" s="2" t="s">
        <v>2118</v>
      </c>
      <c r="J1412" s="2" t="str">
        <v>Monetize Wireless Functionalities</v>
      </c>
      <c r="K1412" s="2" t="str">
        <v>Furniture</v>
      </c>
      <c r="L1412" s="2" t="str">
        <v>Robinson, Rodriguez and Hernandez</v>
      </c>
      <c r="M1412" s="2">
        <v>162.22</v>
      </c>
      <c r="N1412" s="16">
        <f t="shared" si="21"/>
        <v>8.4078532242831031E-2</v>
      </c>
    </row>
    <row r="1413" spans="2:14" ht="14.4" customHeight="1" x14ac:dyDescent="0.3">
      <c r="B1413" s="2" t="s">
        <v>1418</v>
      </c>
      <c r="C1413" s="3">
        <v>44841</v>
      </c>
      <c r="D1413" s="2" t="s">
        <v>2009</v>
      </c>
      <c r="E1413" s="2" t="s">
        <v>2105</v>
      </c>
      <c r="F1413" s="4">
        <v>2422.85</v>
      </c>
      <c r="G1413" s="5">
        <v>701.04</v>
      </c>
      <c r="H1413" s="6">
        <v>9</v>
      </c>
      <c r="I1413" s="2" t="s">
        <v>2118</v>
      </c>
      <c r="J1413" s="2" t="str">
        <v>Brand B2C Info-Mediaries</v>
      </c>
      <c r="K1413" s="2" t="str">
        <v>Office Supplies</v>
      </c>
      <c r="L1413" s="2" t="str">
        <v>Preston Ltd</v>
      </c>
      <c r="M1413" s="2">
        <v>13.46</v>
      </c>
      <c r="N1413" s="16">
        <f t="shared" ref="N1413:N1476" si="22">(G1413/F1413)</f>
        <v>0.28934519264502551</v>
      </c>
    </row>
    <row r="1414" spans="2:14" ht="14.4" customHeight="1" x14ac:dyDescent="0.3">
      <c r="B1414" s="2" t="s">
        <v>1419</v>
      </c>
      <c r="C1414" s="3">
        <v>45573</v>
      </c>
      <c r="D1414" s="2" t="s">
        <v>2010</v>
      </c>
      <c r="E1414" s="2" t="s">
        <v>2065</v>
      </c>
      <c r="F1414" s="4">
        <v>3916.02</v>
      </c>
      <c r="G1414" s="5">
        <v>944.89</v>
      </c>
      <c r="H1414" s="6">
        <v>19</v>
      </c>
      <c r="I1414" s="2" t="s">
        <v>2116</v>
      </c>
      <c r="J1414" s="2" t="str">
        <v>Re-Contextualize Integrated Info-Mediaries</v>
      </c>
      <c r="K1414" s="2" t="str">
        <v>Electronics</v>
      </c>
      <c r="L1414" s="2" t="str">
        <v>Jones-Schroeder</v>
      </c>
      <c r="M1414" s="2">
        <v>26.02</v>
      </c>
      <c r="N1414" s="16">
        <f t="shared" si="22"/>
        <v>0.24128834888483716</v>
      </c>
    </row>
    <row r="1415" spans="2:14" ht="14.4" customHeight="1" x14ac:dyDescent="0.3">
      <c r="B1415" s="2" t="s">
        <v>1420</v>
      </c>
      <c r="C1415" s="3">
        <v>45377</v>
      </c>
      <c r="D1415" s="2" t="s">
        <v>2012</v>
      </c>
      <c r="E1415" s="2" t="s">
        <v>2102</v>
      </c>
      <c r="F1415" s="4">
        <v>372.23</v>
      </c>
      <c r="G1415" s="5">
        <v>900.58</v>
      </c>
      <c r="H1415" s="6">
        <v>3</v>
      </c>
      <c r="I1415" s="2" t="s">
        <v>2117</v>
      </c>
      <c r="J1415" s="2" t="str">
        <v>Re-Contextualize Viral Mindshare</v>
      </c>
      <c r="K1415" s="2" t="str">
        <v>Electronics</v>
      </c>
      <c r="L1415" s="2" t="str">
        <v>Carter-Lane</v>
      </c>
      <c r="M1415" s="2">
        <v>142.25</v>
      </c>
      <c r="N1415" s="16">
        <f t="shared" si="22"/>
        <v>2.4194181017113077</v>
      </c>
    </row>
    <row r="1416" spans="2:14" ht="14.4" customHeight="1" x14ac:dyDescent="0.3">
      <c r="B1416" s="2" t="s">
        <v>1421</v>
      </c>
      <c r="C1416" s="3">
        <v>45256</v>
      </c>
      <c r="D1416" s="2" t="s">
        <v>2010</v>
      </c>
      <c r="E1416" s="2" t="s">
        <v>2068</v>
      </c>
      <c r="F1416" s="4">
        <v>4289.6499999999996</v>
      </c>
      <c r="G1416" s="5">
        <v>188.33</v>
      </c>
      <c r="H1416" s="6">
        <v>12</v>
      </c>
      <c r="I1416" s="2" t="s">
        <v>2116</v>
      </c>
      <c r="J1416" s="2" t="str">
        <v>E-Enable Virtual Methodologies</v>
      </c>
      <c r="K1416" s="2" t="str">
        <v>Office Supplies</v>
      </c>
      <c r="L1416" s="2" t="str">
        <v>Floyd-Love</v>
      </c>
      <c r="M1416" s="2">
        <v>283.64999999999998</v>
      </c>
      <c r="N1416" s="16">
        <f t="shared" si="22"/>
        <v>4.3903348758057188E-2</v>
      </c>
    </row>
    <row r="1417" spans="2:14" ht="14.4" customHeight="1" x14ac:dyDescent="0.3">
      <c r="B1417" s="2" t="s">
        <v>1422</v>
      </c>
      <c r="C1417" s="3">
        <v>44908</v>
      </c>
      <c r="D1417" s="2" t="s">
        <v>2012</v>
      </c>
      <c r="E1417" s="2" t="s">
        <v>2091</v>
      </c>
      <c r="F1417" s="4">
        <v>336.6</v>
      </c>
      <c r="G1417" s="5">
        <v>495.22</v>
      </c>
      <c r="H1417" s="6">
        <v>16</v>
      </c>
      <c r="I1417" s="2" t="s">
        <v>2117</v>
      </c>
      <c r="J1417" s="2" t="str">
        <v>Synthesize Scalable Portals</v>
      </c>
      <c r="K1417" s="2" t="str">
        <v>Furniture</v>
      </c>
      <c r="L1417" s="2" t="str">
        <v>Singh, Villa and Flynn</v>
      </c>
      <c r="M1417" s="2">
        <v>298.57</v>
      </c>
      <c r="N1417" s="16">
        <f t="shared" si="22"/>
        <v>1.4712418300653594</v>
      </c>
    </row>
    <row r="1418" spans="2:14" ht="14.4" customHeight="1" x14ac:dyDescent="0.3">
      <c r="B1418" s="2" t="s">
        <v>1423</v>
      </c>
      <c r="C1418" s="3">
        <v>45593</v>
      </c>
      <c r="D1418" s="2" t="s">
        <v>2009</v>
      </c>
      <c r="E1418" s="2" t="s">
        <v>2047</v>
      </c>
      <c r="F1418" s="4">
        <v>3026.9</v>
      </c>
      <c r="G1418" s="5">
        <v>688.49</v>
      </c>
      <c r="H1418" s="6">
        <v>18</v>
      </c>
      <c r="I1418" s="2" t="s">
        <v>2118</v>
      </c>
      <c r="J1418" s="2" t="str">
        <v>Transform Holistic Functionalities</v>
      </c>
      <c r="K1418" s="2" t="str">
        <v>Office Supplies</v>
      </c>
      <c r="L1418" s="2" t="str">
        <v>Ruiz Ltd</v>
      </c>
      <c r="M1418" s="2">
        <v>179.27</v>
      </c>
      <c r="N1418" s="16">
        <f t="shared" si="22"/>
        <v>0.22745713436188839</v>
      </c>
    </row>
    <row r="1419" spans="2:14" ht="14.4" customHeight="1" x14ac:dyDescent="0.3">
      <c r="B1419" s="2" t="s">
        <v>1424</v>
      </c>
      <c r="C1419" s="3">
        <v>45219</v>
      </c>
      <c r="D1419" s="2" t="s">
        <v>2010</v>
      </c>
      <c r="E1419" s="2" t="s">
        <v>2092</v>
      </c>
      <c r="F1419" s="4">
        <v>935.86</v>
      </c>
      <c r="G1419" s="5">
        <v>900.06</v>
      </c>
      <c r="H1419" s="6">
        <v>10</v>
      </c>
      <c r="I1419" s="2" t="s">
        <v>2116</v>
      </c>
      <c r="J1419" s="2" t="str">
        <v>Seize Clicks-And-Mortar Platforms</v>
      </c>
      <c r="K1419" s="2" t="str">
        <v>Office Supplies</v>
      </c>
      <c r="L1419" s="2" t="str">
        <v>Owens, Campos and Wood</v>
      </c>
      <c r="M1419" s="2">
        <v>271.16000000000003</v>
      </c>
      <c r="N1419" s="16">
        <f t="shared" si="22"/>
        <v>0.96174641506208192</v>
      </c>
    </row>
    <row r="1420" spans="2:14" ht="14.4" customHeight="1" x14ac:dyDescent="0.3">
      <c r="B1420" s="2" t="s">
        <v>1425</v>
      </c>
      <c r="C1420" s="3">
        <v>44107</v>
      </c>
      <c r="D1420" s="2" t="s">
        <v>2009</v>
      </c>
      <c r="E1420" s="2" t="s">
        <v>2070</v>
      </c>
      <c r="F1420" s="4">
        <v>194.03</v>
      </c>
      <c r="G1420" s="5">
        <v>800.34</v>
      </c>
      <c r="H1420" s="6">
        <v>11</v>
      </c>
      <c r="I1420" s="2" t="s">
        <v>2117</v>
      </c>
      <c r="J1420" s="2" t="str">
        <v>Seize Plug-And-Play Web-Readiness</v>
      </c>
      <c r="K1420" s="2" t="str">
        <v>Electronics</v>
      </c>
      <c r="L1420" s="2" t="str">
        <v>Joseph, Mayer and Carr</v>
      </c>
      <c r="M1420" s="2">
        <v>102.73</v>
      </c>
      <c r="N1420" s="16">
        <f t="shared" si="22"/>
        <v>4.1248260578261098</v>
      </c>
    </row>
    <row r="1421" spans="2:14" ht="14.4" customHeight="1" x14ac:dyDescent="0.3">
      <c r="B1421" s="2" t="s">
        <v>1426</v>
      </c>
      <c r="C1421" s="3">
        <v>44276</v>
      </c>
      <c r="D1421" s="2" t="s">
        <v>2010</v>
      </c>
      <c r="E1421" s="2" t="s">
        <v>2046</v>
      </c>
      <c r="F1421" s="4">
        <v>2370.9</v>
      </c>
      <c r="G1421" s="5">
        <v>450.45</v>
      </c>
      <c r="H1421" s="6">
        <v>4</v>
      </c>
      <c r="I1421" s="2" t="s">
        <v>2116</v>
      </c>
      <c r="J1421" s="2" t="str">
        <v>Facilitate End-To-End Experiences</v>
      </c>
      <c r="K1421" s="2" t="str">
        <v>Office Supplies</v>
      </c>
      <c r="L1421" s="2" t="str">
        <v>Pierce-Goodwin</v>
      </c>
      <c r="M1421" s="2">
        <v>260.52999999999997</v>
      </c>
      <c r="N1421" s="16">
        <f t="shared" si="22"/>
        <v>0.1899911426040744</v>
      </c>
    </row>
    <row r="1422" spans="2:14" ht="14.4" customHeight="1" x14ac:dyDescent="0.3">
      <c r="B1422" s="2" t="s">
        <v>1427</v>
      </c>
      <c r="C1422" s="3">
        <v>45388</v>
      </c>
      <c r="D1422" s="2" t="s">
        <v>2011</v>
      </c>
      <c r="E1422" s="2" t="s">
        <v>2104</v>
      </c>
      <c r="F1422" s="4">
        <v>3898.83</v>
      </c>
      <c r="G1422" s="5">
        <v>485.1</v>
      </c>
      <c r="H1422" s="6">
        <v>18</v>
      </c>
      <c r="I1422" s="2" t="s">
        <v>2116</v>
      </c>
      <c r="J1422" s="2" t="str">
        <v>Scale Cross-Platform Web Services</v>
      </c>
      <c r="K1422" s="2" t="str">
        <v>Furniture</v>
      </c>
      <c r="L1422" s="2" t="str">
        <v>Morrow, Brock and Lewis</v>
      </c>
      <c r="M1422" s="2">
        <v>115.21</v>
      </c>
      <c r="N1422" s="16">
        <f t="shared" si="22"/>
        <v>0.12442194196720556</v>
      </c>
    </row>
    <row r="1423" spans="2:14" ht="14.4" customHeight="1" x14ac:dyDescent="0.3">
      <c r="B1423" s="2" t="s">
        <v>1428</v>
      </c>
      <c r="C1423" s="3">
        <v>45594</v>
      </c>
      <c r="D1423" s="2" t="s">
        <v>2012</v>
      </c>
      <c r="E1423" s="2" t="s">
        <v>2030</v>
      </c>
      <c r="F1423" s="4">
        <v>373.48</v>
      </c>
      <c r="G1423" s="5">
        <v>466.23</v>
      </c>
      <c r="H1423" s="6">
        <v>4</v>
      </c>
      <c r="I1423" s="2" t="s">
        <v>2117</v>
      </c>
      <c r="J1423" s="2" t="str">
        <v>Engage Rich Web-Readiness</v>
      </c>
      <c r="K1423" s="2" t="str">
        <v>Office Supplies</v>
      </c>
      <c r="L1423" s="2" t="str">
        <v>Turner Inc</v>
      </c>
      <c r="M1423" s="2">
        <v>81.069999999999993</v>
      </c>
      <c r="N1423" s="16">
        <f t="shared" si="22"/>
        <v>1.2483399378815465</v>
      </c>
    </row>
    <row r="1424" spans="2:14" ht="14.4" customHeight="1" x14ac:dyDescent="0.3">
      <c r="B1424" s="2" t="s">
        <v>1429</v>
      </c>
      <c r="C1424" s="3">
        <v>44319</v>
      </c>
      <c r="D1424" s="2" t="s">
        <v>2010</v>
      </c>
      <c r="E1424" s="2" t="s">
        <v>2110</v>
      </c>
      <c r="F1424" s="4">
        <v>1439.2</v>
      </c>
      <c r="G1424" s="5">
        <v>952.84</v>
      </c>
      <c r="H1424" s="6">
        <v>10</v>
      </c>
      <c r="I1424" s="2" t="s">
        <v>2117</v>
      </c>
      <c r="J1424" s="2" t="str">
        <v>Repurpose End-To-End Networks</v>
      </c>
      <c r="K1424" s="2" t="str">
        <v>Office Supplies</v>
      </c>
      <c r="L1424" s="2" t="str">
        <v>Torres-Rush</v>
      </c>
      <c r="M1424" s="2">
        <v>97.02</v>
      </c>
      <c r="N1424" s="16">
        <f t="shared" si="22"/>
        <v>0.6620622568093385</v>
      </c>
    </row>
    <row r="1425" spans="2:14" ht="14.4" customHeight="1" x14ac:dyDescent="0.3">
      <c r="B1425" s="2" t="s">
        <v>1430</v>
      </c>
      <c r="C1425" s="3">
        <v>44427</v>
      </c>
      <c r="D1425" s="2" t="s">
        <v>2012</v>
      </c>
      <c r="E1425" s="2" t="s">
        <v>2108</v>
      </c>
      <c r="F1425" s="4">
        <v>4398.62</v>
      </c>
      <c r="G1425" s="5">
        <v>313.14999999999998</v>
      </c>
      <c r="H1425" s="6">
        <v>7</v>
      </c>
      <c r="I1425" s="2" t="s">
        <v>2118</v>
      </c>
      <c r="J1425" s="2" t="str">
        <v>Whiteboard B2B Content</v>
      </c>
      <c r="K1425" s="2" t="str">
        <v>Office Supplies</v>
      </c>
      <c r="L1425" s="2" t="str">
        <v>Romero PLC</v>
      </c>
      <c r="M1425" s="2">
        <v>93.81</v>
      </c>
      <c r="N1425" s="16">
        <f t="shared" si="22"/>
        <v>7.1192783191091749E-2</v>
      </c>
    </row>
    <row r="1426" spans="2:14" ht="14.4" customHeight="1" x14ac:dyDescent="0.3">
      <c r="B1426" s="2" t="s">
        <v>1431</v>
      </c>
      <c r="C1426" s="3">
        <v>44529</v>
      </c>
      <c r="D1426" s="2" t="s">
        <v>2009</v>
      </c>
      <c r="E1426" s="2" t="s">
        <v>2072</v>
      </c>
      <c r="F1426" s="4">
        <v>4601.7700000000004</v>
      </c>
      <c r="G1426" s="5">
        <v>713.05</v>
      </c>
      <c r="H1426" s="6">
        <v>4</v>
      </c>
      <c r="I1426" s="2" t="s">
        <v>2116</v>
      </c>
      <c r="J1426" s="2" t="str">
        <v>Evolve Innovative Web Services</v>
      </c>
      <c r="K1426" s="2" t="str">
        <v>Furniture</v>
      </c>
      <c r="L1426" s="2" t="str">
        <v>Bush Inc</v>
      </c>
      <c r="M1426" s="2">
        <v>87.75</v>
      </c>
      <c r="N1426" s="16">
        <f t="shared" si="22"/>
        <v>0.1549512470201683</v>
      </c>
    </row>
    <row r="1427" spans="2:14" ht="14.4" customHeight="1" x14ac:dyDescent="0.3">
      <c r="B1427" s="2" t="s">
        <v>1432</v>
      </c>
      <c r="C1427" s="3">
        <v>45530</v>
      </c>
      <c r="D1427" s="2" t="s">
        <v>2012</v>
      </c>
      <c r="E1427" s="2" t="s">
        <v>2035</v>
      </c>
      <c r="F1427" s="4">
        <v>4455.24</v>
      </c>
      <c r="G1427" s="5">
        <v>695.63</v>
      </c>
      <c r="H1427" s="6">
        <v>8</v>
      </c>
      <c r="I1427" s="2" t="s">
        <v>2118</v>
      </c>
      <c r="J1427" s="2" t="str">
        <v>Optimize 24/365 E-Services</v>
      </c>
      <c r="K1427" s="2" t="str">
        <v>Office Supplies</v>
      </c>
      <c r="L1427" s="2" t="str">
        <v>Chase Ltd</v>
      </c>
      <c r="M1427" s="2">
        <v>100.35</v>
      </c>
      <c r="N1427" s="16">
        <f t="shared" si="22"/>
        <v>0.15613749203185462</v>
      </c>
    </row>
    <row r="1428" spans="2:14" ht="14.4" customHeight="1" x14ac:dyDescent="0.3">
      <c r="B1428" s="2" t="s">
        <v>1433</v>
      </c>
      <c r="C1428" s="3">
        <v>44018</v>
      </c>
      <c r="D1428" s="2" t="s">
        <v>2011</v>
      </c>
      <c r="E1428" s="2" t="s">
        <v>2056</v>
      </c>
      <c r="F1428" s="4">
        <v>4987.5</v>
      </c>
      <c r="G1428" s="5">
        <v>889.71</v>
      </c>
      <c r="H1428" s="6">
        <v>16</v>
      </c>
      <c r="I1428" s="2" t="s">
        <v>2117</v>
      </c>
      <c r="J1428" s="2" t="str">
        <v>Mesh Intuitive Supply-Chains</v>
      </c>
      <c r="K1428" s="2" t="str">
        <v>Electronics</v>
      </c>
      <c r="L1428" s="2" t="str">
        <v>Soto, Barnett and Heath</v>
      </c>
      <c r="M1428" s="2">
        <v>281</v>
      </c>
      <c r="N1428" s="16">
        <f t="shared" si="22"/>
        <v>0.17838796992481204</v>
      </c>
    </row>
    <row r="1429" spans="2:14" ht="14.4" customHeight="1" x14ac:dyDescent="0.3">
      <c r="B1429" s="2" t="s">
        <v>1434</v>
      </c>
      <c r="C1429" s="3">
        <v>44695</v>
      </c>
      <c r="D1429" s="2" t="s">
        <v>2010</v>
      </c>
      <c r="E1429" s="2" t="s">
        <v>2108</v>
      </c>
      <c r="F1429" s="4">
        <v>4996.41</v>
      </c>
      <c r="G1429" s="5">
        <v>15.8</v>
      </c>
      <c r="H1429" s="6">
        <v>12</v>
      </c>
      <c r="I1429" s="2" t="s">
        <v>2118</v>
      </c>
      <c r="J1429" s="2" t="str">
        <v>Whiteboard B2B Content</v>
      </c>
      <c r="K1429" s="2" t="str">
        <v>Office Supplies</v>
      </c>
      <c r="L1429" s="2" t="str">
        <v>Romero PLC</v>
      </c>
      <c r="M1429" s="2">
        <v>93.81</v>
      </c>
      <c r="N1429" s="16">
        <f t="shared" si="22"/>
        <v>3.162270510226343E-3</v>
      </c>
    </row>
    <row r="1430" spans="2:14" ht="14.4" customHeight="1" x14ac:dyDescent="0.3">
      <c r="B1430" s="2" t="s">
        <v>1435</v>
      </c>
      <c r="C1430" s="3">
        <v>44893</v>
      </c>
      <c r="D1430" s="2" t="s">
        <v>2010</v>
      </c>
      <c r="E1430" s="2" t="s">
        <v>2040</v>
      </c>
      <c r="F1430" s="4">
        <v>131.29</v>
      </c>
      <c r="G1430" s="5">
        <v>734.71</v>
      </c>
      <c r="H1430" s="6">
        <v>20</v>
      </c>
      <c r="I1430" s="2" t="s">
        <v>2118</v>
      </c>
      <c r="J1430" s="2" t="str">
        <v>Synergize End-To-End Supply-Chains</v>
      </c>
      <c r="K1430" s="2" t="str">
        <v>Office Supplies</v>
      </c>
      <c r="L1430" s="2" t="str">
        <v>Higgins-Espinoza</v>
      </c>
      <c r="M1430" s="2">
        <v>279.8</v>
      </c>
      <c r="N1430" s="16">
        <f t="shared" si="22"/>
        <v>5.5960850026658546</v>
      </c>
    </row>
    <row r="1431" spans="2:14" ht="14.4" customHeight="1" x14ac:dyDescent="0.3">
      <c r="B1431" s="2" t="s">
        <v>1436</v>
      </c>
      <c r="C1431" s="3">
        <v>45435</v>
      </c>
      <c r="D1431" s="2" t="s">
        <v>2012</v>
      </c>
      <c r="E1431" s="2" t="s">
        <v>2048</v>
      </c>
      <c r="F1431" s="4">
        <v>4012.06</v>
      </c>
      <c r="G1431" s="5">
        <v>396.19</v>
      </c>
      <c r="H1431" s="6">
        <v>13</v>
      </c>
      <c r="I1431" s="2" t="s">
        <v>2118</v>
      </c>
      <c r="J1431" s="2" t="str">
        <v>Drive Compelling E-Services</v>
      </c>
      <c r="K1431" s="2" t="str">
        <v>Office Supplies</v>
      </c>
      <c r="L1431" s="2" t="str">
        <v>Morris-Villanueva</v>
      </c>
      <c r="M1431" s="2">
        <v>27.22</v>
      </c>
      <c r="N1431" s="16">
        <f t="shared" si="22"/>
        <v>9.8749769445122954E-2</v>
      </c>
    </row>
    <row r="1432" spans="2:14" ht="14.4" customHeight="1" x14ac:dyDescent="0.3">
      <c r="B1432" s="2" t="s">
        <v>1437</v>
      </c>
      <c r="C1432" s="3">
        <v>44785</v>
      </c>
      <c r="D1432" s="2" t="s">
        <v>2010</v>
      </c>
      <c r="E1432" s="2" t="s">
        <v>2023</v>
      </c>
      <c r="F1432" s="4">
        <v>3433.17</v>
      </c>
      <c r="G1432" s="5">
        <v>948.52</v>
      </c>
      <c r="H1432" s="6">
        <v>4</v>
      </c>
      <c r="I1432" s="2" t="s">
        <v>2117</v>
      </c>
      <c r="J1432" s="2" t="str">
        <v>Leverage Cutting-Edge Vortals</v>
      </c>
      <c r="K1432" s="2" t="str">
        <v>Electronics</v>
      </c>
      <c r="L1432" s="2" t="str">
        <v>Robinson, Garrett and Chavez</v>
      </c>
      <c r="M1432" s="2">
        <v>117.3</v>
      </c>
      <c r="N1432" s="16">
        <f t="shared" si="22"/>
        <v>0.27628110463507488</v>
      </c>
    </row>
    <row r="1433" spans="2:14" ht="14.4" customHeight="1" x14ac:dyDescent="0.3">
      <c r="B1433" s="2" t="s">
        <v>1438</v>
      </c>
      <c r="C1433" s="3">
        <v>43890</v>
      </c>
      <c r="D1433" s="2" t="s">
        <v>2011</v>
      </c>
      <c r="E1433" s="2" t="s">
        <v>2029</v>
      </c>
      <c r="F1433" s="4">
        <v>2793.96</v>
      </c>
      <c r="G1433" s="5">
        <v>372.96</v>
      </c>
      <c r="H1433" s="6">
        <v>11</v>
      </c>
      <c r="I1433" s="2" t="s">
        <v>2118</v>
      </c>
      <c r="J1433" s="2" t="str">
        <v>E-Enable Next-Generation Experiences</v>
      </c>
      <c r="K1433" s="2" t="str">
        <v>Furniture</v>
      </c>
      <c r="L1433" s="2" t="str">
        <v>Sanchez-Quinn</v>
      </c>
      <c r="M1433" s="2">
        <v>266.93</v>
      </c>
      <c r="N1433" s="16">
        <f t="shared" si="22"/>
        <v>0.13348795258342996</v>
      </c>
    </row>
    <row r="1434" spans="2:14" ht="14.4" customHeight="1" x14ac:dyDescent="0.3">
      <c r="B1434" s="2" t="s">
        <v>1439</v>
      </c>
      <c r="C1434" s="3">
        <v>45467</v>
      </c>
      <c r="D1434" s="2" t="s">
        <v>2010</v>
      </c>
      <c r="E1434" s="2" t="s">
        <v>2050</v>
      </c>
      <c r="F1434" s="4">
        <v>3503.89</v>
      </c>
      <c r="G1434" s="5">
        <v>633.85</v>
      </c>
      <c r="H1434" s="6">
        <v>14</v>
      </c>
      <c r="I1434" s="2" t="s">
        <v>2116</v>
      </c>
      <c r="J1434" s="2" t="str">
        <v>Extend Bricks-And-Clicks Architectures</v>
      </c>
      <c r="K1434" s="2" t="str">
        <v>Furniture</v>
      </c>
      <c r="L1434" s="2" t="str">
        <v>Fuller PLC</v>
      </c>
      <c r="M1434" s="2">
        <v>202.99</v>
      </c>
      <c r="N1434" s="16">
        <f t="shared" si="22"/>
        <v>0.18089894374538015</v>
      </c>
    </row>
    <row r="1435" spans="2:14" ht="14.4" customHeight="1" x14ac:dyDescent="0.3">
      <c r="B1435" s="2" t="s">
        <v>1440</v>
      </c>
      <c r="C1435" s="3">
        <v>44333</v>
      </c>
      <c r="D1435" s="2" t="s">
        <v>2009</v>
      </c>
      <c r="E1435" s="2" t="s">
        <v>2052</v>
      </c>
      <c r="F1435" s="4">
        <v>3241.85</v>
      </c>
      <c r="G1435" s="5">
        <v>147.76</v>
      </c>
      <c r="H1435" s="6">
        <v>11</v>
      </c>
      <c r="I1435" s="2" t="s">
        <v>2118</v>
      </c>
      <c r="J1435" s="2" t="str">
        <v>Innovate Sticky Web Services</v>
      </c>
      <c r="K1435" s="2" t="str">
        <v>Electronics</v>
      </c>
      <c r="L1435" s="2" t="str">
        <v>Friedman, Sanders and Adams</v>
      </c>
      <c r="M1435" s="2">
        <v>125.85</v>
      </c>
      <c r="N1435" s="16">
        <f t="shared" si="22"/>
        <v>4.5578913274827645E-2</v>
      </c>
    </row>
    <row r="1436" spans="2:14" ht="14.4" customHeight="1" x14ac:dyDescent="0.3">
      <c r="B1436" s="2" t="s">
        <v>1441</v>
      </c>
      <c r="C1436" s="3">
        <v>45090</v>
      </c>
      <c r="D1436" s="2" t="s">
        <v>2012</v>
      </c>
      <c r="E1436" s="2" t="s">
        <v>2013</v>
      </c>
      <c r="F1436" s="4">
        <v>3796.49</v>
      </c>
      <c r="G1436" s="5">
        <v>444.83</v>
      </c>
      <c r="H1436" s="6">
        <v>20</v>
      </c>
      <c r="I1436" s="2" t="s">
        <v>2117</v>
      </c>
      <c r="J1436" s="2" t="str">
        <v>Re-Intermediate Seamless Applications</v>
      </c>
      <c r="K1436" s="2" t="str">
        <v>Office Supplies</v>
      </c>
      <c r="L1436" s="2" t="str">
        <v>Welch-Reed</v>
      </c>
      <c r="M1436" s="2">
        <v>45.82</v>
      </c>
      <c r="N1436" s="16">
        <f t="shared" si="22"/>
        <v>0.11716875324312721</v>
      </c>
    </row>
    <row r="1437" spans="2:14" ht="14.4" customHeight="1" x14ac:dyDescent="0.3">
      <c r="B1437" s="2" t="s">
        <v>1442</v>
      </c>
      <c r="C1437" s="3">
        <v>45238</v>
      </c>
      <c r="D1437" s="2" t="s">
        <v>2009</v>
      </c>
      <c r="E1437" s="2" t="s">
        <v>2080</v>
      </c>
      <c r="F1437" s="4">
        <v>2098.58</v>
      </c>
      <c r="G1437" s="5">
        <v>641.79999999999995</v>
      </c>
      <c r="H1437" s="6">
        <v>15</v>
      </c>
      <c r="I1437" s="2" t="s">
        <v>2118</v>
      </c>
      <c r="J1437" s="2" t="str">
        <v>Scale Vertical Networks</v>
      </c>
      <c r="K1437" s="2" t="str">
        <v>Furniture</v>
      </c>
      <c r="L1437" s="2" t="str">
        <v>Lam, Wood and Jacobs</v>
      </c>
      <c r="M1437" s="2">
        <v>133.24</v>
      </c>
      <c r="N1437" s="16">
        <f t="shared" si="22"/>
        <v>0.30582584414222952</v>
      </c>
    </row>
    <row r="1438" spans="2:14" ht="14.4" customHeight="1" x14ac:dyDescent="0.3">
      <c r="B1438" s="2" t="s">
        <v>1443</v>
      </c>
      <c r="C1438" s="3">
        <v>44897</v>
      </c>
      <c r="D1438" s="2" t="s">
        <v>2009</v>
      </c>
      <c r="E1438" s="2" t="s">
        <v>2018</v>
      </c>
      <c r="F1438" s="4">
        <v>2930.57</v>
      </c>
      <c r="G1438" s="5">
        <v>846.9</v>
      </c>
      <c r="H1438" s="6">
        <v>12</v>
      </c>
      <c r="I1438" s="2" t="s">
        <v>2116</v>
      </c>
      <c r="J1438" s="2" t="str">
        <v>Deliver Sticky Networks</v>
      </c>
      <c r="K1438" s="2" t="str">
        <v>Furniture</v>
      </c>
      <c r="L1438" s="2" t="str">
        <v>Massey LLC</v>
      </c>
      <c r="M1438" s="2">
        <v>272.33</v>
      </c>
      <c r="N1438" s="16">
        <f t="shared" si="22"/>
        <v>0.28898814906315151</v>
      </c>
    </row>
    <row r="1439" spans="2:14" ht="14.4" customHeight="1" x14ac:dyDescent="0.3">
      <c r="B1439" s="2" t="s">
        <v>1444</v>
      </c>
      <c r="C1439" s="3">
        <v>44289</v>
      </c>
      <c r="D1439" s="2" t="s">
        <v>2010</v>
      </c>
      <c r="E1439" s="2" t="s">
        <v>2088</v>
      </c>
      <c r="F1439" s="4">
        <v>2557.2800000000002</v>
      </c>
      <c r="G1439" s="5">
        <v>792.31</v>
      </c>
      <c r="H1439" s="6">
        <v>2</v>
      </c>
      <c r="I1439" s="2" t="s">
        <v>2118</v>
      </c>
      <c r="J1439" s="2" t="str">
        <v>E-Enable Holistic Supply-Chains</v>
      </c>
      <c r="K1439" s="2" t="str">
        <v>Furniture</v>
      </c>
      <c r="L1439" s="2" t="str">
        <v>Lin-Mcdaniel</v>
      </c>
      <c r="M1439" s="2">
        <v>160.33000000000001</v>
      </c>
      <c r="N1439" s="16">
        <f t="shared" si="22"/>
        <v>0.30982528311330787</v>
      </c>
    </row>
    <row r="1440" spans="2:14" ht="14.4" customHeight="1" x14ac:dyDescent="0.3">
      <c r="B1440" s="2" t="s">
        <v>1445</v>
      </c>
      <c r="C1440" s="3">
        <v>44244</v>
      </c>
      <c r="D1440" s="2" t="s">
        <v>2010</v>
      </c>
      <c r="E1440" s="2" t="s">
        <v>2031</v>
      </c>
      <c r="F1440" s="4">
        <v>1481.22</v>
      </c>
      <c r="G1440" s="5">
        <v>189.43</v>
      </c>
      <c r="H1440" s="6">
        <v>13</v>
      </c>
      <c r="I1440" s="2" t="s">
        <v>2116</v>
      </c>
      <c r="J1440" s="2" t="str">
        <v>Embrace 24/365 Functionalities</v>
      </c>
      <c r="K1440" s="2" t="str">
        <v>Office Supplies</v>
      </c>
      <c r="L1440" s="2" t="str">
        <v>Smith LLC</v>
      </c>
      <c r="M1440" s="2">
        <v>204.04</v>
      </c>
      <c r="N1440" s="16">
        <f t="shared" si="22"/>
        <v>0.12788782220061842</v>
      </c>
    </row>
    <row r="1441" spans="2:14" ht="14.4" customHeight="1" x14ac:dyDescent="0.3">
      <c r="B1441" s="2" t="s">
        <v>1446</v>
      </c>
      <c r="C1441" s="3">
        <v>44615</v>
      </c>
      <c r="D1441" s="2" t="s">
        <v>2011</v>
      </c>
      <c r="E1441" s="2" t="s">
        <v>2053</v>
      </c>
      <c r="F1441" s="4">
        <v>3421.01</v>
      </c>
      <c r="G1441" s="5">
        <v>536.62</v>
      </c>
      <c r="H1441" s="6">
        <v>12</v>
      </c>
      <c r="I1441" s="2" t="s">
        <v>2116</v>
      </c>
      <c r="J1441" s="2" t="str">
        <v>Transition Mission-Critical Interfaces</v>
      </c>
      <c r="K1441" s="2" t="str">
        <v>Office Supplies</v>
      </c>
      <c r="L1441" s="2" t="str">
        <v>Weaver Ltd</v>
      </c>
      <c r="M1441" s="2">
        <v>34.64</v>
      </c>
      <c r="N1441" s="16">
        <f t="shared" si="22"/>
        <v>0.15686010856442981</v>
      </c>
    </row>
    <row r="1442" spans="2:14" ht="14.4" customHeight="1" x14ac:dyDescent="0.3">
      <c r="B1442" s="2" t="s">
        <v>1447</v>
      </c>
      <c r="C1442" s="3">
        <v>44773</v>
      </c>
      <c r="D1442" s="2" t="s">
        <v>2012</v>
      </c>
      <c r="E1442" s="2" t="s">
        <v>2109</v>
      </c>
      <c r="F1442" s="4">
        <v>2185.29</v>
      </c>
      <c r="G1442" s="5">
        <v>375.36</v>
      </c>
      <c r="H1442" s="6">
        <v>17</v>
      </c>
      <c r="I1442" s="2" t="s">
        <v>2118</v>
      </c>
      <c r="J1442" s="2" t="str">
        <v>Deliver Viral Eyeballs</v>
      </c>
      <c r="K1442" s="2" t="str">
        <v>Office Supplies</v>
      </c>
      <c r="L1442" s="2" t="str">
        <v>Estes, Chan and Thomas</v>
      </c>
      <c r="M1442" s="2">
        <v>16.89</v>
      </c>
      <c r="N1442" s="16">
        <f t="shared" si="22"/>
        <v>0.17176667627637524</v>
      </c>
    </row>
    <row r="1443" spans="2:14" ht="14.4" customHeight="1" x14ac:dyDescent="0.3">
      <c r="B1443" s="2" t="s">
        <v>1448</v>
      </c>
      <c r="C1443" s="3">
        <v>44306</v>
      </c>
      <c r="D1443" s="2" t="s">
        <v>2010</v>
      </c>
      <c r="E1443" s="2" t="s">
        <v>2015</v>
      </c>
      <c r="F1443" s="4">
        <v>1661.37</v>
      </c>
      <c r="G1443" s="5">
        <v>360.38</v>
      </c>
      <c r="H1443" s="6">
        <v>1</v>
      </c>
      <c r="I1443" s="2" t="s">
        <v>2117</v>
      </c>
      <c r="J1443" s="2" t="str">
        <v>Brand Web-Enabled Solutions</v>
      </c>
      <c r="K1443" s="2" t="str">
        <v>Electronics</v>
      </c>
      <c r="L1443" s="2" t="str">
        <v>Russell Group</v>
      </c>
      <c r="M1443" s="2">
        <v>51.67</v>
      </c>
      <c r="N1443" s="16">
        <f t="shared" si="22"/>
        <v>0.21691736338082426</v>
      </c>
    </row>
    <row r="1444" spans="2:14" ht="14.4" customHeight="1" x14ac:dyDescent="0.3">
      <c r="B1444" s="2" t="s">
        <v>1449</v>
      </c>
      <c r="C1444" s="3">
        <v>44109</v>
      </c>
      <c r="D1444" s="2" t="s">
        <v>2010</v>
      </c>
      <c r="E1444" s="2" t="s">
        <v>2044</v>
      </c>
      <c r="F1444" s="4">
        <v>745.78</v>
      </c>
      <c r="G1444" s="5">
        <v>466.42</v>
      </c>
      <c r="H1444" s="6">
        <v>6</v>
      </c>
      <c r="I1444" s="2" t="s">
        <v>2117</v>
      </c>
      <c r="J1444" s="2" t="str">
        <v>Grow Back-End Supply-Chains</v>
      </c>
      <c r="K1444" s="2" t="str">
        <v>Electronics</v>
      </c>
      <c r="L1444" s="2" t="str">
        <v>Green LLC</v>
      </c>
      <c r="M1444" s="2">
        <v>140.08000000000001</v>
      </c>
      <c r="N1444" s="16">
        <f t="shared" si="22"/>
        <v>0.62541231998712765</v>
      </c>
    </row>
    <row r="1445" spans="2:14" ht="14.4" customHeight="1" x14ac:dyDescent="0.3">
      <c r="B1445" s="2" t="s">
        <v>1450</v>
      </c>
      <c r="C1445" s="3">
        <v>44721</v>
      </c>
      <c r="D1445" s="2" t="s">
        <v>2011</v>
      </c>
      <c r="E1445" s="2" t="s">
        <v>2038</v>
      </c>
      <c r="F1445" s="4">
        <v>3411.92</v>
      </c>
      <c r="G1445" s="5">
        <v>504.86</v>
      </c>
      <c r="H1445" s="6">
        <v>2</v>
      </c>
      <c r="I1445" s="2" t="s">
        <v>2118</v>
      </c>
      <c r="J1445" s="2" t="str">
        <v>Reinvent Mission-Critical Markets</v>
      </c>
      <c r="K1445" s="2" t="str">
        <v>Furniture</v>
      </c>
      <c r="L1445" s="2" t="str">
        <v>Gilbert-Sanders</v>
      </c>
      <c r="M1445" s="2">
        <v>154.21</v>
      </c>
      <c r="N1445" s="16">
        <f t="shared" si="22"/>
        <v>0.14796947173439001</v>
      </c>
    </row>
    <row r="1446" spans="2:14" ht="14.4" customHeight="1" x14ac:dyDescent="0.3">
      <c r="B1446" s="2" t="s">
        <v>1451</v>
      </c>
      <c r="C1446" s="3">
        <v>44910</v>
      </c>
      <c r="D1446" s="2" t="s">
        <v>2011</v>
      </c>
      <c r="E1446" s="2" t="s">
        <v>2027</v>
      </c>
      <c r="F1446" s="4">
        <v>3206.22</v>
      </c>
      <c r="G1446" s="5">
        <v>164.18</v>
      </c>
      <c r="H1446" s="6">
        <v>14</v>
      </c>
      <c r="I1446" s="2" t="s">
        <v>2117</v>
      </c>
      <c r="J1446" s="2" t="str">
        <v>Monetize Value-Added Niches</v>
      </c>
      <c r="K1446" s="2" t="str">
        <v>Office Supplies</v>
      </c>
      <c r="L1446" s="2" t="str">
        <v>Foster, Velazquez and Lee</v>
      </c>
      <c r="M1446" s="2">
        <v>171.51</v>
      </c>
      <c r="N1446" s="16">
        <f t="shared" si="22"/>
        <v>5.1206716943940224E-2</v>
      </c>
    </row>
    <row r="1447" spans="2:14" ht="14.4" customHeight="1" x14ac:dyDescent="0.3">
      <c r="B1447" s="2" t="s">
        <v>1452</v>
      </c>
      <c r="C1447" s="3">
        <v>44013</v>
      </c>
      <c r="D1447" s="2" t="s">
        <v>2010</v>
      </c>
      <c r="E1447" s="2" t="s">
        <v>2076</v>
      </c>
      <c r="F1447" s="4">
        <v>4947.76</v>
      </c>
      <c r="G1447" s="5">
        <v>656.2</v>
      </c>
      <c r="H1447" s="6">
        <v>19</v>
      </c>
      <c r="I1447" s="2" t="s">
        <v>2116</v>
      </c>
      <c r="J1447" s="2" t="str">
        <v>Deliver Extensible Partnerships</v>
      </c>
      <c r="K1447" s="2" t="str">
        <v>Furniture</v>
      </c>
      <c r="L1447" s="2" t="str">
        <v>Martin, Paul and Salazar</v>
      </c>
      <c r="M1447" s="2">
        <v>43.76</v>
      </c>
      <c r="N1447" s="16">
        <f t="shared" si="22"/>
        <v>0.13262567303183664</v>
      </c>
    </row>
    <row r="1448" spans="2:14" ht="14.4" customHeight="1" x14ac:dyDescent="0.3">
      <c r="B1448" s="2" t="s">
        <v>1453</v>
      </c>
      <c r="C1448" s="3">
        <v>43895</v>
      </c>
      <c r="D1448" s="2" t="s">
        <v>2010</v>
      </c>
      <c r="E1448" s="2" t="s">
        <v>2075</v>
      </c>
      <c r="F1448" s="4">
        <v>156.04</v>
      </c>
      <c r="G1448" s="5">
        <v>948.37</v>
      </c>
      <c r="H1448" s="6">
        <v>17</v>
      </c>
      <c r="I1448" s="2" t="s">
        <v>2117</v>
      </c>
      <c r="J1448" s="2" t="str">
        <v>Reinvent Visionary Niches</v>
      </c>
      <c r="K1448" s="2" t="str">
        <v>Furniture</v>
      </c>
      <c r="L1448" s="2" t="str">
        <v>Huber-Richmond</v>
      </c>
      <c r="M1448" s="2">
        <v>219.81</v>
      </c>
      <c r="N1448" s="16">
        <f t="shared" si="22"/>
        <v>6.0777364778261989</v>
      </c>
    </row>
    <row r="1449" spans="2:14" ht="14.4" customHeight="1" x14ac:dyDescent="0.3">
      <c r="B1449" s="2" t="s">
        <v>1454</v>
      </c>
      <c r="C1449" s="3">
        <v>45169</v>
      </c>
      <c r="D1449" s="2" t="s">
        <v>2010</v>
      </c>
      <c r="E1449" s="2" t="s">
        <v>2071</v>
      </c>
      <c r="F1449" s="4">
        <v>283.54000000000002</v>
      </c>
      <c r="G1449" s="5">
        <v>114.21</v>
      </c>
      <c r="H1449" s="6">
        <v>10</v>
      </c>
      <c r="I1449" s="2" t="s">
        <v>2116</v>
      </c>
      <c r="J1449" s="2" t="str">
        <v>Incentivize Front-End Mindshare</v>
      </c>
      <c r="K1449" s="2" t="str">
        <v>Electronics</v>
      </c>
      <c r="L1449" s="2" t="str">
        <v>Phillips-Tran</v>
      </c>
      <c r="M1449" s="2">
        <v>196.86</v>
      </c>
      <c r="N1449" s="16">
        <f t="shared" si="22"/>
        <v>0.40280031036185365</v>
      </c>
    </row>
    <row r="1450" spans="2:14" ht="14.4" customHeight="1" x14ac:dyDescent="0.3">
      <c r="B1450" s="2" t="s">
        <v>1455</v>
      </c>
      <c r="C1450" s="3">
        <v>43949</v>
      </c>
      <c r="D1450" s="2" t="s">
        <v>2012</v>
      </c>
      <c r="E1450" s="2" t="s">
        <v>2045</v>
      </c>
      <c r="F1450" s="4">
        <v>4251.58</v>
      </c>
      <c r="G1450" s="5">
        <v>344.63</v>
      </c>
      <c r="H1450" s="6">
        <v>2</v>
      </c>
      <c r="I1450" s="2" t="s">
        <v>2118</v>
      </c>
      <c r="J1450" s="2" t="str">
        <v>Leverage Scalable Interfaces</v>
      </c>
      <c r="K1450" s="2" t="str">
        <v>Office Supplies</v>
      </c>
      <c r="L1450" s="2" t="str">
        <v>Kaufman-Jones</v>
      </c>
      <c r="M1450" s="2">
        <v>73.33</v>
      </c>
      <c r="N1450" s="16">
        <f t="shared" si="22"/>
        <v>8.1059276786512313E-2</v>
      </c>
    </row>
    <row r="1451" spans="2:14" ht="14.4" customHeight="1" x14ac:dyDescent="0.3">
      <c r="B1451" s="2" t="s">
        <v>1456</v>
      </c>
      <c r="C1451" s="3">
        <v>44246</v>
      </c>
      <c r="D1451" s="2" t="s">
        <v>2011</v>
      </c>
      <c r="E1451" s="2" t="s">
        <v>2036</v>
      </c>
      <c r="F1451" s="4">
        <v>601.79999999999995</v>
      </c>
      <c r="G1451" s="5">
        <v>91.92</v>
      </c>
      <c r="H1451" s="6">
        <v>4</v>
      </c>
      <c r="I1451" s="2" t="s">
        <v>2118</v>
      </c>
      <c r="J1451" s="2" t="str">
        <v>Innovate Strategic Systems</v>
      </c>
      <c r="K1451" s="2" t="str">
        <v>Office Supplies</v>
      </c>
      <c r="L1451" s="2" t="str">
        <v>Mcfarland, Parker and Armstrong</v>
      </c>
      <c r="M1451" s="2">
        <v>70.239999999999995</v>
      </c>
      <c r="N1451" s="16">
        <f t="shared" si="22"/>
        <v>0.15274177467597211</v>
      </c>
    </row>
    <row r="1452" spans="2:14" ht="14.4" customHeight="1" x14ac:dyDescent="0.3">
      <c r="B1452" s="2" t="s">
        <v>1457</v>
      </c>
      <c r="C1452" s="3">
        <v>44500</v>
      </c>
      <c r="D1452" s="2" t="s">
        <v>2010</v>
      </c>
      <c r="E1452" s="2" t="s">
        <v>2101</v>
      </c>
      <c r="F1452" s="4">
        <v>2642.85</v>
      </c>
      <c r="G1452" s="5">
        <v>776.36</v>
      </c>
      <c r="H1452" s="6">
        <v>7</v>
      </c>
      <c r="I1452" s="2" t="s">
        <v>2117</v>
      </c>
      <c r="J1452" s="2" t="str">
        <v>Deploy Granular Channels</v>
      </c>
      <c r="K1452" s="2" t="str">
        <v>Furniture</v>
      </c>
      <c r="L1452" s="2" t="str">
        <v>Barnes Ltd</v>
      </c>
      <c r="M1452" s="2">
        <v>288.99</v>
      </c>
      <c r="N1452" s="16">
        <f t="shared" si="22"/>
        <v>0.29375863178008593</v>
      </c>
    </row>
    <row r="1453" spans="2:14" ht="14.4" customHeight="1" x14ac:dyDescent="0.3">
      <c r="B1453" s="2" t="s">
        <v>1458</v>
      </c>
      <c r="C1453" s="3">
        <v>44366</v>
      </c>
      <c r="D1453" s="2" t="s">
        <v>2011</v>
      </c>
      <c r="E1453" s="2" t="s">
        <v>2020</v>
      </c>
      <c r="F1453" s="4">
        <v>3299.25</v>
      </c>
      <c r="G1453" s="5">
        <v>811.05</v>
      </c>
      <c r="H1453" s="6">
        <v>18</v>
      </c>
      <c r="I1453" s="2" t="s">
        <v>2118</v>
      </c>
      <c r="J1453" s="2" t="str">
        <v>Harness Revolutionary Interfaces</v>
      </c>
      <c r="K1453" s="2" t="str">
        <v>Furniture</v>
      </c>
      <c r="L1453" s="2" t="str">
        <v>Davis, Short and Nguyen</v>
      </c>
      <c r="M1453" s="2">
        <v>26.49</v>
      </c>
      <c r="N1453" s="16">
        <f t="shared" si="22"/>
        <v>0.24582859740850191</v>
      </c>
    </row>
    <row r="1454" spans="2:14" ht="14.4" customHeight="1" x14ac:dyDescent="0.3">
      <c r="B1454" s="2" t="s">
        <v>1459</v>
      </c>
      <c r="C1454" s="3">
        <v>44862</v>
      </c>
      <c r="D1454" s="2" t="s">
        <v>2011</v>
      </c>
      <c r="E1454" s="2" t="s">
        <v>2013</v>
      </c>
      <c r="F1454" s="4">
        <v>1053.92</v>
      </c>
      <c r="G1454" s="5">
        <v>404.33</v>
      </c>
      <c r="H1454" s="6">
        <v>12</v>
      </c>
      <c r="I1454" s="2" t="s">
        <v>2117</v>
      </c>
      <c r="J1454" s="2" t="str">
        <v>Re-Intermediate Seamless Applications</v>
      </c>
      <c r="K1454" s="2" t="str">
        <v>Office Supplies</v>
      </c>
      <c r="L1454" s="2" t="str">
        <v>Welch-Reed</v>
      </c>
      <c r="M1454" s="2">
        <v>45.82</v>
      </c>
      <c r="N1454" s="16">
        <f t="shared" si="22"/>
        <v>0.38364391984211321</v>
      </c>
    </row>
    <row r="1455" spans="2:14" ht="14.4" customHeight="1" x14ac:dyDescent="0.3">
      <c r="B1455" s="2" t="s">
        <v>1460</v>
      </c>
      <c r="C1455" s="3">
        <v>44626</v>
      </c>
      <c r="D1455" s="2" t="s">
        <v>2012</v>
      </c>
      <c r="E1455" s="2" t="s">
        <v>2085</v>
      </c>
      <c r="F1455" s="4">
        <v>2499.44</v>
      </c>
      <c r="G1455" s="5">
        <v>913.02</v>
      </c>
      <c r="H1455" s="6">
        <v>8</v>
      </c>
      <c r="I1455" s="2" t="s">
        <v>2116</v>
      </c>
      <c r="J1455" s="2" t="str">
        <v>Incentivize User-Centric Mindshare</v>
      </c>
      <c r="K1455" s="2" t="str">
        <v>Electronics</v>
      </c>
      <c r="L1455" s="2" t="str">
        <v>Becker, Wright and Wong</v>
      </c>
      <c r="M1455" s="2">
        <v>38.51</v>
      </c>
      <c r="N1455" s="16">
        <f t="shared" si="22"/>
        <v>0.36528982492078221</v>
      </c>
    </row>
    <row r="1456" spans="2:14" ht="14.4" customHeight="1" x14ac:dyDescent="0.3">
      <c r="B1456" s="2" t="s">
        <v>1461</v>
      </c>
      <c r="C1456" s="3">
        <v>44390</v>
      </c>
      <c r="D1456" s="2" t="s">
        <v>2011</v>
      </c>
      <c r="E1456" s="2" t="s">
        <v>2040</v>
      </c>
      <c r="F1456" s="4">
        <v>2303.6999999999998</v>
      </c>
      <c r="G1456" s="5">
        <v>982.7</v>
      </c>
      <c r="H1456" s="6">
        <v>20</v>
      </c>
      <c r="I1456" s="2" t="s">
        <v>2118</v>
      </c>
      <c r="J1456" s="2" t="str">
        <v>Synergize End-To-End Supply-Chains</v>
      </c>
      <c r="K1456" s="2" t="str">
        <v>Office Supplies</v>
      </c>
      <c r="L1456" s="2" t="str">
        <v>Higgins-Espinoza</v>
      </c>
      <c r="M1456" s="2">
        <v>279.8</v>
      </c>
      <c r="N1456" s="16">
        <f t="shared" si="22"/>
        <v>0.42657464079524249</v>
      </c>
    </row>
    <row r="1457" spans="2:14" ht="14.4" customHeight="1" x14ac:dyDescent="0.3">
      <c r="B1457" s="2" t="s">
        <v>1462</v>
      </c>
      <c r="C1457" s="3">
        <v>44997</v>
      </c>
      <c r="D1457" s="2" t="s">
        <v>2009</v>
      </c>
      <c r="E1457" s="2" t="s">
        <v>2020</v>
      </c>
      <c r="F1457" s="4">
        <v>1737.99</v>
      </c>
      <c r="G1457" s="5">
        <v>661.17</v>
      </c>
      <c r="H1457" s="6">
        <v>9</v>
      </c>
      <c r="I1457" s="2" t="s">
        <v>2118</v>
      </c>
      <c r="J1457" s="2" t="str">
        <v>Harness Revolutionary Interfaces</v>
      </c>
      <c r="K1457" s="2" t="str">
        <v>Furniture</v>
      </c>
      <c r="L1457" s="2" t="str">
        <v>Davis, Short and Nguyen</v>
      </c>
      <c r="M1457" s="2">
        <v>26.49</v>
      </c>
      <c r="N1457" s="16">
        <f t="shared" si="22"/>
        <v>0.38042221186543074</v>
      </c>
    </row>
    <row r="1458" spans="2:14" ht="14.4" customHeight="1" x14ac:dyDescent="0.3">
      <c r="B1458" s="2" t="s">
        <v>1463</v>
      </c>
      <c r="C1458" s="3">
        <v>45243</v>
      </c>
      <c r="D1458" s="2" t="s">
        <v>2011</v>
      </c>
      <c r="E1458" s="2" t="s">
        <v>2077</v>
      </c>
      <c r="F1458" s="4">
        <v>4481.2700000000004</v>
      </c>
      <c r="G1458" s="5">
        <v>47.48</v>
      </c>
      <c r="H1458" s="6">
        <v>17</v>
      </c>
      <c r="I1458" s="2" t="s">
        <v>2118</v>
      </c>
      <c r="J1458" s="2" t="str">
        <v>Synthesize Wireless Initiatives</v>
      </c>
      <c r="K1458" s="2" t="str">
        <v>Electronics</v>
      </c>
      <c r="L1458" s="2" t="str">
        <v>Mosley Ltd</v>
      </c>
      <c r="M1458" s="2">
        <v>162.69999999999999</v>
      </c>
      <c r="N1458" s="16">
        <f t="shared" si="22"/>
        <v>1.0595210732671763E-2</v>
      </c>
    </row>
    <row r="1459" spans="2:14" ht="14.4" customHeight="1" x14ac:dyDescent="0.3">
      <c r="B1459" s="2" t="s">
        <v>1464</v>
      </c>
      <c r="C1459" s="3">
        <v>44666</v>
      </c>
      <c r="D1459" s="2" t="s">
        <v>2012</v>
      </c>
      <c r="E1459" s="2" t="s">
        <v>2077</v>
      </c>
      <c r="F1459" s="4">
        <v>1129.42</v>
      </c>
      <c r="G1459" s="5">
        <v>858.97</v>
      </c>
      <c r="H1459" s="6">
        <v>14</v>
      </c>
      <c r="I1459" s="2" t="s">
        <v>2117</v>
      </c>
      <c r="J1459" s="2" t="str">
        <v>Synthesize Wireless Initiatives</v>
      </c>
      <c r="K1459" s="2" t="str">
        <v>Electronics</v>
      </c>
      <c r="L1459" s="2" t="str">
        <v>Mosley Ltd</v>
      </c>
      <c r="M1459" s="2">
        <v>162.69999999999999</v>
      </c>
      <c r="N1459" s="16">
        <f t="shared" si="22"/>
        <v>0.76054080855660422</v>
      </c>
    </row>
    <row r="1460" spans="2:14" ht="14.4" customHeight="1" x14ac:dyDescent="0.3">
      <c r="B1460" s="2" t="s">
        <v>1465</v>
      </c>
      <c r="C1460" s="3">
        <v>44879</v>
      </c>
      <c r="D1460" s="2" t="s">
        <v>2009</v>
      </c>
      <c r="E1460" s="2" t="s">
        <v>2039</v>
      </c>
      <c r="F1460" s="4">
        <v>4889.49</v>
      </c>
      <c r="G1460" s="5">
        <v>692.67</v>
      </c>
      <c r="H1460" s="6">
        <v>7</v>
      </c>
      <c r="I1460" s="2" t="s">
        <v>2117</v>
      </c>
      <c r="J1460" s="2" t="str">
        <v>Empower Dot-Com Deliverables</v>
      </c>
      <c r="K1460" s="2" t="str">
        <v>Electronics</v>
      </c>
      <c r="L1460" s="2" t="str">
        <v>Davis LLC</v>
      </c>
      <c r="M1460" s="2">
        <v>250.66</v>
      </c>
      <c r="N1460" s="16">
        <f t="shared" si="22"/>
        <v>0.14166508163428088</v>
      </c>
    </row>
    <row r="1461" spans="2:14" ht="14.4" customHeight="1" x14ac:dyDescent="0.3">
      <c r="B1461" s="2" t="s">
        <v>1466</v>
      </c>
      <c r="C1461" s="3">
        <v>45032</v>
      </c>
      <c r="D1461" s="2" t="s">
        <v>2009</v>
      </c>
      <c r="E1461" s="2" t="s">
        <v>2022</v>
      </c>
      <c r="F1461" s="4">
        <v>4914.41</v>
      </c>
      <c r="G1461" s="5">
        <v>132.91999999999999</v>
      </c>
      <c r="H1461" s="6">
        <v>18</v>
      </c>
      <c r="I1461" s="2" t="s">
        <v>2118</v>
      </c>
      <c r="J1461" s="2" t="str">
        <v>Monetize Collaborative Metrics</v>
      </c>
      <c r="K1461" s="2" t="str">
        <v>Electronics</v>
      </c>
      <c r="L1461" s="2" t="str">
        <v>Ramirez-Brown</v>
      </c>
      <c r="M1461" s="2">
        <v>286.04000000000002</v>
      </c>
      <c r="N1461" s="16">
        <f t="shared" si="22"/>
        <v>2.7046990381347912E-2</v>
      </c>
    </row>
    <row r="1462" spans="2:14" ht="14.4" customHeight="1" x14ac:dyDescent="0.3">
      <c r="B1462" s="2" t="s">
        <v>1467</v>
      </c>
      <c r="C1462" s="3">
        <v>44121</v>
      </c>
      <c r="D1462" s="2" t="s">
        <v>2009</v>
      </c>
      <c r="E1462" s="2" t="s">
        <v>2064</v>
      </c>
      <c r="F1462" s="4">
        <v>1461.9</v>
      </c>
      <c r="G1462" s="5">
        <v>842.71</v>
      </c>
      <c r="H1462" s="6">
        <v>6</v>
      </c>
      <c r="I1462" s="2" t="s">
        <v>2118</v>
      </c>
      <c r="J1462" s="2" t="str">
        <v>Synergize E-Business Deliverables</v>
      </c>
      <c r="K1462" s="2" t="str">
        <v>Electronics</v>
      </c>
      <c r="L1462" s="2" t="str">
        <v>Crawford, Warren and Williams</v>
      </c>
      <c r="M1462" s="2">
        <v>125.93</v>
      </c>
      <c r="N1462" s="16">
        <f t="shared" si="22"/>
        <v>0.57644845748683216</v>
      </c>
    </row>
    <row r="1463" spans="2:14" ht="14.4" customHeight="1" x14ac:dyDescent="0.3">
      <c r="B1463" s="2" t="s">
        <v>1468</v>
      </c>
      <c r="C1463" s="3">
        <v>44352</v>
      </c>
      <c r="D1463" s="2" t="s">
        <v>2010</v>
      </c>
      <c r="E1463" s="2" t="s">
        <v>2062</v>
      </c>
      <c r="F1463" s="4">
        <v>4420.88</v>
      </c>
      <c r="G1463" s="5">
        <v>632.05999999999995</v>
      </c>
      <c r="H1463" s="6">
        <v>12</v>
      </c>
      <c r="I1463" s="2" t="s">
        <v>2116</v>
      </c>
      <c r="J1463" s="2" t="str">
        <v>Incubate Real-Time E-Tailers</v>
      </c>
      <c r="K1463" s="2" t="str">
        <v>Electronics</v>
      </c>
      <c r="L1463" s="2" t="str">
        <v>Johnson-Riley</v>
      </c>
      <c r="M1463" s="2">
        <v>86.67</v>
      </c>
      <c r="N1463" s="16">
        <f t="shared" si="22"/>
        <v>0.14297153507898877</v>
      </c>
    </row>
    <row r="1464" spans="2:14" ht="14.4" customHeight="1" x14ac:dyDescent="0.3">
      <c r="B1464" s="2" t="s">
        <v>1469</v>
      </c>
      <c r="C1464" s="3">
        <v>43871</v>
      </c>
      <c r="D1464" s="2" t="s">
        <v>2010</v>
      </c>
      <c r="E1464" s="2" t="s">
        <v>2063</v>
      </c>
      <c r="F1464" s="4">
        <v>2910.68</v>
      </c>
      <c r="G1464" s="5">
        <v>346.75</v>
      </c>
      <c r="H1464" s="6">
        <v>3</v>
      </c>
      <c r="I1464" s="2" t="s">
        <v>2116</v>
      </c>
      <c r="J1464" s="2" t="str">
        <v>Unleash End-To-End Web Services</v>
      </c>
      <c r="K1464" s="2" t="str">
        <v>Office Supplies</v>
      </c>
      <c r="L1464" s="2" t="str">
        <v>Jones Ltd</v>
      </c>
      <c r="M1464" s="2">
        <v>188.02</v>
      </c>
      <c r="N1464" s="16">
        <f t="shared" si="22"/>
        <v>0.1191302376077068</v>
      </c>
    </row>
    <row r="1465" spans="2:14" ht="14.4" customHeight="1" x14ac:dyDescent="0.3">
      <c r="B1465" s="2" t="s">
        <v>1470</v>
      </c>
      <c r="C1465" s="3">
        <v>44615</v>
      </c>
      <c r="D1465" s="2" t="s">
        <v>2010</v>
      </c>
      <c r="E1465" s="2" t="s">
        <v>2098</v>
      </c>
      <c r="F1465" s="4">
        <v>3441.03</v>
      </c>
      <c r="G1465" s="5">
        <v>320.76</v>
      </c>
      <c r="H1465" s="6">
        <v>19</v>
      </c>
      <c r="I1465" s="2" t="s">
        <v>2116</v>
      </c>
      <c r="J1465" s="2" t="str">
        <v>Deliver Viral Channels</v>
      </c>
      <c r="K1465" s="2" t="str">
        <v>Furniture</v>
      </c>
      <c r="L1465" s="2" t="str">
        <v>Parker LLC</v>
      </c>
      <c r="M1465" s="2">
        <v>45.41</v>
      </c>
      <c r="N1465" s="16">
        <f t="shared" si="22"/>
        <v>9.3216275359412723E-2</v>
      </c>
    </row>
    <row r="1466" spans="2:14" ht="14.4" customHeight="1" x14ac:dyDescent="0.3">
      <c r="B1466" s="2" t="s">
        <v>1471</v>
      </c>
      <c r="C1466" s="3">
        <v>44858</v>
      </c>
      <c r="D1466" s="2" t="s">
        <v>2012</v>
      </c>
      <c r="E1466" s="2" t="s">
        <v>2029</v>
      </c>
      <c r="F1466" s="4">
        <v>1764.26</v>
      </c>
      <c r="G1466" s="5">
        <v>300.52</v>
      </c>
      <c r="H1466" s="6">
        <v>19</v>
      </c>
      <c r="I1466" s="2" t="s">
        <v>2116</v>
      </c>
      <c r="J1466" s="2" t="str">
        <v>E-Enable Next-Generation Experiences</v>
      </c>
      <c r="K1466" s="2" t="str">
        <v>Furniture</v>
      </c>
      <c r="L1466" s="2" t="str">
        <v>Sanchez-Quinn</v>
      </c>
      <c r="M1466" s="2">
        <v>266.93</v>
      </c>
      <c r="N1466" s="16">
        <f t="shared" si="22"/>
        <v>0.17033770532687925</v>
      </c>
    </row>
    <row r="1467" spans="2:14" ht="14.4" customHeight="1" x14ac:dyDescent="0.3">
      <c r="B1467" s="2" t="s">
        <v>1472</v>
      </c>
      <c r="C1467" s="3">
        <v>43900</v>
      </c>
      <c r="D1467" s="2" t="s">
        <v>2009</v>
      </c>
      <c r="E1467" s="2" t="s">
        <v>2039</v>
      </c>
      <c r="F1467" s="4">
        <v>4151.6499999999996</v>
      </c>
      <c r="G1467" s="5">
        <v>15.77</v>
      </c>
      <c r="H1467" s="6">
        <v>5</v>
      </c>
      <c r="I1467" s="2" t="s">
        <v>2118</v>
      </c>
      <c r="J1467" s="2" t="str">
        <v>Empower Dot-Com Deliverables</v>
      </c>
      <c r="K1467" s="2" t="str">
        <v>Electronics</v>
      </c>
      <c r="L1467" s="2" t="str">
        <v>Davis LLC</v>
      </c>
      <c r="M1467" s="2">
        <v>250.66</v>
      </c>
      <c r="N1467" s="16">
        <f t="shared" si="22"/>
        <v>3.798489757084533E-3</v>
      </c>
    </row>
    <row r="1468" spans="2:14" ht="14.4" customHeight="1" x14ac:dyDescent="0.3">
      <c r="B1468" s="2" t="s">
        <v>1473</v>
      </c>
      <c r="C1468" s="3">
        <v>44585</v>
      </c>
      <c r="D1468" s="2" t="s">
        <v>2012</v>
      </c>
      <c r="E1468" s="2" t="s">
        <v>2066</v>
      </c>
      <c r="F1468" s="4">
        <v>2104.94</v>
      </c>
      <c r="G1468" s="5">
        <v>250.61</v>
      </c>
      <c r="H1468" s="6">
        <v>3</v>
      </c>
      <c r="I1468" s="2" t="s">
        <v>2116</v>
      </c>
      <c r="J1468" s="2" t="str">
        <v>Facilitate Integrated E-Business</v>
      </c>
      <c r="K1468" s="2" t="str">
        <v>Office Supplies</v>
      </c>
      <c r="L1468" s="2" t="str">
        <v>Chang-Vargas</v>
      </c>
      <c r="M1468" s="2">
        <v>130.33000000000001</v>
      </c>
      <c r="N1468" s="16">
        <f t="shared" si="22"/>
        <v>0.11905802540689996</v>
      </c>
    </row>
    <row r="1469" spans="2:14" ht="14.4" customHeight="1" x14ac:dyDescent="0.3">
      <c r="B1469" s="2" t="s">
        <v>1474</v>
      </c>
      <c r="C1469" s="3">
        <v>44470</v>
      </c>
      <c r="D1469" s="2" t="s">
        <v>2012</v>
      </c>
      <c r="E1469" s="2" t="s">
        <v>2098</v>
      </c>
      <c r="F1469" s="4">
        <v>3464.68</v>
      </c>
      <c r="G1469" s="5">
        <v>105.22</v>
      </c>
      <c r="H1469" s="6">
        <v>11</v>
      </c>
      <c r="I1469" s="2" t="s">
        <v>2118</v>
      </c>
      <c r="J1469" s="2" t="str">
        <v>Deliver Viral Channels</v>
      </c>
      <c r="K1469" s="2" t="str">
        <v>Furniture</v>
      </c>
      <c r="L1469" s="2" t="str">
        <v>Parker LLC</v>
      </c>
      <c r="M1469" s="2">
        <v>45.41</v>
      </c>
      <c r="N1469" s="16">
        <f t="shared" si="22"/>
        <v>3.0369327037417598E-2</v>
      </c>
    </row>
    <row r="1470" spans="2:14" ht="14.4" customHeight="1" x14ac:dyDescent="0.3">
      <c r="B1470" s="2" t="s">
        <v>1475</v>
      </c>
      <c r="C1470" s="3">
        <v>44712</v>
      </c>
      <c r="D1470" s="2" t="s">
        <v>2010</v>
      </c>
      <c r="E1470" s="2" t="s">
        <v>2027</v>
      </c>
      <c r="F1470" s="4">
        <v>1702.79</v>
      </c>
      <c r="G1470" s="5">
        <v>616.91999999999996</v>
      </c>
      <c r="H1470" s="6">
        <v>10</v>
      </c>
      <c r="I1470" s="2" t="s">
        <v>2116</v>
      </c>
      <c r="J1470" s="2" t="str">
        <v>Monetize Value-Added Niches</v>
      </c>
      <c r="K1470" s="2" t="str">
        <v>Office Supplies</v>
      </c>
      <c r="L1470" s="2" t="str">
        <v>Foster, Velazquez and Lee</v>
      </c>
      <c r="M1470" s="2">
        <v>171.51</v>
      </c>
      <c r="N1470" s="16">
        <f t="shared" si="22"/>
        <v>0.36229952019920247</v>
      </c>
    </row>
    <row r="1471" spans="2:14" ht="14.4" customHeight="1" x14ac:dyDescent="0.3">
      <c r="B1471" s="2" t="s">
        <v>1476</v>
      </c>
      <c r="C1471" s="3">
        <v>45366</v>
      </c>
      <c r="D1471" s="2" t="s">
        <v>2012</v>
      </c>
      <c r="E1471" s="2" t="s">
        <v>2069</v>
      </c>
      <c r="F1471" s="4">
        <v>313.83</v>
      </c>
      <c r="G1471" s="5">
        <v>531.13</v>
      </c>
      <c r="H1471" s="6">
        <v>5</v>
      </c>
      <c r="I1471" s="2" t="s">
        <v>2116</v>
      </c>
      <c r="J1471" s="2" t="str">
        <v>Optimize Transparent E-Markets</v>
      </c>
      <c r="K1471" s="2" t="str">
        <v>Office Supplies</v>
      </c>
      <c r="L1471" s="2" t="str">
        <v>Lee, Tyler and Blevins</v>
      </c>
      <c r="M1471" s="2">
        <v>111.22</v>
      </c>
      <c r="N1471" s="16">
        <f t="shared" si="22"/>
        <v>1.6924130898894307</v>
      </c>
    </row>
    <row r="1472" spans="2:14" ht="14.4" customHeight="1" x14ac:dyDescent="0.3">
      <c r="B1472" s="2" t="s">
        <v>1477</v>
      </c>
      <c r="C1472" s="3">
        <v>44110</v>
      </c>
      <c r="D1472" s="2" t="s">
        <v>2010</v>
      </c>
      <c r="E1472" s="2" t="s">
        <v>2029</v>
      </c>
      <c r="F1472" s="4">
        <v>1187.52</v>
      </c>
      <c r="G1472" s="5">
        <v>806.89</v>
      </c>
      <c r="H1472" s="6">
        <v>18</v>
      </c>
      <c r="I1472" s="2" t="s">
        <v>2118</v>
      </c>
      <c r="J1472" s="2" t="str">
        <v>E-Enable Next-Generation Experiences</v>
      </c>
      <c r="K1472" s="2" t="str">
        <v>Furniture</v>
      </c>
      <c r="L1472" s="2" t="str">
        <v>Sanchez-Quinn</v>
      </c>
      <c r="M1472" s="2">
        <v>266.93</v>
      </c>
      <c r="N1472" s="16">
        <f t="shared" si="22"/>
        <v>0.67947487200215573</v>
      </c>
    </row>
    <row r="1473" spans="2:14" ht="14.4" customHeight="1" x14ac:dyDescent="0.3">
      <c r="B1473" s="2" t="s">
        <v>1478</v>
      </c>
      <c r="C1473" s="3">
        <v>45300</v>
      </c>
      <c r="D1473" s="2" t="s">
        <v>2009</v>
      </c>
      <c r="E1473" s="2" t="s">
        <v>2099</v>
      </c>
      <c r="F1473" s="4">
        <v>477.01</v>
      </c>
      <c r="G1473" s="5">
        <v>814.94</v>
      </c>
      <c r="H1473" s="6">
        <v>6</v>
      </c>
      <c r="I1473" s="2" t="s">
        <v>2117</v>
      </c>
      <c r="J1473" s="2" t="str">
        <v>Synergize Cross-Platform Vortals</v>
      </c>
      <c r="K1473" s="2" t="str">
        <v>Furniture</v>
      </c>
      <c r="L1473" s="2" t="str">
        <v>Edwards Group</v>
      </c>
      <c r="M1473" s="2">
        <v>87.18</v>
      </c>
      <c r="N1473" s="16">
        <f t="shared" si="22"/>
        <v>1.7084337854552316</v>
      </c>
    </row>
    <row r="1474" spans="2:14" ht="14.4" customHeight="1" x14ac:dyDescent="0.3">
      <c r="B1474" s="2" t="s">
        <v>1479</v>
      </c>
      <c r="C1474" s="3">
        <v>45174</v>
      </c>
      <c r="D1474" s="2" t="s">
        <v>2009</v>
      </c>
      <c r="E1474" s="2" t="s">
        <v>2042</v>
      </c>
      <c r="F1474" s="4">
        <v>2210.8200000000002</v>
      </c>
      <c r="G1474" s="5">
        <v>658.97</v>
      </c>
      <c r="H1474" s="6">
        <v>4</v>
      </c>
      <c r="I1474" s="2" t="s">
        <v>2117</v>
      </c>
      <c r="J1474" s="2" t="str">
        <v>Orchestrate E-Business Niches</v>
      </c>
      <c r="K1474" s="2" t="str">
        <v>Furniture</v>
      </c>
      <c r="L1474" s="2" t="str">
        <v>Johnson LLC</v>
      </c>
      <c r="M1474" s="2">
        <v>198.99</v>
      </c>
      <c r="N1474" s="16">
        <f t="shared" si="22"/>
        <v>0.29806587600980633</v>
      </c>
    </row>
    <row r="1475" spans="2:14" ht="14.4" customHeight="1" x14ac:dyDescent="0.3">
      <c r="B1475" s="2" t="s">
        <v>1480</v>
      </c>
      <c r="C1475" s="3">
        <v>44625</v>
      </c>
      <c r="D1475" s="2" t="s">
        <v>2012</v>
      </c>
      <c r="E1475" s="2" t="s">
        <v>2037</v>
      </c>
      <c r="F1475" s="4">
        <v>4942.01</v>
      </c>
      <c r="G1475" s="5">
        <v>619.16999999999996</v>
      </c>
      <c r="H1475" s="6">
        <v>5</v>
      </c>
      <c r="I1475" s="2" t="s">
        <v>2116</v>
      </c>
      <c r="J1475" s="2" t="str">
        <v>Utilize Back-End Models</v>
      </c>
      <c r="K1475" s="2" t="str">
        <v>Furniture</v>
      </c>
      <c r="L1475" s="2" t="str">
        <v>Lewis-Holden</v>
      </c>
      <c r="M1475" s="2">
        <v>241.53</v>
      </c>
      <c r="N1475" s="16">
        <f t="shared" si="22"/>
        <v>0.12528707954860471</v>
      </c>
    </row>
    <row r="1476" spans="2:14" ht="14.4" customHeight="1" x14ac:dyDescent="0.3">
      <c r="B1476" s="2" t="s">
        <v>1481</v>
      </c>
      <c r="C1476" s="3">
        <v>44332</v>
      </c>
      <c r="D1476" s="2" t="s">
        <v>2012</v>
      </c>
      <c r="E1476" s="2" t="s">
        <v>2094</v>
      </c>
      <c r="F1476" s="4">
        <v>2688.5</v>
      </c>
      <c r="G1476" s="5">
        <v>181.31</v>
      </c>
      <c r="H1476" s="6">
        <v>14</v>
      </c>
      <c r="I1476" s="2" t="s">
        <v>2117</v>
      </c>
      <c r="J1476" s="2" t="str">
        <v>Implement Rich Platforms</v>
      </c>
      <c r="K1476" s="2" t="str">
        <v>Electronics</v>
      </c>
      <c r="L1476" s="2" t="str">
        <v>Parker, Anderson and Salazar</v>
      </c>
      <c r="M1476" s="2">
        <v>53.59</v>
      </c>
      <c r="N1476" s="16">
        <f t="shared" si="22"/>
        <v>6.7439092430723449E-2</v>
      </c>
    </row>
    <row r="1477" spans="2:14" ht="14.4" customHeight="1" x14ac:dyDescent="0.3">
      <c r="B1477" s="2" t="s">
        <v>1482</v>
      </c>
      <c r="C1477" s="3">
        <v>44585</v>
      </c>
      <c r="D1477" s="2" t="s">
        <v>2011</v>
      </c>
      <c r="E1477" s="2" t="s">
        <v>2096</v>
      </c>
      <c r="F1477" s="4">
        <v>2427.8200000000002</v>
      </c>
      <c r="G1477" s="5">
        <v>509.1</v>
      </c>
      <c r="H1477" s="6">
        <v>12</v>
      </c>
      <c r="I1477" s="2" t="s">
        <v>2117</v>
      </c>
      <c r="J1477" s="2" t="str">
        <v>Disintermediate Scalable Bandwidth</v>
      </c>
      <c r="K1477" s="2" t="str">
        <v>Electronics</v>
      </c>
      <c r="L1477" s="2" t="str">
        <v>Levy PLC</v>
      </c>
      <c r="M1477" s="2">
        <v>19.86</v>
      </c>
      <c r="N1477" s="16">
        <f t="shared" ref="N1477:N1540" si="23">(G1477/F1477)</f>
        <v>0.20969429364615169</v>
      </c>
    </row>
    <row r="1478" spans="2:14" ht="14.4" customHeight="1" x14ac:dyDescent="0.3">
      <c r="B1478" s="2" t="s">
        <v>1483</v>
      </c>
      <c r="C1478" s="3">
        <v>44365</v>
      </c>
      <c r="D1478" s="2" t="s">
        <v>2012</v>
      </c>
      <c r="E1478" s="2" t="s">
        <v>2111</v>
      </c>
      <c r="F1478" s="4">
        <v>3127.87</v>
      </c>
      <c r="G1478" s="5">
        <v>456.36</v>
      </c>
      <c r="H1478" s="6">
        <v>3</v>
      </c>
      <c r="I1478" s="2" t="s">
        <v>2117</v>
      </c>
      <c r="J1478" s="2" t="str">
        <v>Evolve Intuitive Bandwidth</v>
      </c>
      <c r="K1478" s="2" t="str">
        <v>Office Supplies</v>
      </c>
      <c r="L1478" s="2" t="str">
        <v>Rogers Group</v>
      </c>
      <c r="M1478" s="2">
        <v>131.63</v>
      </c>
      <c r="N1478" s="16">
        <f t="shared" si="23"/>
        <v>0.14590120433393972</v>
      </c>
    </row>
    <row r="1479" spans="2:14" ht="14.4" customHeight="1" x14ac:dyDescent="0.3">
      <c r="B1479" s="2" t="s">
        <v>1484</v>
      </c>
      <c r="C1479" s="3">
        <v>44312</v>
      </c>
      <c r="D1479" s="2" t="s">
        <v>2010</v>
      </c>
      <c r="E1479" s="2" t="s">
        <v>2015</v>
      </c>
      <c r="F1479" s="4">
        <v>1727.88</v>
      </c>
      <c r="G1479" s="5">
        <v>794.76</v>
      </c>
      <c r="H1479" s="6">
        <v>12</v>
      </c>
      <c r="I1479" s="2" t="s">
        <v>2118</v>
      </c>
      <c r="J1479" s="2" t="str">
        <v>Brand Web-Enabled Solutions</v>
      </c>
      <c r="K1479" s="2" t="str">
        <v>Electronics</v>
      </c>
      <c r="L1479" s="2" t="str">
        <v>Russell Group</v>
      </c>
      <c r="M1479" s="2">
        <v>51.67</v>
      </c>
      <c r="N1479" s="16">
        <f t="shared" si="23"/>
        <v>0.45996249739565243</v>
      </c>
    </row>
    <row r="1480" spans="2:14" ht="14.4" customHeight="1" x14ac:dyDescent="0.3">
      <c r="B1480" s="2" t="s">
        <v>1485</v>
      </c>
      <c r="C1480" s="3">
        <v>45447</v>
      </c>
      <c r="D1480" s="2" t="s">
        <v>2012</v>
      </c>
      <c r="E1480" s="2" t="s">
        <v>2059</v>
      </c>
      <c r="F1480" s="4">
        <v>3037.03</v>
      </c>
      <c r="G1480" s="5">
        <v>805.65</v>
      </c>
      <c r="H1480" s="6">
        <v>16</v>
      </c>
      <c r="I1480" s="2" t="s">
        <v>2117</v>
      </c>
      <c r="J1480" s="2" t="str">
        <v>Redefine Real-Time Convergence</v>
      </c>
      <c r="K1480" s="2" t="str">
        <v>Electronics</v>
      </c>
      <c r="L1480" s="2" t="str">
        <v>Hayes, Peters and Douglas</v>
      </c>
      <c r="M1480" s="2">
        <v>78.260000000000005</v>
      </c>
      <c r="N1480" s="16">
        <f t="shared" si="23"/>
        <v>0.26527561466300958</v>
      </c>
    </row>
    <row r="1481" spans="2:14" ht="14.4" customHeight="1" x14ac:dyDescent="0.3">
      <c r="B1481" s="2" t="s">
        <v>1486</v>
      </c>
      <c r="C1481" s="3">
        <v>44811</v>
      </c>
      <c r="D1481" s="2" t="s">
        <v>2010</v>
      </c>
      <c r="E1481" s="2" t="s">
        <v>2032</v>
      </c>
      <c r="F1481" s="4">
        <v>528.20000000000005</v>
      </c>
      <c r="G1481" s="5">
        <v>645.54999999999995</v>
      </c>
      <c r="H1481" s="6">
        <v>18</v>
      </c>
      <c r="I1481" s="2" t="s">
        <v>2117</v>
      </c>
      <c r="J1481" s="2" t="str">
        <v>Reinvent Frictionless Roi</v>
      </c>
      <c r="K1481" s="2" t="str">
        <v>Furniture</v>
      </c>
      <c r="L1481" s="2" t="str">
        <v>Bridges, Castillo and Rodriguez</v>
      </c>
      <c r="M1481" s="2">
        <v>253.89</v>
      </c>
      <c r="N1481" s="16">
        <f t="shared" si="23"/>
        <v>1.2221696327148805</v>
      </c>
    </row>
    <row r="1482" spans="2:14" ht="14.4" customHeight="1" x14ac:dyDescent="0.3">
      <c r="B1482" s="2" t="s">
        <v>1487</v>
      </c>
      <c r="C1482" s="3">
        <v>45035</v>
      </c>
      <c r="D1482" s="2" t="s">
        <v>2011</v>
      </c>
      <c r="E1482" s="2" t="s">
        <v>2086</v>
      </c>
      <c r="F1482" s="4">
        <v>3856.01</v>
      </c>
      <c r="G1482" s="5">
        <v>697.4</v>
      </c>
      <c r="H1482" s="6">
        <v>6</v>
      </c>
      <c r="I1482" s="2" t="s">
        <v>2117</v>
      </c>
      <c r="J1482" s="2" t="str">
        <v>Harness Proactive Eyeballs</v>
      </c>
      <c r="K1482" s="2" t="str">
        <v>Electronics</v>
      </c>
      <c r="L1482" s="2" t="str">
        <v>Moran and Sons</v>
      </c>
      <c r="M1482" s="2">
        <v>58.01</v>
      </c>
      <c r="N1482" s="16">
        <f t="shared" si="23"/>
        <v>0.18086052681398646</v>
      </c>
    </row>
    <row r="1483" spans="2:14" ht="14.4" customHeight="1" x14ac:dyDescent="0.3">
      <c r="B1483" s="2" t="s">
        <v>1488</v>
      </c>
      <c r="C1483" s="3">
        <v>45099</v>
      </c>
      <c r="D1483" s="2" t="s">
        <v>2010</v>
      </c>
      <c r="E1483" s="2" t="s">
        <v>2068</v>
      </c>
      <c r="F1483" s="4">
        <v>167.89</v>
      </c>
      <c r="G1483" s="5">
        <v>505.57</v>
      </c>
      <c r="H1483" s="6">
        <v>8</v>
      </c>
      <c r="I1483" s="2" t="s">
        <v>2117</v>
      </c>
      <c r="J1483" s="2" t="str">
        <v>E-Enable Virtual Methodologies</v>
      </c>
      <c r="K1483" s="2" t="str">
        <v>Office Supplies</v>
      </c>
      <c r="L1483" s="2" t="str">
        <v>Floyd-Love</v>
      </c>
      <c r="M1483" s="2">
        <v>283.64999999999998</v>
      </c>
      <c r="N1483" s="16">
        <f t="shared" si="23"/>
        <v>3.0113169337065937</v>
      </c>
    </row>
    <row r="1484" spans="2:14" ht="14.4" customHeight="1" x14ac:dyDescent="0.3">
      <c r="B1484" s="2" t="s">
        <v>1489</v>
      </c>
      <c r="C1484" s="3">
        <v>44915</v>
      </c>
      <c r="D1484" s="2" t="s">
        <v>2009</v>
      </c>
      <c r="E1484" s="2" t="s">
        <v>2073</v>
      </c>
      <c r="F1484" s="4">
        <v>4360.66</v>
      </c>
      <c r="G1484" s="5">
        <v>773.54</v>
      </c>
      <c r="H1484" s="6">
        <v>15</v>
      </c>
      <c r="I1484" s="2" t="s">
        <v>2117</v>
      </c>
      <c r="J1484" s="2" t="str">
        <v>Visualize Dynamic E-Commerce</v>
      </c>
      <c r="K1484" s="2" t="str">
        <v>Furniture</v>
      </c>
      <c r="L1484" s="2" t="str">
        <v>Jones LLC</v>
      </c>
      <c r="M1484" s="2">
        <v>92.61</v>
      </c>
      <c r="N1484" s="16">
        <f t="shared" si="23"/>
        <v>0.17739057849041201</v>
      </c>
    </row>
    <row r="1485" spans="2:14" ht="14.4" customHeight="1" x14ac:dyDescent="0.3">
      <c r="B1485" s="2" t="s">
        <v>1490</v>
      </c>
      <c r="C1485" s="3">
        <v>45221</v>
      </c>
      <c r="D1485" s="2" t="s">
        <v>2011</v>
      </c>
      <c r="E1485" s="2" t="s">
        <v>2090</v>
      </c>
      <c r="F1485" s="4">
        <v>4227.76</v>
      </c>
      <c r="G1485" s="5">
        <v>648.34</v>
      </c>
      <c r="H1485" s="6">
        <v>10</v>
      </c>
      <c r="I1485" s="2" t="s">
        <v>2117</v>
      </c>
      <c r="J1485" s="2" t="str">
        <v>Empower Bleeding-Edge Action-Items</v>
      </c>
      <c r="K1485" s="2" t="str">
        <v>Furniture</v>
      </c>
      <c r="L1485" s="2" t="str">
        <v>Gray, Hayes and Banks</v>
      </c>
      <c r="M1485" s="2">
        <v>204.26</v>
      </c>
      <c r="N1485" s="16">
        <f t="shared" si="23"/>
        <v>0.15335307586050295</v>
      </c>
    </row>
    <row r="1486" spans="2:14" ht="14.4" customHeight="1" x14ac:dyDescent="0.3">
      <c r="B1486" s="2" t="s">
        <v>1491</v>
      </c>
      <c r="C1486" s="3">
        <v>45359</v>
      </c>
      <c r="D1486" s="2" t="s">
        <v>2009</v>
      </c>
      <c r="E1486" s="2" t="s">
        <v>2112</v>
      </c>
      <c r="F1486" s="4">
        <v>4864.29</v>
      </c>
      <c r="G1486" s="5">
        <v>686.79</v>
      </c>
      <c r="H1486" s="6">
        <v>17</v>
      </c>
      <c r="I1486" s="2" t="s">
        <v>2116</v>
      </c>
      <c r="J1486" s="2" t="str">
        <v>Mesh B2B Platforms</v>
      </c>
      <c r="K1486" s="2" t="str">
        <v>Furniture</v>
      </c>
      <c r="L1486" s="2" t="str">
        <v>Stevens, Walton and Riddle</v>
      </c>
      <c r="M1486" s="2">
        <v>236.57</v>
      </c>
      <c r="N1486" s="16">
        <f t="shared" si="23"/>
        <v>0.14119018397340619</v>
      </c>
    </row>
    <row r="1487" spans="2:14" ht="14.4" customHeight="1" x14ac:dyDescent="0.3">
      <c r="B1487" s="2" t="s">
        <v>1492</v>
      </c>
      <c r="C1487" s="3">
        <v>43926</v>
      </c>
      <c r="D1487" s="2" t="s">
        <v>2009</v>
      </c>
      <c r="E1487" s="2" t="s">
        <v>2101</v>
      </c>
      <c r="F1487" s="4">
        <v>3037.31</v>
      </c>
      <c r="G1487" s="5">
        <v>422.45</v>
      </c>
      <c r="H1487" s="6">
        <v>14</v>
      </c>
      <c r="I1487" s="2" t="s">
        <v>2118</v>
      </c>
      <c r="J1487" s="2" t="str">
        <v>Deploy Granular Channels</v>
      </c>
      <c r="K1487" s="2" t="str">
        <v>Furniture</v>
      </c>
      <c r="L1487" s="2" t="str">
        <v>Barnes Ltd</v>
      </c>
      <c r="M1487" s="2">
        <v>288.99</v>
      </c>
      <c r="N1487" s="16">
        <f t="shared" si="23"/>
        <v>0.13908688938567351</v>
      </c>
    </row>
    <row r="1488" spans="2:14" ht="14.4" customHeight="1" x14ac:dyDescent="0.3">
      <c r="B1488" s="2" t="s">
        <v>1493</v>
      </c>
      <c r="C1488" s="3">
        <v>45095</v>
      </c>
      <c r="D1488" s="2" t="s">
        <v>2012</v>
      </c>
      <c r="E1488" s="2" t="s">
        <v>2036</v>
      </c>
      <c r="F1488" s="4">
        <v>2639.62</v>
      </c>
      <c r="G1488" s="5">
        <v>923.18</v>
      </c>
      <c r="H1488" s="6">
        <v>3</v>
      </c>
      <c r="I1488" s="2" t="s">
        <v>2118</v>
      </c>
      <c r="J1488" s="2" t="str">
        <v>Innovate Strategic Systems</v>
      </c>
      <c r="K1488" s="2" t="str">
        <v>Office Supplies</v>
      </c>
      <c r="L1488" s="2" t="str">
        <v>Mcfarland, Parker and Armstrong</v>
      </c>
      <c r="M1488" s="2">
        <v>70.239999999999995</v>
      </c>
      <c r="N1488" s="16">
        <f t="shared" si="23"/>
        <v>0.34973973526492447</v>
      </c>
    </row>
    <row r="1489" spans="2:14" ht="14.4" customHeight="1" x14ac:dyDescent="0.3">
      <c r="B1489" s="2" t="s">
        <v>1494</v>
      </c>
      <c r="C1489" s="3">
        <v>43895</v>
      </c>
      <c r="D1489" s="2" t="s">
        <v>2010</v>
      </c>
      <c r="E1489" s="2" t="s">
        <v>2055</v>
      </c>
      <c r="F1489" s="4">
        <v>3853.22</v>
      </c>
      <c r="G1489" s="5">
        <v>851.68</v>
      </c>
      <c r="H1489" s="6">
        <v>4</v>
      </c>
      <c r="I1489" s="2" t="s">
        <v>2116</v>
      </c>
      <c r="J1489" s="2" t="str">
        <v>Engineer Real-Time Architectures</v>
      </c>
      <c r="K1489" s="2" t="str">
        <v>Furniture</v>
      </c>
      <c r="L1489" s="2" t="str">
        <v>James and Sons</v>
      </c>
      <c r="M1489" s="2">
        <v>127.23</v>
      </c>
      <c r="N1489" s="16">
        <f t="shared" si="23"/>
        <v>0.22103072235688592</v>
      </c>
    </row>
    <row r="1490" spans="2:14" ht="14.4" customHeight="1" x14ac:dyDescent="0.3">
      <c r="B1490" s="2" t="s">
        <v>1495</v>
      </c>
      <c r="C1490" s="3">
        <v>44267</v>
      </c>
      <c r="D1490" s="2" t="s">
        <v>2012</v>
      </c>
      <c r="E1490" s="2" t="s">
        <v>2109</v>
      </c>
      <c r="F1490" s="4">
        <v>1907.94</v>
      </c>
      <c r="G1490" s="5">
        <v>984.85</v>
      </c>
      <c r="H1490" s="6">
        <v>18</v>
      </c>
      <c r="I1490" s="2" t="s">
        <v>2117</v>
      </c>
      <c r="J1490" s="2" t="str">
        <v>Deliver Viral Eyeballs</v>
      </c>
      <c r="K1490" s="2" t="str">
        <v>Office Supplies</v>
      </c>
      <c r="L1490" s="2" t="str">
        <v>Estes, Chan and Thomas</v>
      </c>
      <c r="M1490" s="2">
        <v>16.89</v>
      </c>
      <c r="N1490" s="16">
        <f t="shared" si="23"/>
        <v>0.51618499533528306</v>
      </c>
    </row>
    <row r="1491" spans="2:14" ht="14.4" customHeight="1" x14ac:dyDescent="0.3">
      <c r="B1491" s="2" t="s">
        <v>1496</v>
      </c>
      <c r="C1491" s="3">
        <v>43926</v>
      </c>
      <c r="D1491" s="2" t="s">
        <v>2011</v>
      </c>
      <c r="E1491" s="2" t="s">
        <v>2093</v>
      </c>
      <c r="F1491" s="4">
        <v>2838.34</v>
      </c>
      <c r="G1491" s="5">
        <v>609.39</v>
      </c>
      <c r="H1491" s="6">
        <v>9</v>
      </c>
      <c r="I1491" s="2" t="s">
        <v>2117</v>
      </c>
      <c r="J1491" s="2" t="str">
        <v>Synergize Frictionless Synergies</v>
      </c>
      <c r="K1491" s="2" t="str">
        <v>Furniture</v>
      </c>
      <c r="L1491" s="2" t="str">
        <v>Hester and Sons</v>
      </c>
      <c r="M1491" s="2">
        <v>289.06</v>
      </c>
      <c r="N1491" s="16">
        <f t="shared" si="23"/>
        <v>0.21469943699486319</v>
      </c>
    </row>
    <row r="1492" spans="2:14" ht="14.4" customHeight="1" x14ac:dyDescent="0.3">
      <c r="B1492" s="2" t="s">
        <v>1497</v>
      </c>
      <c r="C1492" s="3">
        <v>45483</v>
      </c>
      <c r="D1492" s="2" t="s">
        <v>2012</v>
      </c>
      <c r="E1492" s="2" t="s">
        <v>2089</v>
      </c>
      <c r="F1492" s="4">
        <v>3953.69</v>
      </c>
      <c r="G1492" s="5">
        <v>966.66</v>
      </c>
      <c r="H1492" s="6">
        <v>3</v>
      </c>
      <c r="I1492" s="2" t="s">
        <v>2117</v>
      </c>
      <c r="J1492" s="2" t="str">
        <v>Morph World-Class Synergies</v>
      </c>
      <c r="K1492" s="2" t="str">
        <v>Electronics</v>
      </c>
      <c r="L1492" s="2" t="str">
        <v>Bryant Ltd</v>
      </c>
      <c r="M1492" s="2">
        <v>20.69</v>
      </c>
      <c r="N1492" s="16">
        <f t="shared" si="23"/>
        <v>0.24449564836899199</v>
      </c>
    </row>
    <row r="1493" spans="2:14" ht="14.4" customHeight="1" x14ac:dyDescent="0.3">
      <c r="B1493" s="2" t="s">
        <v>1498</v>
      </c>
      <c r="C1493" s="3">
        <v>45589</v>
      </c>
      <c r="D1493" s="2" t="s">
        <v>2009</v>
      </c>
      <c r="E1493" s="2" t="s">
        <v>2041</v>
      </c>
      <c r="F1493" s="4">
        <v>4643.3500000000004</v>
      </c>
      <c r="G1493" s="5">
        <v>781.42</v>
      </c>
      <c r="H1493" s="6">
        <v>17</v>
      </c>
      <c r="I1493" s="2" t="s">
        <v>2116</v>
      </c>
      <c r="J1493" s="2" t="str">
        <v>Expedite Synergistic Web-Readiness</v>
      </c>
      <c r="K1493" s="2" t="str">
        <v>Electronics</v>
      </c>
      <c r="L1493" s="2" t="str">
        <v>Dunlap, Carpenter and Monroe</v>
      </c>
      <c r="M1493" s="2">
        <v>289.66000000000003</v>
      </c>
      <c r="N1493" s="16">
        <f t="shared" si="23"/>
        <v>0.16828798173732323</v>
      </c>
    </row>
    <row r="1494" spans="2:14" ht="14.4" customHeight="1" x14ac:dyDescent="0.3">
      <c r="B1494" s="2" t="s">
        <v>1499</v>
      </c>
      <c r="C1494" s="3">
        <v>44076</v>
      </c>
      <c r="D1494" s="2" t="s">
        <v>2012</v>
      </c>
      <c r="E1494" s="2" t="s">
        <v>2038</v>
      </c>
      <c r="F1494" s="4">
        <v>109.72</v>
      </c>
      <c r="G1494" s="5">
        <v>879.28</v>
      </c>
      <c r="H1494" s="6">
        <v>12</v>
      </c>
      <c r="I1494" s="2" t="s">
        <v>2116</v>
      </c>
      <c r="J1494" s="2" t="str">
        <v>Reinvent Mission-Critical Markets</v>
      </c>
      <c r="K1494" s="2" t="str">
        <v>Furniture</v>
      </c>
      <c r="L1494" s="2" t="str">
        <v>Gilbert-Sanders</v>
      </c>
      <c r="M1494" s="2">
        <v>154.21</v>
      </c>
      <c r="N1494" s="16">
        <f t="shared" si="23"/>
        <v>8.0138534451330656</v>
      </c>
    </row>
    <row r="1495" spans="2:14" ht="14.4" customHeight="1" x14ac:dyDescent="0.3">
      <c r="B1495" s="2" t="s">
        <v>1500</v>
      </c>
      <c r="C1495" s="3">
        <v>44845</v>
      </c>
      <c r="D1495" s="2" t="s">
        <v>2012</v>
      </c>
      <c r="E1495" s="2" t="s">
        <v>2077</v>
      </c>
      <c r="F1495" s="4">
        <v>4834.57</v>
      </c>
      <c r="G1495" s="5">
        <v>61.6</v>
      </c>
      <c r="H1495" s="6">
        <v>16</v>
      </c>
      <c r="I1495" s="2" t="s">
        <v>2116</v>
      </c>
      <c r="J1495" s="2" t="str">
        <v>Synthesize Wireless Initiatives</v>
      </c>
      <c r="K1495" s="2" t="str">
        <v>Electronics</v>
      </c>
      <c r="L1495" s="2" t="str">
        <v>Mosley Ltd</v>
      </c>
      <c r="M1495" s="2">
        <v>162.69999999999999</v>
      </c>
      <c r="N1495" s="16">
        <f t="shared" si="23"/>
        <v>1.2741567502383875E-2</v>
      </c>
    </row>
    <row r="1496" spans="2:14" ht="14.4" customHeight="1" x14ac:dyDescent="0.3">
      <c r="B1496" s="2" t="s">
        <v>1501</v>
      </c>
      <c r="C1496" s="3">
        <v>44816</v>
      </c>
      <c r="D1496" s="2" t="s">
        <v>2012</v>
      </c>
      <c r="E1496" s="2" t="s">
        <v>2085</v>
      </c>
      <c r="F1496" s="4">
        <v>4870.43</v>
      </c>
      <c r="G1496" s="5">
        <v>343.28</v>
      </c>
      <c r="H1496" s="6">
        <v>8</v>
      </c>
      <c r="I1496" s="2" t="s">
        <v>2116</v>
      </c>
      <c r="J1496" s="2" t="str">
        <v>Incentivize User-Centric Mindshare</v>
      </c>
      <c r="K1496" s="2" t="str">
        <v>Electronics</v>
      </c>
      <c r="L1496" s="2" t="str">
        <v>Becker, Wright and Wong</v>
      </c>
      <c r="M1496" s="2">
        <v>38.51</v>
      </c>
      <c r="N1496" s="16">
        <f t="shared" si="23"/>
        <v>7.0482483066176896E-2</v>
      </c>
    </row>
    <row r="1497" spans="2:14" ht="14.4" customHeight="1" x14ac:dyDescent="0.3">
      <c r="B1497" s="2" t="s">
        <v>1502</v>
      </c>
      <c r="C1497" s="3">
        <v>44887</v>
      </c>
      <c r="D1497" s="2" t="s">
        <v>2009</v>
      </c>
      <c r="E1497" s="2" t="s">
        <v>2076</v>
      </c>
      <c r="F1497" s="4">
        <v>4704.21</v>
      </c>
      <c r="G1497" s="5">
        <v>679.78</v>
      </c>
      <c r="H1497" s="6">
        <v>20</v>
      </c>
      <c r="I1497" s="2" t="s">
        <v>2118</v>
      </c>
      <c r="J1497" s="2" t="str">
        <v>Deliver Extensible Partnerships</v>
      </c>
      <c r="K1497" s="2" t="str">
        <v>Furniture</v>
      </c>
      <c r="L1497" s="2" t="str">
        <v>Martin, Paul and Salazar</v>
      </c>
      <c r="M1497" s="2">
        <v>43.76</v>
      </c>
      <c r="N1497" s="16">
        <f t="shared" si="23"/>
        <v>0.14450460332340606</v>
      </c>
    </row>
    <row r="1498" spans="2:14" ht="14.4" customHeight="1" x14ac:dyDescent="0.3">
      <c r="B1498" s="2" t="s">
        <v>1503</v>
      </c>
      <c r="C1498" s="3">
        <v>44381</v>
      </c>
      <c r="D1498" s="2" t="s">
        <v>2010</v>
      </c>
      <c r="E1498" s="2" t="s">
        <v>2066</v>
      </c>
      <c r="F1498" s="4">
        <v>2616.7199999999998</v>
      </c>
      <c r="G1498" s="5">
        <v>409.45</v>
      </c>
      <c r="H1498" s="6">
        <v>7</v>
      </c>
      <c r="I1498" s="2" t="s">
        <v>2117</v>
      </c>
      <c r="J1498" s="2" t="str">
        <v>Facilitate Integrated E-Business</v>
      </c>
      <c r="K1498" s="2" t="str">
        <v>Office Supplies</v>
      </c>
      <c r="L1498" s="2" t="str">
        <v>Chang-Vargas</v>
      </c>
      <c r="M1498" s="2">
        <v>130.33000000000001</v>
      </c>
      <c r="N1498" s="16">
        <f t="shared" si="23"/>
        <v>0.15647451771683635</v>
      </c>
    </row>
    <row r="1499" spans="2:14" ht="14.4" customHeight="1" x14ac:dyDescent="0.3">
      <c r="B1499" s="2" t="s">
        <v>1504</v>
      </c>
      <c r="C1499" s="3">
        <v>44194</v>
      </c>
      <c r="D1499" s="2" t="s">
        <v>2009</v>
      </c>
      <c r="E1499" s="2" t="s">
        <v>2016</v>
      </c>
      <c r="F1499" s="4">
        <v>3780.64</v>
      </c>
      <c r="G1499" s="5">
        <v>511.29</v>
      </c>
      <c r="H1499" s="6">
        <v>3</v>
      </c>
      <c r="I1499" s="2" t="s">
        <v>2118</v>
      </c>
      <c r="J1499" s="2" t="str">
        <v>Revolutionize Efficient Niches</v>
      </c>
      <c r="K1499" s="2" t="str">
        <v>Electronics</v>
      </c>
      <c r="L1499" s="2" t="str">
        <v>Lopez-Torres</v>
      </c>
      <c r="M1499" s="2">
        <v>23.02</v>
      </c>
      <c r="N1499" s="16">
        <f t="shared" si="23"/>
        <v>0.1352390071522282</v>
      </c>
    </row>
    <row r="1500" spans="2:14" ht="14.4" customHeight="1" x14ac:dyDescent="0.3">
      <c r="B1500" s="2" t="s">
        <v>1505</v>
      </c>
      <c r="C1500" s="3">
        <v>44831</v>
      </c>
      <c r="D1500" s="2" t="s">
        <v>2010</v>
      </c>
      <c r="E1500" s="2" t="s">
        <v>2067</v>
      </c>
      <c r="F1500" s="4">
        <v>1821.65</v>
      </c>
      <c r="G1500" s="5">
        <v>104.35</v>
      </c>
      <c r="H1500" s="6">
        <v>9</v>
      </c>
      <c r="I1500" s="2" t="s">
        <v>2116</v>
      </c>
      <c r="J1500" s="2" t="str">
        <v>Transition Compelling Web-Readiness</v>
      </c>
      <c r="K1500" s="2" t="str">
        <v>Furniture</v>
      </c>
      <c r="L1500" s="2" t="str">
        <v>Wood-Beck</v>
      </c>
      <c r="M1500" s="2">
        <v>88.34</v>
      </c>
      <c r="N1500" s="16">
        <f t="shared" si="23"/>
        <v>5.7283232234512663E-2</v>
      </c>
    </row>
    <row r="1501" spans="2:14" ht="14.4" customHeight="1" x14ac:dyDescent="0.3">
      <c r="B1501" s="2" t="s">
        <v>1506</v>
      </c>
      <c r="C1501" s="3">
        <v>45331</v>
      </c>
      <c r="D1501" s="2" t="s">
        <v>2011</v>
      </c>
      <c r="E1501" s="2" t="s">
        <v>2054</v>
      </c>
      <c r="F1501" s="4">
        <v>3984.89</v>
      </c>
      <c r="G1501" s="5">
        <v>800.38</v>
      </c>
      <c r="H1501" s="6">
        <v>11</v>
      </c>
      <c r="I1501" s="2" t="s">
        <v>2118</v>
      </c>
      <c r="J1501" s="2" t="str">
        <v>Empower Killer Info-Mediaries</v>
      </c>
      <c r="K1501" s="2" t="str">
        <v>Furniture</v>
      </c>
      <c r="L1501" s="2" t="str">
        <v>Jones Ltd</v>
      </c>
      <c r="M1501" s="2">
        <v>213.24</v>
      </c>
      <c r="N1501" s="16">
        <f t="shared" si="23"/>
        <v>0.20085372494598347</v>
      </c>
    </row>
    <row r="1502" spans="2:14" ht="14.4" customHeight="1" x14ac:dyDescent="0.3">
      <c r="B1502" s="2" t="s">
        <v>1507</v>
      </c>
      <c r="C1502" s="3">
        <v>45339</v>
      </c>
      <c r="D1502" s="2" t="s">
        <v>2009</v>
      </c>
      <c r="E1502" s="2" t="s">
        <v>2083</v>
      </c>
      <c r="F1502" s="4">
        <v>984.2</v>
      </c>
      <c r="G1502" s="5">
        <v>546.08000000000004</v>
      </c>
      <c r="H1502" s="6">
        <v>7</v>
      </c>
      <c r="I1502" s="2" t="s">
        <v>2117</v>
      </c>
      <c r="J1502" s="2" t="str">
        <v>Whiteboard Sticky Content</v>
      </c>
      <c r="K1502" s="2" t="str">
        <v>Furniture</v>
      </c>
      <c r="L1502" s="2" t="str">
        <v>Wolfe Group</v>
      </c>
      <c r="M1502" s="2">
        <v>82.16</v>
      </c>
      <c r="N1502" s="16">
        <f t="shared" si="23"/>
        <v>0.55484657589920749</v>
      </c>
    </row>
    <row r="1503" spans="2:14" ht="14.4" customHeight="1" x14ac:dyDescent="0.3">
      <c r="B1503" s="2" t="s">
        <v>1508</v>
      </c>
      <c r="C1503" s="3">
        <v>44788</v>
      </c>
      <c r="D1503" s="2" t="s">
        <v>2009</v>
      </c>
      <c r="E1503" s="2" t="s">
        <v>2056</v>
      </c>
      <c r="F1503" s="4">
        <v>551.79</v>
      </c>
      <c r="G1503" s="5">
        <v>399.67</v>
      </c>
      <c r="H1503" s="6">
        <v>3</v>
      </c>
      <c r="I1503" s="2" t="s">
        <v>2117</v>
      </c>
      <c r="J1503" s="2" t="str">
        <v>Mesh Intuitive Supply-Chains</v>
      </c>
      <c r="K1503" s="2" t="str">
        <v>Electronics</v>
      </c>
      <c r="L1503" s="2" t="str">
        <v>Soto, Barnett and Heath</v>
      </c>
      <c r="M1503" s="2">
        <v>281</v>
      </c>
      <c r="N1503" s="16">
        <f t="shared" si="23"/>
        <v>0.72431540984794951</v>
      </c>
    </row>
    <row r="1504" spans="2:14" ht="14.4" customHeight="1" x14ac:dyDescent="0.3">
      <c r="B1504" s="2" t="s">
        <v>1509</v>
      </c>
      <c r="C1504" s="3">
        <v>44451</v>
      </c>
      <c r="D1504" s="2" t="s">
        <v>2012</v>
      </c>
      <c r="E1504" s="2" t="s">
        <v>2039</v>
      </c>
      <c r="F1504" s="4">
        <v>2302.3200000000002</v>
      </c>
      <c r="G1504" s="5">
        <v>18.28</v>
      </c>
      <c r="H1504" s="6">
        <v>9</v>
      </c>
      <c r="I1504" s="2" t="s">
        <v>2117</v>
      </c>
      <c r="J1504" s="2" t="str">
        <v>Empower Dot-Com Deliverables</v>
      </c>
      <c r="K1504" s="2" t="str">
        <v>Electronics</v>
      </c>
      <c r="L1504" s="2" t="str">
        <v>Davis LLC</v>
      </c>
      <c r="M1504" s="2">
        <v>250.66</v>
      </c>
      <c r="N1504" s="16">
        <f t="shared" si="23"/>
        <v>7.9398172278397437E-3</v>
      </c>
    </row>
    <row r="1505" spans="2:14" ht="14.4" customHeight="1" x14ac:dyDescent="0.3">
      <c r="B1505" s="2" t="s">
        <v>1510</v>
      </c>
      <c r="C1505" s="3">
        <v>44333</v>
      </c>
      <c r="D1505" s="2" t="s">
        <v>2010</v>
      </c>
      <c r="E1505" s="2" t="s">
        <v>2071</v>
      </c>
      <c r="F1505" s="4">
        <v>2095.5500000000002</v>
      </c>
      <c r="G1505" s="5">
        <v>676.8</v>
      </c>
      <c r="H1505" s="6">
        <v>14</v>
      </c>
      <c r="I1505" s="2" t="s">
        <v>2116</v>
      </c>
      <c r="J1505" s="2" t="str">
        <v>Incentivize Front-End Mindshare</v>
      </c>
      <c r="K1505" s="2" t="str">
        <v>Electronics</v>
      </c>
      <c r="L1505" s="2" t="str">
        <v>Phillips-Tran</v>
      </c>
      <c r="M1505" s="2">
        <v>196.86</v>
      </c>
      <c r="N1505" s="16">
        <f t="shared" si="23"/>
        <v>0.3229701033141657</v>
      </c>
    </row>
    <row r="1506" spans="2:14" ht="14.4" customHeight="1" x14ac:dyDescent="0.3">
      <c r="B1506" s="2" t="s">
        <v>1511</v>
      </c>
      <c r="C1506" s="3">
        <v>45009</v>
      </c>
      <c r="D1506" s="2" t="s">
        <v>2010</v>
      </c>
      <c r="E1506" s="2" t="s">
        <v>2061</v>
      </c>
      <c r="F1506" s="4">
        <v>1647.4</v>
      </c>
      <c r="G1506" s="5">
        <v>569.24</v>
      </c>
      <c r="H1506" s="6">
        <v>20</v>
      </c>
      <c r="I1506" s="2" t="s">
        <v>2118</v>
      </c>
      <c r="J1506" s="2" t="str">
        <v>Optimize Collaborative Initiatives</v>
      </c>
      <c r="K1506" s="2" t="str">
        <v>Electronics</v>
      </c>
      <c r="L1506" s="2" t="str">
        <v>Adkins Ltd</v>
      </c>
      <c r="M1506" s="2">
        <v>34.46</v>
      </c>
      <c r="N1506" s="16">
        <f t="shared" si="23"/>
        <v>0.34553842418356195</v>
      </c>
    </row>
    <row r="1507" spans="2:14" ht="14.4" customHeight="1" x14ac:dyDescent="0.3">
      <c r="B1507" s="2" t="s">
        <v>1512</v>
      </c>
      <c r="C1507" s="3">
        <v>45192</v>
      </c>
      <c r="D1507" s="2" t="s">
        <v>2010</v>
      </c>
      <c r="E1507" s="2" t="s">
        <v>2054</v>
      </c>
      <c r="F1507" s="4">
        <v>4241.49</v>
      </c>
      <c r="G1507" s="5">
        <v>281.37</v>
      </c>
      <c r="H1507" s="6">
        <v>1</v>
      </c>
      <c r="I1507" s="2" t="s">
        <v>2116</v>
      </c>
      <c r="J1507" s="2" t="str">
        <v>Empower Killer Info-Mediaries</v>
      </c>
      <c r="K1507" s="2" t="str">
        <v>Furniture</v>
      </c>
      <c r="L1507" s="2" t="str">
        <v>Jones Ltd</v>
      </c>
      <c r="M1507" s="2">
        <v>213.24</v>
      </c>
      <c r="N1507" s="16">
        <f t="shared" si="23"/>
        <v>6.633753704476493E-2</v>
      </c>
    </row>
    <row r="1508" spans="2:14" ht="14.4" customHeight="1" x14ac:dyDescent="0.3">
      <c r="B1508" s="2" t="s">
        <v>1513</v>
      </c>
      <c r="C1508" s="3">
        <v>44895</v>
      </c>
      <c r="D1508" s="2" t="s">
        <v>2011</v>
      </c>
      <c r="E1508" s="2" t="s">
        <v>2024</v>
      </c>
      <c r="F1508" s="4">
        <v>4413.0600000000004</v>
      </c>
      <c r="G1508" s="5">
        <v>460.48</v>
      </c>
      <c r="H1508" s="6">
        <v>20</v>
      </c>
      <c r="I1508" s="2" t="s">
        <v>2116</v>
      </c>
      <c r="J1508" s="2" t="str">
        <v>Target Viral Methodologies</v>
      </c>
      <c r="K1508" s="2" t="str">
        <v>Electronics</v>
      </c>
      <c r="L1508" s="2" t="str">
        <v>Alvarez, Myers and Walter</v>
      </c>
      <c r="M1508" s="2">
        <v>149.26</v>
      </c>
      <c r="N1508" s="16">
        <f t="shared" si="23"/>
        <v>0.10434483102427794</v>
      </c>
    </row>
    <row r="1509" spans="2:14" ht="14.4" customHeight="1" x14ac:dyDescent="0.3">
      <c r="B1509" s="2" t="s">
        <v>1514</v>
      </c>
      <c r="C1509" s="3">
        <v>44183</v>
      </c>
      <c r="D1509" s="2" t="s">
        <v>2011</v>
      </c>
      <c r="E1509" s="2" t="s">
        <v>2076</v>
      </c>
      <c r="F1509" s="4">
        <v>622.29999999999995</v>
      </c>
      <c r="G1509" s="5">
        <v>674.2</v>
      </c>
      <c r="H1509" s="6">
        <v>20</v>
      </c>
      <c r="I1509" s="2" t="s">
        <v>2116</v>
      </c>
      <c r="J1509" s="2" t="str">
        <v>Deliver Extensible Partnerships</v>
      </c>
      <c r="K1509" s="2" t="str">
        <v>Furniture</v>
      </c>
      <c r="L1509" s="2" t="str">
        <v>Martin, Paul and Salazar</v>
      </c>
      <c r="M1509" s="2">
        <v>43.76</v>
      </c>
      <c r="N1509" s="16">
        <f t="shared" si="23"/>
        <v>1.0834002892495582</v>
      </c>
    </row>
    <row r="1510" spans="2:14" ht="14.4" customHeight="1" x14ac:dyDescent="0.3">
      <c r="B1510" s="2" t="s">
        <v>1515</v>
      </c>
      <c r="C1510" s="3">
        <v>44367</v>
      </c>
      <c r="D1510" s="2" t="s">
        <v>2010</v>
      </c>
      <c r="E1510" s="2" t="s">
        <v>2078</v>
      </c>
      <c r="F1510" s="4">
        <v>3830.76</v>
      </c>
      <c r="G1510" s="5">
        <v>295.99</v>
      </c>
      <c r="H1510" s="6">
        <v>19</v>
      </c>
      <c r="I1510" s="2" t="s">
        <v>2117</v>
      </c>
      <c r="J1510" s="2" t="str">
        <v>Strategize E-Business Content</v>
      </c>
      <c r="K1510" s="2" t="str">
        <v>Electronics</v>
      </c>
      <c r="L1510" s="2" t="str">
        <v>Patterson LLC</v>
      </c>
      <c r="M1510" s="2">
        <v>294.02</v>
      </c>
      <c r="N1510" s="16">
        <f t="shared" si="23"/>
        <v>7.7266652048157539E-2</v>
      </c>
    </row>
    <row r="1511" spans="2:14" ht="14.4" customHeight="1" x14ac:dyDescent="0.3">
      <c r="B1511" s="2" t="s">
        <v>1516</v>
      </c>
      <c r="C1511" s="3">
        <v>44829</v>
      </c>
      <c r="D1511" s="2" t="s">
        <v>2009</v>
      </c>
      <c r="E1511" s="2" t="s">
        <v>2017</v>
      </c>
      <c r="F1511" s="4">
        <v>312.74</v>
      </c>
      <c r="G1511" s="5">
        <v>705.83</v>
      </c>
      <c r="H1511" s="6">
        <v>8</v>
      </c>
      <c r="I1511" s="2" t="s">
        <v>2117</v>
      </c>
      <c r="J1511" s="2" t="str">
        <v>Target Bricks-And-Clicks Channels</v>
      </c>
      <c r="K1511" s="2" t="str">
        <v>Electronics</v>
      </c>
      <c r="L1511" s="2" t="str">
        <v>Dunn, Christensen and Meyer</v>
      </c>
      <c r="M1511" s="2">
        <v>126.86</v>
      </c>
      <c r="N1511" s="16">
        <f t="shared" si="23"/>
        <v>2.2569226833791647</v>
      </c>
    </row>
    <row r="1512" spans="2:14" ht="14.4" customHeight="1" x14ac:dyDescent="0.3">
      <c r="B1512" s="2" t="s">
        <v>1517</v>
      </c>
      <c r="C1512" s="3">
        <v>45116</v>
      </c>
      <c r="D1512" s="2" t="s">
        <v>2010</v>
      </c>
      <c r="E1512" s="2" t="s">
        <v>2076</v>
      </c>
      <c r="F1512" s="4">
        <v>3571.75</v>
      </c>
      <c r="G1512" s="5">
        <v>570.14</v>
      </c>
      <c r="H1512" s="6">
        <v>13</v>
      </c>
      <c r="I1512" s="2" t="s">
        <v>2116</v>
      </c>
      <c r="J1512" s="2" t="str">
        <v>Deliver Extensible Partnerships</v>
      </c>
      <c r="K1512" s="2" t="str">
        <v>Furniture</v>
      </c>
      <c r="L1512" s="2" t="str">
        <v>Martin, Paul and Salazar</v>
      </c>
      <c r="M1512" s="2">
        <v>43.76</v>
      </c>
      <c r="N1512" s="16">
        <f t="shared" si="23"/>
        <v>0.15962483376496114</v>
      </c>
    </row>
    <row r="1513" spans="2:14" ht="14.4" customHeight="1" x14ac:dyDescent="0.3">
      <c r="B1513" s="2" t="s">
        <v>1518</v>
      </c>
      <c r="C1513" s="3">
        <v>44583</v>
      </c>
      <c r="D1513" s="2" t="s">
        <v>2010</v>
      </c>
      <c r="E1513" s="2" t="s">
        <v>2076</v>
      </c>
      <c r="F1513" s="4">
        <v>4105.55</v>
      </c>
      <c r="G1513" s="5">
        <v>281.39999999999998</v>
      </c>
      <c r="H1513" s="6">
        <v>17</v>
      </c>
      <c r="I1513" s="2" t="s">
        <v>2116</v>
      </c>
      <c r="J1513" s="2" t="str">
        <v>Deliver Extensible Partnerships</v>
      </c>
      <c r="K1513" s="2" t="str">
        <v>Furniture</v>
      </c>
      <c r="L1513" s="2" t="str">
        <v>Martin, Paul and Salazar</v>
      </c>
      <c r="M1513" s="2">
        <v>43.76</v>
      </c>
      <c r="N1513" s="16">
        <f t="shared" si="23"/>
        <v>6.8541364737976632E-2</v>
      </c>
    </row>
    <row r="1514" spans="2:14" ht="14.4" customHeight="1" x14ac:dyDescent="0.3">
      <c r="B1514" s="2" t="s">
        <v>1519</v>
      </c>
      <c r="C1514" s="3">
        <v>44559</v>
      </c>
      <c r="D1514" s="2" t="s">
        <v>2009</v>
      </c>
      <c r="E1514" s="2" t="s">
        <v>2106</v>
      </c>
      <c r="F1514" s="4">
        <v>3099.15</v>
      </c>
      <c r="G1514" s="5">
        <v>57.35</v>
      </c>
      <c r="H1514" s="6">
        <v>18</v>
      </c>
      <c r="I1514" s="2" t="s">
        <v>2118</v>
      </c>
      <c r="J1514" s="2" t="str">
        <v>Scale Bleeding-Edge Schemas</v>
      </c>
      <c r="K1514" s="2" t="str">
        <v>Electronics</v>
      </c>
      <c r="L1514" s="2" t="str">
        <v>Frazier-Schneider</v>
      </c>
      <c r="M1514" s="2">
        <v>54.8</v>
      </c>
      <c r="N1514" s="16">
        <f t="shared" si="23"/>
        <v>1.8505073971895519E-2</v>
      </c>
    </row>
    <row r="1515" spans="2:14" ht="14.4" customHeight="1" x14ac:dyDescent="0.3">
      <c r="B1515" s="2" t="s">
        <v>1520</v>
      </c>
      <c r="C1515" s="3">
        <v>45403</v>
      </c>
      <c r="D1515" s="2" t="s">
        <v>2011</v>
      </c>
      <c r="E1515" s="2" t="s">
        <v>2040</v>
      </c>
      <c r="F1515" s="4">
        <v>1741.65</v>
      </c>
      <c r="G1515" s="5">
        <v>512.38</v>
      </c>
      <c r="H1515" s="6">
        <v>17</v>
      </c>
      <c r="I1515" s="2" t="s">
        <v>2118</v>
      </c>
      <c r="J1515" s="2" t="str">
        <v>Synergize End-To-End Supply-Chains</v>
      </c>
      <c r="K1515" s="2" t="str">
        <v>Office Supplies</v>
      </c>
      <c r="L1515" s="2" t="str">
        <v>Higgins-Espinoza</v>
      </c>
      <c r="M1515" s="2">
        <v>279.8</v>
      </c>
      <c r="N1515" s="16">
        <f t="shared" si="23"/>
        <v>0.29419228892142507</v>
      </c>
    </row>
    <row r="1516" spans="2:14" ht="14.4" customHeight="1" x14ac:dyDescent="0.3">
      <c r="B1516" s="2" t="s">
        <v>1521</v>
      </c>
      <c r="C1516" s="3">
        <v>45013</v>
      </c>
      <c r="D1516" s="2" t="s">
        <v>2011</v>
      </c>
      <c r="E1516" s="2" t="s">
        <v>2065</v>
      </c>
      <c r="F1516" s="4">
        <v>1630.57</v>
      </c>
      <c r="G1516" s="5">
        <v>278.62</v>
      </c>
      <c r="H1516" s="6">
        <v>4</v>
      </c>
      <c r="I1516" s="2" t="s">
        <v>2118</v>
      </c>
      <c r="J1516" s="2" t="str">
        <v>Re-Contextualize Integrated Info-Mediaries</v>
      </c>
      <c r="K1516" s="2" t="str">
        <v>Electronics</v>
      </c>
      <c r="L1516" s="2" t="str">
        <v>Jones-Schroeder</v>
      </c>
      <c r="M1516" s="2">
        <v>26.02</v>
      </c>
      <c r="N1516" s="16">
        <f t="shared" si="23"/>
        <v>0.17087276228558113</v>
      </c>
    </row>
    <row r="1517" spans="2:14" ht="14.4" customHeight="1" x14ac:dyDescent="0.3">
      <c r="B1517" s="2" t="s">
        <v>1522</v>
      </c>
      <c r="C1517" s="3">
        <v>45038</v>
      </c>
      <c r="D1517" s="2" t="s">
        <v>2012</v>
      </c>
      <c r="E1517" s="2" t="s">
        <v>2053</v>
      </c>
      <c r="F1517" s="4">
        <v>2554.46</v>
      </c>
      <c r="G1517" s="5">
        <v>323.64999999999998</v>
      </c>
      <c r="H1517" s="6">
        <v>13</v>
      </c>
      <c r="I1517" s="2" t="s">
        <v>2117</v>
      </c>
      <c r="J1517" s="2" t="str">
        <v>Transition Mission-Critical Interfaces</v>
      </c>
      <c r="K1517" s="2" t="str">
        <v>Office Supplies</v>
      </c>
      <c r="L1517" s="2" t="str">
        <v>Weaver Ltd</v>
      </c>
      <c r="M1517" s="2">
        <v>34.64</v>
      </c>
      <c r="N1517" s="16">
        <f t="shared" si="23"/>
        <v>0.12669996789928203</v>
      </c>
    </row>
    <row r="1518" spans="2:14" ht="14.4" customHeight="1" x14ac:dyDescent="0.3">
      <c r="B1518" s="2" t="s">
        <v>1523</v>
      </c>
      <c r="C1518" s="3">
        <v>44623</v>
      </c>
      <c r="D1518" s="2" t="s">
        <v>2011</v>
      </c>
      <c r="E1518" s="2" t="s">
        <v>2065</v>
      </c>
      <c r="F1518" s="4">
        <v>3237.64</v>
      </c>
      <c r="G1518" s="5">
        <v>134.52000000000001</v>
      </c>
      <c r="H1518" s="6">
        <v>12</v>
      </c>
      <c r="I1518" s="2" t="s">
        <v>2116</v>
      </c>
      <c r="J1518" s="2" t="str">
        <v>Re-Contextualize Integrated Info-Mediaries</v>
      </c>
      <c r="K1518" s="2" t="str">
        <v>Electronics</v>
      </c>
      <c r="L1518" s="2" t="str">
        <v>Jones-Schroeder</v>
      </c>
      <c r="M1518" s="2">
        <v>26.02</v>
      </c>
      <c r="N1518" s="16">
        <f t="shared" si="23"/>
        <v>4.1548782446473365E-2</v>
      </c>
    </row>
    <row r="1519" spans="2:14" ht="14.4" customHeight="1" x14ac:dyDescent="0.3">
      <c r="B1519" s="2" t="s">
        <v>1524</v>
      </c>
      <c r="C1519" s="3">
        <v>44247</v>
      </c>
      <c r="D1519" s="2" t="s">
        <v>2010</v>
      </c>
      <c r="E1519" s="2" t="s">
        <v>2103</v>
      </c>
      <c r="F1519" s="4">
        <v>763.42</v>
      </c>
      <c r="G1519" s="5">
        <v>191.72</v>
      </c>
      <c r="H1519" s="6">
        <v>7</v>
      </c>
      <c r="I1519" s="2" t="s">
        <v>2118</v>
      </c>
      <c r="J1519" s="2" t="str">
        <v>Benchmark Cross-Platform Markets</v>
      </c>
      <c r="K1519" s="2" t="str">
        <v>Furniture</v>
      </c>
      <c r="L1519" s="2" t="str">
        <v>Murphy, Mathews and Wilson</v>
      </c>
      <c r="M1519" s="2">
        <v>78.88</v>
      </c>
      <c r="N1519" s="16">
        <f t="shared" si="23"/>
        <v>0.25113305912865791</v>
      </c>
    </row>
    <row r="1520" spans="2:14" ht="14.4" customHeight="1" x14ac:dyDescent="0.3">
      <c r="B1520" s="2" t="s">
        <v>1525</v>
      </c>
      <c r="C1520" s="3">
        <v>45095</v>
      </c>
      <c r="D1520" s="2" t="s">
        <v>2012</v>
      </c>
      <c r="E1520" s="2" t="s">
        <v>2073</v>
      </c>
      <c r="F1520" s="4">
        <v>1377.49</v>
      </c>
      <c r="G1520" s="5">
        <v>382.38</v>
      </c>
      <c r="H1520" s="6">
        <v>9</v>
      </c>
      <c r="I1520" s="2" t="s">
        <v>2118</v>
      </c>
      <c r="J1520" s="2" t="str">
        <v>Visualize Dynamic E-Commerce</v>
      </c>
      <c r="K1520" s="2" t="str">
        <v>Furniture</v>
      </c>
      <c r="L1520" s="2" t="str">
        <v>Jones LLC</v>
      </c>
      <c r="M1520" s="2">
        <v>92.61</v>
      </c>
      <c r="N1520" s="16">
        <f t="shared" si="23"/>
        <v>0.27759185184647439</v>
      </c>
    </row>
    <row r="1521" spans="2:14" ht="14.4" customHeight="1" x14ac:dyDescent="0.3">
      <c r="B1521" s="2" t="s">
        <v>1526</v>
      </c>
      <c r="C1521" s="3">
        <v>45545</v>
      </c>
      <c r="D1521" s="2" t="s">
        <v>2009</v>
      </c>
      <c r="E1521" s="2" t="s">
        <v>2094</v>
      </c>
      <c r="F1521" s="4">
        <v>1856.69</v>
      </c>
      <c r="G1521" s="5">
        <v>993.73</v>
      </c>
      <c r="H1521" s="6">
        <v>14</v>
      </c>
      <c r="I1521" s="2" t="s">
        <v>2118</v>
      </c>
      <c r="J1521" s="2" t="str">
        <v>Implement Rich Platforms</v>
      </c>
      <c r="K1521" s="2" t="str">
        <v>Electronics</v>
      </c>
      <c r="L1521" s="2" t="str">
        <v>Parker, Anderson and Salazar</v>
      </c>
      <c r="M1521" s="2">
        <v>53.59</v>
      </c>
      <c r="N1521" s="16">
        <f t="shared" si="23"/>
        <v>0.53521589495284616</v>
      </c>
    </row>
    <row r="1522" spans="2:14" ht="14.4" customHeight="1" x14ac:dyDescent="0.3">
      <c r="B1522" s="2" t="s">
        <v>1527</v>
      </c>
      <c r="C1522" s="3">
        <v>44836</v>
      </c>
      <c r="D1522" s="2" t="s">
        <v>2011</v>
      </c>
      <c r="E1522" s="2" t="s">
        <v>2049</v>
      </c>
      <c r="F1522" s="4">
        <v>581.61</v>
      </c>
      <c r="G1522" s="5">
        <v>249.66</v>
      </c>
      <c r="H1522" s="6">
        <v>5</v>
      </c>
      <c r="I1522" s="2" t="s">
        <v>2116</v>
      </c>
      <c r="J1522" s="2" t="str">
        <v>Scale 24/365 Networks</v>
      </c>
      <c r="K1522" s="2" t="str">
        <v>Furniture</v>
      </c>
      <c r="L1522" s="2" t="str">
        <v>Kim-Hamilton</v>
      </c>
      <c r="M1522" s="2">
        <v>157.55000000000001</v>
      </c>
      <c r="N1522" s="16">
        <f t="shared" si="23"/>
        <v>0.42925671841955948</v>
      </c>
    </row>
    <row r="1523" spans="2:14" ht="14.4" customHeight="1" x14ac:dyDescent="0.3">
      <c r="B1523" s="2" t="s">
        <v>1528</v>
      </c>
      <c r="C1523" s="3">
        <v>45425</v>
      </c>
      <c r="D1523" s="2" t="s">
        <v>2012</v>
      </c>
      <c r="E1523" s="2" t="s">
        <v>2048</v>
      </c>
      <c r="F1523" s="4">
        <v>3577.73</v>
      </c>
      <c r="G1523" s="5">
        <v>944.48</v>
      </c>
      <c r="H1523" s="6">
        <v>8</v>
      </c>
      <c r="I1523" s="2" t="s">
        <v>2118</v>
      </c>
      <c r="J1523" s="2" t="str">
        <v>Drive Compelling E-Services</v>
      </c>
      <c r="K1523" s="2" t="str">
        <v>Office Supplies</v>
      </c>
      <c r="L1523" s="2" t="str">
        <v>Morris-Villanueva</v>
      </c>
      <c r="M1523" s="2">
        <v>27.22</v>
      </c>
      <c r="N1523" s="16">
        <f t="shared" si="23"/>
        <v>0.26398861848155114</v>
      </c>
    </row>
    <row r="1524" spans="2:14" ht="14.4" customHeight="1" x14ac:dyDescent="0.3">
      <c r="B1524" s="2" t="s">
        <v>1529</v>
      </c>
      <c r="C1524" s="3">
        <v>44466</v>
      </c>
      <c r="D1524" s="2" t="s">
        <v>2009</v>
      </c>
      <c r="E1524" s="2" t="s">
        <v>2022</v>
      </c>
      <c r="F1524" s="4">
        <v>4267.91</v>
      </c>
      <c r="G1524" s="5">
        <v>770.31</v>
      </c>
      <c r="H1524" s="6">
        <v>16</v>
      </c>
      <c r="I1524" s="2" t="s">
        <v>2116</v>
      </c>
      <c r="J1524" s="2" t="str">
        <v>Monetize Collaborative Metrics</v>
      </c>
      <c r="K1524" s="2" t="str">
        <v>Electronics</v>
      </c>
      <c r="L1524" s="2" t="str">
        <v>Ramirez-Brown</v>
      </c>
      <c r="M1524" s="2">
        <v>286.04000000000002</v>
      </c>
      <c r="N1524" s="16">
        <f t="shared" si="23"/>
        <v>0.18048881068251205</v>
      </c>
    </row>
    <row r="1525" spans="2:14" ht="14.4" customHeight="1" x14ac:dyDescent="0.3">
      <c r="B1525" s="2" t="s">
        <v>1530</v>
      </c>
      <c r="C1525" s="3">
        <v>44353</v>
      </c>
      <c r="D1525" s="2" t="s">
        <v>2012</v>
      </c>
      <c r="E1525" s="2" t="s">
        <v>2058</v>
      </c>
      <c r="F1525" s="4">
        <v>3769.37</v>
      </c>
      <c r="G1525" s="5">
        <v>311.89999999999998</v>
      </c>
      <c r="H1525" s="6">
        <v>12</v>
      </c>
      <c r="I1525" s="2" t="s">
        <v>2117</v>
      </c>
      <c r="J1525" s="2" t="str">
        <v>Envisioneer B2C Web-Readiness</v>
      </c>
      <c r="K1525" s="2" t="str">
        <v>Electronics</v>
      </c>
      <c r="L1525" s="2" t="str">
        <v>Kemp Group</v>
      </c>
      <c r="M1525" s="2">
        <v>97.23</v>
      </c>
      <c r="N1525" s="16">
        <f t="shared" si="23"/>
        <v>8.2745923058760482E-2</v>
      </c>
    </row>
    <row r="1526" spans="2:14" ht="14.4" customHeight="1" x14ac:dyDescent="0.3">
      <c r="B1526" s="2" t="s">
        <v>1531</v>
      </c>
      <c r="C1526" s="3">
        <v>45533</v>
      </c>
      <c r="D1526" s="2" t="s">
        <v>2010</v>
      </c>
      <c r="E1526" s="2" t="s">
        <v>2081</v>
      </c>
      <c r="F1526" s="4">
        <v>1890.62</v>
      </c>
      <c r="G1526" s="5">
        <v>319.49</v>
      </c>
      <c r="H1526" s="6">
        <v>9</v>
      </c>
      <c r="I1526" s="2" t="s">
        <v>2116</v>
      </c>
      <c r="J1526" s="2" t="str">
        <v>Orchestrate User-Centric Platforms</v>
      </c>
      <c r="K1526" s="2" t="str">
        <v>Furniture</v>
      </c>
      <c r="L1526" s="2" t="str">
        <v>Wells Ltd</v>
      </c>
      <c r="M1526" s="2">
        <v>201.87</v>
      </c>
      <c r="N1526" s="16">
        <f t="shared" si="23"/>
        <v>0.16898689318847787</v>
      </c>
    </row>
    <row r="1527" spans="2:14" ht="14.4" customHeight="1" x14ac:dyDescent="0.3">
      <c r="B1527" s="2" t="s">
        <v>1532</v>
      </c>
      <c r="C1527" s="3">
        <v>44638</v>
      </c>
      <c r="D1527" s="2" t="s">
        <v>2009</v>
      </c>
      <c r="E1527" s="2" t="s">
        <v>2013</v>
      </c>
      <c r="F1527" s="4">
        <v>4830.42</v>
      </c>
      <c r="G1527" s="5">
        <v>895.6</v>
      </c>
      <c r="H1527" s="6">
        <v>6</v>
      </c>
      <c r="I1527" s="2" t="s">
        <v>2117</v>
      </c>
      <c r="J1527" s="2" t="str">
        <v>Re-Intermediate Seamless Applications</v>
      </c>
      <c r="K1527" s="2" t="str">
        <v>Office Supplies</v>
      </c>
      <c r="L1527" s="2" t="str">
        <v>Welch-Reed</v>
      </c>
      <c r="M1527" s="2">
        <v>45.82</v>
      </c>
      <c r="N1527" s="16">
        <f t="shared" si="23"/>
        <v>0.18540830818024107</v>
      </c>
    </row>
    <row r="1528" spans="2:14" ht="14.4" customHeight="1" x14ac:dyDescent="0.3">
      <c r="B1528" s="2" t="s">
        <v>1533</v>
      </c>
      <c r="C1528" s="3">
        <v>45009</v>
      </c>
      <c r="D1528" s="2" t="s">
        <v>2011</v>
      </c>
      <c r="E1528" s="2" t="s">
        <v>2044</v>
      </c>
      <c r="F1528" s="4">
        <v>1642.55</v>
      </c>
      <c r="G1528" s="5">
        <v>699.09</v>
      </c>
      <c r="H1528" s="6">
        <v>4</v>
      </c>
      <c r="I1528" s="2" t="s">
        <v>2117</v>
      </c>
      <c r="J1528" s="2" t="str">
        <v>Grow Back-End Supply-Chains</v>
      </c>
      <c r="K1528" s="2" t="str">
        <v>Electronics</v>
      </c>
      <c r="L1528" s="2" t="str">
        <v>Green LLC</v>
      </c>
      <c r="M1528" s="2">
        <v>140.08000000000001</v>
      </c>
      <c r="N1528" s="16">
        <f t="shared" si="23"/>
        <v>0.42561261453228216</v>
      </c>
    </row>
    <row r="1529" spans="2:14" ht="14.4" customHeight="1" x14ac:dyDescent="0.3">
      <c r="B1529" s="2" t="s">
        <v>1534</v>
      </c>
      <c r="C1529" s="3">
        <v>44007</v>
      </c>
      <c r="D1529" s="2" t="s">
        <v>2011</v>
      </c>
      <c r="E1529" s="2" t="s">
        <v>2045</v>
      </c>
      <c r="F1529" s="4">
        <v>4138.8999999999996</v>
      </c>
      <c r="G1529" s="5">
        <v>463.07</v>
      </c>
      <c r="H1529" s="6">
        <v>2</v>
      </c>
      <c r="I1529" s="2" t="s">
        <v>2118</v>
      </c>
      <c r="J1529" s="2" t="str">
        <v>Leverage Scalable Interfaces</v>
      </c>
      <c r="K1529" s="2" t="str">
        <v>Office Supplies</v>
      </c>
      <c r="L1529" s="2" t="str">
        <v>Kaufman-Jones</v>
      </c>
      <c r="M1529" s="2">
        <v>73.33</v>
      </c>
      <c r="N1529" s="16">
        <f t="shared" si="23"/>
        <v>0.11188238420836455</v>
      </c>
    </row>
    <row r="1530" spans="2:14" ht="14.4" customHeight="1" x14ac:dyDescent="0.3">
      <c r="B1530" s="2" t="s">
        <v>1535</v>
      </c>
      <c r="C1530" s="3">
        <v>44325</v>
      </c>
      <c r="D1530" s="2" t="s">
        <v>2009</v>
      </c>
      <c r="E1530" s="2" t="s">
        <v>2065</v>
      </c>
      <c r="F1530" s="4">
        <v>4746.08</v>
      </c>
      <c r="G1530" s="5">
        <v>570.6</v>
      </c>
      <c r="H1530" s="6">
        <v>19</v>
      </c>
      <c r="I1530" s="2" t="s">
        <v>2118</v>
      </c>
      <c r="J1530" s="2" t="str">
        <v>Re-Contextualize Integrated Info-Mediaries</v>
      </c>
      <c r="K1530" s="2" t="str">
        <v>Electronics</v>
      </c>
      <c r="L1530" s="2" t="str">
        <v>Jones-Schroeder</v>
      </c>
      <c r="M1530" s="2">
        <v>26.02</v>
      </c>
      <c r="N1530" s="16">
        <f t="shared" si="23"/>
        <v>0.12022553349290363</v>
      </c>
    </row>
    <row r="1531" spans="2:14" ht="14.4" customHeight="1" x14ac:dyDescent="0.3">
      <c r="B1531" s="2" t="s">
        <v>1536</v>
      </c>
      <c r="C1531" s="3">
        <v>45502</v>
      </c>
      <c r="D1531" s="2" t="s">
        <v>2011</v>
      </c>
      <c r="E1531" s="2" t="s">
        <v>2013</v>
      </c>
      <c r="F1531" s="4">
        <v>2311.9899999999998</v>
      </c>
      <c r="G1531" s="5">
        <v>820.05</v>
      </c>
      <c r="H1531" s="6">
        <v>5</v>
      </c>
      <c r="I1531" s="2" t="s">
        <v>2116</v>
      </c>
      <c r="J1531" s="2" t="str">
        <v>Re-Intermediate Seamless Applications</v>
      </c>
      <c r="K1531" s="2" t="str">
        <v>Office Supplies</v>
      </c>
      <c r="L1531" s="2" t="str">
        <v>Welch-Reed</v>
      </c>
      <c r="M1531" s="2">
        <v>45.82</v>
      </c>
      <c r="N1531" s="16">
        <f t="shared" si="23"/>
        <v>0.35469444071989931</v>
      </c>
    </row>
    <row r="1532" spans="2:14" ht="14.4" customHeight="1" x14ac:dyDescent="0.3">
      <c r="B1532" s="2" t="s">
        <v>1537</v>
      </c>
      <c r="C1532" s="3">
        <v>44595</v>
      </c>
      <c r="D1532" s="2" t="s">
        <v>2011</v>
      </c>
      <c r="E1532" s="2" t="s">
        <v>2101</v>
      </c>
      <c r="F1532" s="4">
        <v>510.8</v>
      </c>
      <c r="G1532" s="5">
        <v>722.1</v>
      </c>
      <c r="H1532" s="6">
        <v>14</v>
      </c>
      <c r="I1532" s="2" t="s">
        <v>2117</v>
      </c>
      <c r="J1532" s="2" t="str">
        <v>Deploy Granular Channels</v>
      </c>
      <c r="K1532" s="2" t="str">
        <v>Furniture</v>
      </c>
      <c r="L1532" s="2" t="str">
        <v>Barnes Ltd</v>
      </c>
      <c r="M1532" s="2">
        <v>288.99</v>
      </c>
      <c r="N1532" s="16">
        <f t="shared" si="23"/>
        <v>1.413664839467502</v>
      </c>
    </row>
    <row r="1533" spans="2:14" ht="14.4" customHeight="1" x14ac:dyDescent="0.3">
      <c r="B1533" s="2" t="s">
        <v>1538</v>
      </c>
      <c r="C1533" s="3">
        <v>43940</v>
      </c>
      <c r="D1533" s="2" t="s">
        <v>2010</v>
      </c>
      <c r="E1533" s="2" t="s">
        <v>2056</v>
      </c>
      <c r="F1533" s="4">
        <v>4167.83</v>
      </c>
      <c r="G1533" s="5">
        <v>708.73</v>
      </c>
      <c r="H1533" s="6">
        <v>11</v>
      </c>
      <c r="I1533" s="2" t="s">
        <v>2116</v>
      </c>
      <c r="J1533" s="2" t="str">
        <v>Mesh Intuitive Supply-Chains</v>
      </c>
      <c r="K1533" s="2" t="str">
        <v>Electronics</v>
      </c>
      <c r="L1533" s="2" t="str">
        <v>Soto, Barnett and Heath</v>
      </c>
      <c r="M1533" s="2">
        <v>281</v>
      </c>
      <c r="N1533" s="16">
        <f t="shared" si="23"/>
        <v>0.17004772267582891</v>
      </c>
    </row>
    <row r="1534" spans="2:14" ht="14.4" customHeight="1" x14ac:dyDescent="0.3">
      <c r="B1534" s="2" t="s">
        <v>1539</v>
      </c>
      <c r="C1534" s="3">
        <v>43995</v>
      </c>
      <c r="D1534" s="2" t="s">
        <v>2012</v>
      </c>
      <c r="E1534" s="2" t="s">
        <v>2068</v>
      </c>
      <c r="F1534" s="4">
        <v>4082.83</v>
      </c>
      <c r="G1534" s="5">
        <v>354.05</v>
      </c>
      <c r="H1534" s="6">
        <v>2</v>
      </c>
      <c r="I1534" s="2" t="s">
        <v>2117</v>
      </c>
      <c r="J1534" s="2" t="str">
        <v>E-Enable Virtual Methodologies</v>
      </c>
      <c r="K1534" s="2" t="str">
        <v>Office Supplies</v>
      </c>
      <c r="L1534" s="2" t="str">
        <v>Floyd-Love</v>
      </c>
      <c r="M1534" s="2">
        <v>283.64999999999998</v>
      </c>
      <c r="N1534" s="16">
        <f t="shared" si="23"/>
        <v>8.6716811623310311E-2</v>
      </c>
    </row>
    <row r="1535" spans="2:14" ht="14.4" customHeight="1" x14ac:dyDescent="0.3">
      <c r="B1535" s="2" t="s">
        <v>1540</v>
      </c>
      <c r="C1535" s="3">
        <v>44242</v>
      </c>
      <c r="D1535" s="2" t="s">
        <v>2011</v>
      </c>
      <c r="E1535" s="2" t="s">
        <v>2090</v>
      </c>
      <c r="F1535" s="4">
        <v>2466.98</v>
      </c>
      <c r="G1535" s="5">
        <v>941.14</v>
      </c>
      <c r="H1535" s="6">
        <v>16</v>
      </c>
      <c r="I1535" s="2" t="s">
        <v>2118</v>
      </c>
      <c r="J1535" s="2" t="str">
        <v>Empower Bleeding-Edge Action-Items</v>
      </c>
      <c r="K1535" s="2" t="str">
        <v>Furniture</v>
      </c>
      <c r="L1535" s="2" t="str">
        <v>Gray, Hayes and Banks</v>
      </c>
      <c r="M1535" s="2">
        <v>204.26</v>
      </c>
      <c r="N1535" s="16">
        <f t="shared" si="23"/>
        <v>0.38149478309512036</v>
      </c>
    </row>
    <row r="1536" spans="2:14" ht="14.4" customHeight="1" x14ac:dyDescent="0.3">
      <c r="B1536" s="2" t="s">
        <v>1541</v>
      </c>
      <c r="C1536" s="3">
        <v>45402</v>
      </c>
      <c r="D1536" s="2" t="s">
        <v>2012</v>
      </c>
      <c r="E1536" s="2" t="s">
        <v>2088</v>
      </c>
      <c r="F1536" s="4">
        <v>4254.4399999999996</v>
      </c>
      <c r="G1536" s="5">
        <v>515.71</v>
      </c>
      <c r="H1536" s="6">
        <v>4</v>
      </c>
      <c r="I1536" s="2" t="s">
        <v>2118</v>
      </c>
      <c r="J1536" s="2" t="str">
        <v>E-Enable Holistic Supply-Chains</v>
      </c>
      <c r="K1536" s="2" t="str">
        <v>Furniture</v>
      </c>
      <c r="L1536" s="2" t="str">
        <v>Lin-Mcdaniel</v>
      </c>
      <c r="M1536" s="2">
        <v>160.33000000000001</v>
      </c>
      <c r="N1536" s="16">
        <f t="shared" si="23"/>
        <v>0.12121689341017856</v>
      </c>
    </row>
    <row r="1537" spans="2:14" ht="14.4" customHeight="1" x14ac:dyDescent="0.3">
      <c r="B1537" s="2" t="s">
        <v>1542</v>
      </c>
      <c r="C1537" s="3">
        <v>44726</v>
      </c>
      <c r="D1537" s="2" t="s">
        <v>2009</v>
      </c>
      <c r="E1537" s="2" t="s">
        <v>2036</v>
      </c>
      <c r="F1537" s="4">
        <v>186.82</v>
      </c>
      <c r="G1537" s="5">
        <v>611.65</v>
      </c>
      <c r="H1537" s="6">
        <v>9</v>
      </c>
      <c r="I1537" s="2" t="s">
        <v>2116</v>
      </c>
      <c r="J1537" s="2" t="str">
        <v>Innovate Strategic Systems</v>
      </c>
      <c r="K1537" s="2" t="str">
        <v>Office Supplies</v>
      </c>
      <c r="L1537" s="2" t="str">
        <v>Mcfarland, Parker and Armstrong</v>
      </c>
      <c r="M1537" s="2">
        <v>70.239999999999995</v>
      </c>
      <c r="N1537" s="16">
        <f t="shared" si="23"/>
        <v>3.2740070656246654</v>
      </c>
    </row>
    <row r="1538" spans="2:14" ht="14.4" customHeight="1" x14ac:dyDescent="0.3">
      <c r="B1538" s="2" t="s">
        <v>1543</v>
      </c>
      <c r="C1538" s="3">
        <v>44488</v>
      </c>
      <c r="D1538" s="2" t="s">
        <v>2011</v>
      </c>
      <c r="E1538" s="2" t="s">
        <v>2037</v>
      </c>
      <c r="F1538" s="4">
        <v>2048.3200000000002</v>
      </c>
      <c r="G1538" s="5">
        <v>893.96</v>
      </c>
      <c r="H1538" s="6">
        <v>1</v>
      </c>
      <c r="I1538" s="2" t="s">
        <v>2118</v>
      </c>
      <c r="J1538" s="2" t="str">
        <v>Utilize Back-End Models</v>
      </c>
      <c r="K1538" s="2" t="str">
        <v>Furniture</v>
      </c>
      <c r="L1538" s="2" t="str">
        <v>Lewis-Holden</v>
      </c>
      <c r="M1538" s="2">
        <v>241.53</v>
      </c>
      <c r="N1538" s="16">
        <f t="shared" si="23"/>
        <v>0.43643571316981722</v>
      </c>
    </row>
    <row r="1539" spans="2:14" ht="14.4" customHeight="1" x14ac:dyDescent="0.3">
      <c r="B1539" s="2" t="s">
        <v>1544</v>
      </c>
      <c r="C1539" s="3">
        <v>44127</v>
      </c>
      <c r="D1539" s="2" t="s">
        <v>2009</v>
      </c>
      <c r="E1539" s="2" t="s">
        <v>2072</v>
      </c>
      <c r="F1539" s="4">
        <v>4336.4799999999996</v>
      </c>
      <c r="G1539" s="5">
        <v>492.11</v>
      </c>
      <c r="H1539" s="6">
        <v>16</v>
      </c>
      <c r="I1539" s="2" t="s">
        <v>2117</v>
      </c>
      <c r="J1539" s="2" t="str">
        <v>Evolve Innovative Web Services</v>
      </c>
      <c r="K1539" s="2" t="str">
        <v>Furniture</v>
      </c>
      <c r="L1539" s="2" t="str">
        <v>Bush Inc</v>
      </c>
      <c r="M1539" s="2">
        <v>87.75</v>
      </c>
      <c r="N1539" s="16">
        <f t="shared" si="23"/>
        <v>0.11348144116887431</v>
      </c>
    </row>
    <row r="1540" spans="2:14" ht="14.4" customHeight="1" x14ac:dyDescent="0.3">
      <c r="B1540" s="2" t="s">
        <v>1545</v>
      </c>
      <c r="C1540" s="3">
        <v>45445</v>
      </c>
      <c r="D1540" s="2" t="s">
        <v>2009</v>
      </c>
      <c r="E1540" s="2" t="s">
        <v>2043</v>
      </c>
      <c r="F1540" s="4">
        <v>452.73</v>
      </c>
      <c r="G1540" s="5">
        <v>16.22</v>
      </c>
      <c r="H1540" s="6">
        <v>8</v>
      </c>
      <c r="I1540" s="2" t="s">
        <v>2118</v>
      </c>
      <c r="J1540" s="2" t="str">
        <v>Brand Distributed Info-Mediaries</v>
      </c>
      <c r="K1540" s="2" t="str">
        <v>Furniture</v>
      </c>
      <c r="L1540" s="2" t="str">
        <v>Garcia Ltd</v>
      </c>
      <c r="M1540" s="2">
        <v>114.48</v>
      </c>
      <c r="N1540" s="16">
        <f t="shared" si="23"/>
        <v>3.5827093411083866E-2</v>
      </c>
    </row>
    <row r="1541" spans="2:14" ht="14.4" customHeight="1" x14ac:dyDescent="0.3">
      <c r="B1541" s="2" t="s">
        <v>1546</v>
      </c>
      <c r="C1541" s="3">
        <v>45123</v>
      </c>
      <c r="D1541" s="2" t="s">
        <v>2010</v>
      </c>
      <c r="E1541" s="2" t="s">
        <v>2058</v>
      </c>
      <c r="F1541" s="4">
        <v>1742.62</v>
      </c>
      <c r="G1541" s="5">
        <v>29.98</v>
      </c>
      <c r="H1541" s="6">
        <v>7</v>
      </c>
      <c r="I1541" s="2" t="s">
        <v>2118</v>
      </c>
      <c r="J1541" s="2" t="str">
        <v>Envisioneer B2C Web-Readiness</v>
      </c>
      <c r="K1541" s="2" t="str">
        <v>Electronics</v>
      </c>
      <c r="L1541" s="2" t="str">
        <v>Kemp Group</v>
      </c>
      <c r="M1541" s="2">
        <v>97.23</v>
      </c>
      <c r="N1541" s="16">
        <f t="shared" ref="N1541:N1604" si="24">(G1541/F1541)</f>
        <v>1.720398021370121E-2</v>
      </c>
    </row>
    <row r="1542" spans="2:14" ht="14.4" customHeight="1" x14ac:dyDescent="0.3">
      <c r="B1542" s="2" t="s">
        <v>1547</v>
      </c>
      <c r="C1542" s="3">
        <v>44310</v>
      </c>
      <c r="D1542" s="2" t="s">
        <v>2012</v>
      </c>
      <c r="E1542" s="2" t="s">
        <v>2050</v>
      </c>
      <c r="F1542" s="4">
        <v>113.15</v>
      </c>
      <c r="G1542" s="5">
        <v>332.85</v>
      </c>
      <c r="H1542" s="6">
        <v>18</v>
      </c>
      <c r="I1542" s="2" t="s">
        <v>2117</v>
      </c>
      <c r="J1542" s="2" t="str">
        <v>Extend Bricks-And-Clicks Architectures</v>
      </c>
      <c r="K1542" s="2" t="str">
        <v>Furniture</v>
      </c>
      <c r="L1542" s="2" t="str">
        <v>Fuller PLC</v>
      </c>
      <c r="M1542" s="2">
        <v>202.99</v>
      </c>
      <c r="N1542" s="16">
        <f t="shared" si="24"/>
        <v>2.9416703490941227</v>
      </c>
    </row>
    <row r="1543" spans="2:14" ht="14.4" customHeight="1" x14ac:dyDescent="0.3">
      <c r="B1543" s="2" t="s">
        <v>1548</v>
      </c>
      <c r="C1543" s="3">
        <v>44394</v>
      </c>
      <c r="D1543" s="2" t="s">
        <v>2010</v>
      </c>
      <c r="E1543" s="2" t="s">
        <v>2036</v>
      </c>
      <c r="F1543" s="4">
        <v>4893.62</v>
      </c>
      <c r="G1543" s="5">
        <v>506.1</v>
      </c>
      <c r="H1543" s="6">
        <v>1</v>
      </c>
      <c r="I1543" s="2" t="s">
        <v>2118</v>
      </c>
      <c r="J1543" s="2" t="str">
        <v>Innovate Strategic Systems</v>
      </c>
      <c r="K1543" s="2" t="str">
        <v>Office Supplies</v>
      </c>
      <c r="L1543" s="2" t="str">
        <v>Mcfarland, Parker and Armstrong</v>
      </c>
      <c r="M1543" s="2">
        <v>70.239999999999995</v>
      </c>
      <c r="N1543" s="16">
        <f t="shared" si="24"/>
        <v>0.10342037183107802</v>
      </c>
    </row>
    <row r="1544" spans="2:14" ht="14.4" customHeight="1" x14ac:dyDescent="0.3">
      <c r="B1544" s="2" t="s">
        <v>1549</v>
      </c>
      <c r="C1544" s="3">
        <v>43966</v>
      </c>
      <c r="D1544" s="2" t="s">
        <v>2011</v>
      </c>
      <c r="E1544" s="2" t="s">
        <v>2098</v>
      </c>
      <c r="F1544" s="4">
        <v>1730.23</v>
      </c>
      <c r="G1544" s="5">
        <v>475.44</v>
      </c>
      <c r="H1544" s="6">
        <v>6</v>
      </c>
      <c r="I1544" s="2" t="s">
        <v>2118</v>
      </c>
      <c r="J1544" s="2" t="str">
        <v>Deliver Viral Channels</v>
      </c>
      <c r="K1544" s="2" t="str">
        <v>Furniture</v>
      </c>
      <c r="L1544" s="2" t="str">
        <v>Parker LLC</v>
      </c>
      <c r="M1544" s="2">
        <v>45.41</v>
      </c>
      <c r="N1544" s="16">
        <f t="shared" si="24"/>
        <v>0.27478427723481846</v>
      </c>
    </row>
    <row r="1545" spans="2:14" ht="14.4" customHeight="1" x14ac:dyDescent="0.3">
      <c r="B1545" s="2" t="s">
        <v>1550</v>
      </c>
      <c r="C1545" s="3">
        <v>44328</v>
      </c>
      <c r="D1545" s="2" t="s">
        <v>2009</v>
      </c>
      <c r="E1545" s="2" t="s">
        <v>2104</v>
      </c>
      <c r="F1545" s="4">
        <v>2274.1999999999998</v>
      </c>
      <c r="G1545" s="5">
        <v>78.790000000000006</v>
      </c>
      <c r="H1545" s="6">
        <v>4</v>
      </c>
      <c r="I1545" s="2" t="s">
        <v>2117</v>
      </c>
      <c r="J1545" s="2" t="str">
        <v>Scale Cross-Platform Web Services</v>
      </c>
      <c r="K1545" s="2" t="str">
        <v>Furniture</v>
      </c>
      <c r="L1545" s="2" t="str">
        <v>Morrow, Brock and Lewis</v>
      </c>
      <c r="M1545" s="2">
        <v>115.21</v>
      </c>
      <c r="N1545" s="16">
        <f t="shared" si="24"/>
        <v>3.4645149942837045E-2</v>
      </c>
    </row>
    <row r="1546" spans="2:14" ht="14.4" customHeight="1" x14ac:dyDescent="0.3">
      <c r="B1546" s="2" t="s">
        <v>1551</v>
      </c>
      <c r="C1546" s="3">
        <v>44755</v>
      </c>
      <c r="D1546" s="2" t="s">
        <v>2010</v>
      </c>
      <c r="E1546" s="2" t="s">
        <v>2097</v>
      </c>
      <c r="F1546" s="4">
        <v>4886.74</v>
      </c>
      <c r="G1546" s="5">
        <v>706.34</v>
      </c>
      <c r="H1546" s="6">
        <v>19</v>
      </c>
      <c r="I1546" s="2" t="s">
        <v>2118</v>
      </c>
      <c r="J1546" s="2" t="str">
        <v>Generate End-To-End Functionalities</v>
      </c>
      <c r="K1546" s="2" t="str">
        <v>Electronics</v>
      </c>
      <c r="L1546" s="2" t="str">
        <v>Sanchez-Stewart</v>
      </c>
      <c r="M1546" s="2">
        <v>196.15</v>
      </c>
      <c r="N1546" s="16">
        <f t="shared" si="24"/>
        <v>0.14454216921710589</v>
      </c>
    </row>
    <row r="1547" spans="2:14" ht="14.4" customHeight="1" x14ac:dyDescent="0.3">
      <c r="B1547" s="2" t="s">
        <v>1552</v>
      </c>
      <c r="C1547" s="3">
        <v>44082</v>
      </c>
      <c r="D1547" s="2" t="s">
        <v>2010</v>
      </c>
      <c r="E1547" s="2" t="s">
        <v>2014</v>
      </c>
      <c r="F1547" s="4">
        <v>4805.16</v>
      </c>
      <c r="G1547" s="5">
        <v>723.74</v>
      </c>
      <c r="H1547" s="6">
        <v>10</v>
      </c>
      <c r="I1547" s="2" t="s">
        <v>2117</v>
      </c>
      <c r="J1547" s="2" t="str">
        <v>E-Enable Synergistic Vortals</v>
      </c>
      <c r="K1547" s="2" t="str">
        <v>Electronics</v>
      </c>
      <c r="L1547" s="2" t="str">
        <v>Guzman Group</v>
      </c>
      <c r="M1547" s="2">
        <v>278.43</v>
      </c>
      <c r="N1547" s="16">
        <f t="shared" si="24"/>
        <v>0.15061725311956314</v>
      </c>
    </row>
    <row r="1548" spans="2:14" ht="14.4" customHeight="1" x14ac:dyDescent="0.3">
      <c r="B1548" s="2" t="s">
        <v>1553</v>
      </c>
      <c r="C1548" s="3">
        <v>45201</v>
      </c>
      <c r="D1548" s="2" t="s">
        <v>2009</v>
      </c>
      <c r="E1548" s="2" t="s">
        <v>2106</v>
      </c>
      <c r="F1548" s="4">
        <v>2370.75</v>
      </c>
      <c r="G1548" s="5">
        <v>462.82</v>
      </c>
      <c r="H1548" s="6">
        <v>2</v>
      </c>
      <c r="I1548" s="2" t="s">
        <v>2118</v>
      </c>
      <c r="J1548" s="2" t="str">
        <v>Scale Bleeding-Edge Schemas</v>
      </c>
      <c r="K1548" s="2" t="str">
        <v>Electronics</v>
      </c>
      <c r="L1548" s="2" t="str">
        <v>Frazier-Schneider</v>
      </c>
      <c r="M1548" s="2">
        <v>54.8</v>
      </c>
      <c r="N1548" s="16">
        <f t="shared" si="24"/>
        <v>0.1952209216492671</v>
      </c>
    </row>
    <row r="1549" spans="2:14" ht="14.4" customHeight="1" x14ac:dyDescent="0.3">
      <c r="B1549" s="2" t="s">
        <v>1554</v>
      </c>
      <c r="C1549" s="3">
        <v>44804</v>
      </c>
      <c r="D1549" s="2" t="s">
        <v>2011</v>
      </c>
      <c r="E1549" s="2" t="s">
        <v>2057</v>
      </c>
      <c r="F1549" s="4">
        <v>4047.4</v>
      </c>
      <c r="G1549" s="5">
        <v>404.82</v>
      </c>
      <c r="H1549" s="6">
        <v>1</v>
      </c>
      <c r="I1549" s="2" t="s">
        <v>2117</v>
      </c>
      <c r="J1549" s="2" t="str">
        <v>Reinvent Out-Of-The-Box Models</v>
      </c>
      <c r="K1549" s="2" t="str">
        <v>Office Supplies</v>
      </c>
      <c r="L1549" s="2" t="str">
        <v>Wagner-Curtis</v>
      </c>
      <c r="M1549" s="2">
        <v>172.34</v>
      </c>
      <c r="N1549" s="16">
        <f t="shared" si="24"/>
        <v>0.10001976577555961</v>
      </c>
    </row>
    <row r="1550" spans="2:14" ht="14.4" customHeight="1" x14ac:dyDescent="0.3">
      <c r="B1550" s="2" t="s">
        <v>1555</v>
      </c>
      <c r="C1550" s="3">
        <v>45032</v>
      </c>
      <c r="D1550" s="2" t="s">
        <v>2010</v>
      </c>
      <c r="E1550" s="2" t="s">
        <v>2013</v>
      </c>
      <c r="F1550" s="4">
        <v>1372.52</v>
      </c>
      <c r="G1550" s="5">
        <v>848.08</v>
      </c>
      <c r="H1550" s="6">
        <v>16</v>
      </c>
      <c r="I1550" s="2" t="s">
        <v>2116</v>
      </c>
      <c r="J1550" s="2" t="str">
        <v>Re-Intermediate Seamless Applications</v>
      </c>
      <c r="K1550" s="2" t="str">
        <v>Office Supplies</v>
      </c>
      <c r="L1550" s="2" t="str">
        <v>Welch-Reed</v>
      </c>
      <c r="M1550" s="2">
        <v>45.82</v>
      </c>
      <c r="N1550" s="16">
        <f t="shared" si="24"/>
        <v>0.61789992131262206</v>
      </c>
    </row>
    <row r="1551" spans="2:14" ht="14.4" customHeight="1" x14ac:dyDescent="0.3">
      <c r="B1551" s="2" t="s">
        <v>1556</v>
      </c>
      <c r="C1551" s="3">
        <v>44993</v>
      </c>
      <c r="D1551" s="2" t="s">
        <v>2009</v>
      </c>
      <c r="E1551" s="2" t="s">
        <v>2036</v>
      </c>
      <c r="F1551" s="4">
        <v>3131.61</v>
      </c>
      <c r="G1551" s="5">
        <v>186.67</v>
      </c>
      <c r="H1551" s="6">
        <v>2</v>
      </c>
      <c r="I1551" s="2" t="s">
        <v>2117</v>
      </c>
      <c r="J1551" s="2" t="str">
        <v>Innovate Strategic Systems</v>
      </c>
      <c r="K1551" s="2" t="str">
        <v>Office Supplies</v>
      </c>
      <c r="L1551" s="2" t="str">
        <v>Mcfarland, Parker and Armstrong</v>
      </c>
      <c r="M1551" s="2">
        <v>70.239999999999995</v>
      </c>
      <c r="N1551" s="16">
        <f t="shared" si="24"/>
        <v>5.9608316488962539E-2</v>
      </c>
    </row>
    <row r="1552" spans="2:14" ht="14.4" customHeight="1" x14ac:dyDescent="0.3">
      <c r="B1552" s="2" t="s">
        <v>1557</v>
      </c>
      <c r="C1552" s="3">
        <v>43957</v>
      </c>
      <c r="D1552" s="2" t="s">
        <v>2012</v>
      </c>
      <c r="E1552" s="2" t="s">
        <v>2019</v>
      </c>
      <c r="F1552" s="4">
        <v>4668.43</v>
      </c>
      <c r="G1552" s="5">
        <v>221.57</v>
      </c>
      <c r="H1552" s="6">
        <v>20</v>
      </c>
      <c r="I1552" s="2" t="s">
        <v>2118</v>
      </c>
      <c r="J1552" s="2" t="str">
        <v>Implement Clicks-And-Mortar Partnerships</v>
      </c>
      <c r="K1552" s="2" t="str">
        <v>Electronics</v>
      </c>
      <c r="L1552" s="2" t="str">
        <v>Smith Inc</v>
      </c>
      <c r="M1552" s="2">
        <v>195.53</v>
      </c>
      <c r="N1552" s="16">
        <f t="shared" si="24"/>
        <v>4.7461352103383786E-2</v>
      </c>
    </row>
    <row r="1553" spans="2:14" ht="14.4" customHeight="1" x14ac:dyDescent="0.3">
      <c r="B1553" s="2" t="s">
        <v>1558</v>
      </c>
      <c r="C1553" s="3">
        <v>45286</v>
      </c>
      <c r="D1553" s="2" t="s">
        <v>2009</v>
      </c>
      <c r="E1553" s="2" t="s">
        <v>2024</v>
      </c>
      <c r="F1553" s="4">
        <v>782.53</v>
      </c>
      <c r="G1553" s="5">
        <v>961.87</v>
      </c>
      <c r="H1553" s="6">
        <v>13</v>
      </c>
      <c r="I1553" s="2" t="s">
        <v>2118</v>
      </c>
      <c r="J1553" s="2" t="str">
        <v>Target Viral Methodologies</v>
      </c>
      <c r="K1553" s="2" t="str">
        <v>Electronics</v>
      </c>
      <c r="L1553" s="2" t="str">
        <v>Alvarez, Myers and Walter</v>
      </c>
      <c r="M1553" s="2">
        <v>149.26</v>
      </c>
      <c r="N1553" s="16">
        <f t="shared" si="24"/>
        <v>1.2291797119599248</v>
      </c>
    </row>
    <row r="1554" spans="2:14" ht="14.4" customHeight="1" x14ac:dyDescent="0.3">
      <c r="B1554" s="2" t="s">
        <v>1559</v>
      </c>
      <c r="C1554" s="3">
        <v>45252</v>
      </c>
      <c r="D1554" s="2" t="s">
        <v>2010</v>
      </c>
      <c r="E1554" s="2" t="s">
        <v>2097</v>
      </c>
      <c r="F1554" s="4">
        <v>1434.21</v>
      </c>
      <c r="G1554" s="5">
        <v>422.15</v>
      </c>
      <c r="H1554" s="6">
        <v>6</v>
      </c>
      <c r="I1554" s="2" t="s">
        <v>2117</v>
      </c>
      <c r="J1554" s="2" t="str">
        <v>Generate End-To-End Functionalities</v>
      </c>
      <c r="K1554" s="2" t="str">
        <v>Electronics</v>
      </c>
      <c r="L1554" s="2" t="str">
        <v>Sanchez-Stewart</v>
      </c>
      <c r="M1554" s="2">
        <v>196.15</v>
      </c>
      <c r="N1554" s="16">
        <f t="shared" si="24"/>
        <v>0.29434322728191825</v>
      </c>
    </row>
    <row r="1555" spans="2:14" ht="14.4" customHeight="1" x14ac:dyDescent="0.3">
      <c r="B1555" s="2" t="s">
        <v>1560</v>
      </c>
      <c r="C1555" s="3">
        <v>44079</v>
      </c>
      <c r="D1555" s="2" t="s">
        <v>2010</v>
      </c>
      <c r="E1555" s="2" t="s">
        <v>2053</v>
      </c>
      <c r="F1555" s="4">
        <v>678.6</v>
      </c>
      <c r="G1555" s="5">
        <v>321.58999999999997</v>
      </c>
      <c r="H1555" s="6">
        <v>12</v>
      </c>
      <c r="I1555" s="2" t="s">
        <v>2118</v>
      </c>
      <c r="J1555" s="2" t="str">
        <v>Transition Mission-Critical Interfaces</v>
      </c>
      <c r="K1555" s="2" t="str">
        <v>Office Supplies</v>
      </c>
      <c r="L1555" s="2" t="str">
        <v>Weaver Ltd</v>
      </c>
      <c r="M1555" s="2">
        <v>34.64</v>
      </c>
      <c r="N1555" s="16">
        <f t="shared" si="24"/>
        <v>0.47390215148835835</v>
      </c>
    </row>
    <row r="1556" spans="2:14" ht="14.4" customHeight="1" x14ac:dyDescent="0.3">
      <c r="B1556" s="2" t="s">
        <v>1561</v>
      </c>
      <c r="C1556" s="3">
        <v>43949</v>
      </c>
      <c r="D1556" s="2" t="s">
        <v>2011</v>
      </c>
      <c r="E1556" s="2" t="s">
        <v>2061</v>
      </c>
      <c r="F1556" s="4">
        <v>3102.5</v>
      </c>
      <c r="G1556" s="5">
        <v>72.27</v>
      </c>
      <c r="H1556" s="6">
        <v>9</v>
      </c>
      <c r="I1556" s="2" t="s">
        <v>2118</v>
      </c>
      <c r="J1556" s="2" t="str">
        <v>Optimize Collaborative Initiatives</v>
      </c>
      <c r="K1556" s="2" t="str">
        <v>Electronics</v>
      </c>
      <c r="L1556" s="2" t="str">
        <v>Adkins Ltd</v>
      </c>
      <c r="M1556" s="2">
        <v>34.46</v>
      </c>
      <c r="N1556" s="16">
        <f t="shared" si="24"/>
        <v>2.3294117647058823E-2</v>
      </c>
    </row>
    <row r="1557" spans="2:14" ht="14.4" customHeight="1" x14ac:dyDescent="0.3">
      <c r="B1557" s="2" t="s">
        <v>1562</v>
      </c>
      <c r="C1557" s="3">
        <v>44656</v>
      </c>
      <c r="D1557" s="2" t="s">
        <v>2010</v>
      </c>
      <c r="E1557" s="2" t="s">
        <v>2108</v>
      </c>
      <c r="F1557" s="4">
        <v>1052.95</v>
      </c>
      <c r="G1557" s="5">
        <v>718.43</v>
      </c>
      <c r="H1557" s="6">
        <v>8</v>
      </c>
      <c r="I1557" s="2" t="s">
        <v>2117</v>
      </c>
      <c r="J1557" s="2" t="str">
        <v>Whiteboard B2B Content</v>
      </c>
      <c r="K1557" s="2" t="str">
        <v>Office Supplies</v>
      </c>
      <c r="L1557" s="2" t="str">
        <v>Romero PLC</v>
      </c>
      <c r="M1557" s="2">
        <v>93.81</v>
      </c>
      <c r="N1557" s="16">
        <f t="shared" si="24"/>
        <v>0.68230210361365684</v>
      </c>
    </row>
    <row r="1558" spans="2:14" ht="14.4" customHeight="1" x14ac:dyDescent="0.3">
      <c r="B1558" s="2" t="s">
        <v>1563</v>
      </c>
      <c r="C1558" s="3">
        <v>44571</v>
      </c>
      <c r="D1558" s="2" t="s">
        <v>2009</v>
      </c>
      <c r="E1558" s="2" t="s">
        <v>2035</v>
      </c>
      <c r="F1558" s="4">
        <v>3514.04</v>
      </c>
      <c r="G1558" s="5">
        <v>129.04</v>
      </c>
      <c r="H1558" s="6">
        <v>9</v>
      </c>
      <c r="I1558" s="2" t="s">
        <v>2118</v>
      </c>
      <c r="J1558" s="2" t="str">
        <v>Optimize 24/365 E-Services</v>
      </c>
      <c r="K1558" s="2" t="str">
        <v>Office Supplies</v>
      </c>
      <c r="L1558" s="2" t="str">
        <v>Chase Ltd</v>
      </c>
      <c r="M1558" s="2">
        <v>100.35</v>
      </c>
      <c r="N1558" s="16">
        <f t="shared" si="24"/>
        <v>3.6721266690191344E-2</v>
      </c>
    </row>
    <row r="1559" spans="2:14" ht="14.4" customHeight="1" x14ac:dyDescent="0.3">
      <c r="B1559" s="2" t="s">
        <v>1564</v>
      </c>
      <c r="C1559" s="3">
        <v>44465</v>
      </c>
      <c r="D1559" s="2" t="s">
        <v>2009</v>
      </c>
      <c r="E1559" s="2" t="s">
        <v>2092</v>
      </c>
      <c r="F1559" s="4">
        <v>2124.58</v>
      </c>
      <c r="G1559" s="5">
        <v>319.24</v>
      </c>
      <c r="H1559" s="6">
        <v>12</v>
      </c>
      <c r="I1559" s="2" t="s">
        <v>2118</v>
      </c>
      <c r="J1559" s="2" t="str">
        <v>Seize Clicks-And-Mortar Platforms</v>
      </c>
      <c r="K1559" s="2" t="str">
        <v>Office Supplies</v>
      </c>
      <c r="L1559" s="2" t="str">
        <v>Owens, Campos and Wood</v>
      </c>
      <c r="M1559" s="2">
        <v>271.16000000000003</v>
      </c>
      <c r="N1559" s="16">
        <f t="shared" si="24"/>
        <v>0.15026028673902608</v>
      </c>
    </row>
    <row r="1560" spans="2:14" ht="14.4" customHeight="1" x14ac:dyDescent="0.3">
      <c r="B1560" s="2" t="s">
        <v>1565</v>
      </c>
      <c r="C1560" s="3">
        <v>44608</v>
      </c>
      <c r="D1560" s="2" t="s">
        <v>2011</v>
      </c>
      <c r="E1560" s="2" t="s">
        <v>2089</v>
      </c>
      <c r="F1560" s="4">
        <v>244.03</v>
      </c>
      <c r="G1560" s="5">
        <v>977.44</v>
      </c>
      <c r="H1560" s="6">
        <v>14</v>
      </c>
      <c r="I1560" s="2" t="s">
        <v>2118</v>
      </c>
      <c r="J1560" s="2" t="str">
        <v>Morph World-Class Synergies</v>
      </c>
      <c r="K1560" s="2" t="str">
        <v>Electronics</v>
      </c>
      <c r="L1560" s="2" t="str">
        <v>Bryant Ltd</v>
      </c>
      <c r="M1560" s="2">
        <v>20.69</v>
      </c>
      <c r="N1560" s="16">
        <f t="shared" si="24"/>
        <v>4.0054091710035653</v>
      </c>
    </row>
    <row r="1561" spans="2:14" ht="14.4" customHeight="1" x14ac:dyDescent="0.3">
      <c r="B1561" s="2" t="s">
        <v>1566</v>
      </c>
      <c r="C1561" s="3">
        <v>45513</v>
      </c>
      <c r="D1561" s="2" t="s">
        <v>2011</v>
      </c>
      <c r="E1561" s="2" t="s">
        <v>2040</v>
      </c>
      <c r="F1561" s="4">
        <v>2715.21</v>
      </c>
      <c r="G1561" s="5">
        <v>743.98</v>
      </c>
      <c r="H1561" s="6">
        <v>15</v>
      </c>
      <c r="I1561" s="2" t="s">
        <v>2117</v>
      </c>
      <c r="J1561" s="2" t="str">
        <v>Synergize End-To-End Supply-Chains</v>
      </c>
      <c r="K1561" s="2" t="str">
        <v>Office Supplies</v>
      </c>
      <c r="L1561" s="2" t="str">
        <v>Higgins-Espinoza</v>
      </c>
      <c r="M1561" s="2">
        <v>279.8</v>
      </c>
      <c r="N1561" s="16">
        <f t="shared" si="24"/>
        <v>0.27400458896365293</v>
      </c>
    </row>
    <row r="1562" spans="2:14" ht="14.4" customHeight="1" x14ac:dyDescent="0.3">
      <c r="B1562" s="2" t="s">
        <v>1567</v>
      </c>
      <c r="C1562" s="3">
        <v>45248</v>
      </c>
      <c r="D1562" s="2" t="s">
        <v>2010</v>
      </c>
      <c r="E1562" s="2" t="s">
        <v>2072</v>
      </c>
      <c r="F1562" s="4">
        <v>3957.65</v>
      </c>
      <c r="G1562" s="5">
        <v>211.53</v>
      </c>
      <c r="H1562" s="6">
        <v>12</v>
      </c>
      <c r="I1562" s="2" t="s">
        <v>2116</v>
      </c>
      <c r="J1562" s="2" t="str">
        <v>Evolve Innovative Web Services</v>
      </c>
      <c r="K1562" s="2" t="str">
        <v>Furniture</v>
      </c>
      <c r="L1562" s="2" t="str">
        <v>Bush Inc</v>
      </c>
      <c r="M1562" s="2">
        <v>87.75</v>
      </c>
      <c r="N1562" s="16">
        <f t="shared" si="24"/>
        <v>5.3448384773792525E-2</v>
      </c>
    </row>
    <row r="1563" spans="2:14" ht="14.4" customHeight="1" x14ac:dyDescent="0.3">
      <c r="B1563" s="2" t="s">
        <v>1568</v>
      </c>
      <c r="C1563" s="3">
        <v>44390</v>
      </c>
      <c r="D1563" s="2" t="s">
        <v>2009</v>
      </c>
      <c r="E1563" s="2" t="s">
        <v>2031</v>
      </c>
      <c r="F1563" s="4">
        <v>1507.33</v>
      </c>
      <c r="G1563" s="5">
        <v>805.01</v>
      </c>
      <c r="H1563" s="6">
        <v>2</v>
      </c>
      <c r="I1563" s="2" t="s">
        <v>2118</v>
      </c>
      <c r="J1563" s="2" t="str">
        <v>Embrace 24/365 Functionalities</v>
      </c>
      <c r="K1563" s="2" t="str">
        <v>Office Supplies</v>
      </c>
      <c r="L1563" s="2" t="str">
        <v>Smith LLC</v>
      </c>
      <c r="M1563" s="2">
        <v>204.04</v>
      </c>
      <c r="N1563" s="16">
        <f t="shared" si="24"/>
        <v>0.5340635428207493</v>
      </c>
    </row>
    <row r="1564" spans="2:14" ht="14.4" customHeight="1" x14ac:dyDescent="0.3">
      <c r="B1564" s="2" t="s">
        <v>1569</v>
      </c>
      <c r="C1564" s="3">
        <v>44398</v>
      </c>
      <c r="D1564" s="2" t="s">
        <v>2009</v>
      </c>
      <c r="E1564" s="2" t="s">
        <v>2070</v>
      </c>
      <c r="F1564" s="4">
        <v>3562.34</v>
      </c>
      <c r="G1564" s="5">
        <v>799.22</v>
      </c>
      <c r="H1564" s="6">
        <v>14</v>
      </c>
      <c r="I1564" s="2" t="s">
        <v>2116</v>
      </c>
      <c r="J1564" s="2" t="str">
        <v>Seize Plug-And-Play Web-Readiness</v>
      </c>
      <c r="K1564" s="2" t="str">
        <v>Electronics</v>
      </c>
      <c r="L1564" s="2" t="str">
        <v>Joseph, Mayer and Carr</v>
      </c>
      <c r="M1564" s="2">
        <v>102.73</v>
      </c>
      <c r="N1564" s="16">
        <f t="shared" si="24"/>
        <v>0.22435253232425878</v>
      </c>
    </row>
    <row r="1565" spans="2:14" ht="14.4" customHeight="1" x14ac:dyDescent="0.3">
      <c r="B1565" s="2" t="s">
        <v>1570</v>
      </c>
      <c r="C1565" s="3">
        <v>45532</v>
      </c>
      <c r="D1565" s="2" t="s">
        <v>2010</v>
      </c>
      <c r="E1565" s="2" t="s">
        <v>2065</v>
      </c>
      <c r="F1565" s="4">
        <v>1036.51</v>
      </c>
      <c r="G1565" s="5">
        <v>884.33</v>
      </c>
      <c r="H1565" s="6">
        <v>6</v>
      </c>
      <c r="I1565" s="2" t="s">
        <v>2118</v>
      </c>
      <c r="J1565" s="2" t="str">
        <v>Re-Contextualize Integrated Info-Mediaries</v>
      </c>
      <c r="K1565" s="2" t="str">
        <v>Electronics</v>
      </c>
      <c r="L1565" s="2" t="str">
        <v>Jones-Schroeder</v>
      </c>
      <c r="M1565" s="2">
        <v>26.02</v>
      </c>
      <c r="N1565" s="16">
        <f t="shared" si="24"/>
        <v>0.85318038417381414</v>
      </c>
    </row>
    <row r="1566" spans="2:14" ht="14.4" customHeight="1" x14ac:dyDescent="0.3">
      <c r="B1566" s="2" t="s">
        <v>1571</v>
      </c>
      <c r="C1566" s="3">
        <v>43838</v>
      </c>
      <c r="D1566" s="2" t="s">
        <v>2012</v>
      </c>
      <c r="E1566" s="2" t="s">
        <v>2034</v>
      </c>
      <c r="F1566" s="4">
        <v>408.33</v>
      </c>
      <c r="G1566" s="5">
        <v>430.54</v>
      </c>
      <c r="H1566" s="6">
        <v>7</v>
      </c>
      <c r="I1566" s="2" t="s">
        <v>2116</v>
      </c>
      <c r="J1566" s="2" t="str">
        <v>Utilize Virtual Partnerships</v>
      </c>
      <c r="K1566" s="2" t="str">
        <v>Furniture</v>
      </c>
      <c r="L1566" s="2" t="str">
        <v>Smith, Diaz and Heath</v>
      </c>
      <c r="M1566" s="2">
        <v>193.02</v>
      </c>
      <c r="N1566" s="16">
        <f t="shared" si="24"/>
        <v>1.0543922807533124</v>
      </c>
    </row>
    <row r="1567" spans="2:14" ht="14.4" customHeight="1" x14ac:dyDescent="0.3">
      <c r="B1567" s="2" t="s">
        <v>1572</v>
      </c>
      <c r="C1567" s="3">
        <v>44891</v>
      </c>
      <c r="D1567" s="2" t="s">
        <v>2009</v>
      </c>
      <c r="E1567" s="2" t="s">
        <v>2026</v>
      </c>
      <c r="F1567" s="4">
        <v>2161.29</v>
      </c>
      <c r="G1567" s="5">
        <v>84.96</v>
      </c>
      <c r="H1567" s="6">
        <v>7</v>
      </c>
      <c r="I1567" s="2" t="s">
        <v>2116</v>
      </c>
      <c r="J1567" s="2" t="str">
        <v>Monetize Wireless Functionalities</v>
      </c>
      <c r="K1567" s="2" t="str">
        <v>Furniture</v>
      </c>
      <c r="L1567" s="2" t="str">
        <v>Robinson, Rodriguez and Hernandez</v>
      </c>
      <c r="M1567" s="2">
        <v>162.22</v>
      </c>
      <c r="N1567" s="16">
        <f t="shared" si="24"/>
        <v>3.930985661341143E-2</v>
      </c>
    </row>
    <row r="1568" spans="2:14" ht="14.4" customHeight="1" x14ac:dyDescent="0.3">
      <c r="B1568" s="2" t="s">
        <v>1573</v>
      </c>
      <c r="C1568" s="3">
        <v>43891</v>
      </c>
      <c r="D1568" s="2" t="s">
        <v>2012</v>
      </c>
      <c r="E1568" s="2" t="s">
        <v>2084</v>
      </c>
      <c r="F1568" s="4">
        <v>3138.39</v>
      </c>
      <c r="G1568" s="5">
        <v>163.05000000000001</v>
      </c>
      <c r="H1568" s="6">
        <v>18</v>
      </c>
      <c r="I1568" s="2" t="s">
        <v>2118</v>
      </c>
      <c r="J1568" s="2" t="str">
        <v>Grow Synergistic Infrastructures</v>
      </c>
      <c r="K1568" s="2" t="str">
        <v>Furniture</v>
      </c>
      <c r="L1568" s="2" t="str">
        <v>Adams-Carter</v>
      </c>
      <c r="M1568" s="2">
        <v>113.17</v>
      </c>
      <c r="N1568" s="16">
        <f t="shared" si="24"/>
        <v>5.195339011403937E-2</v>
      </c>
    </row>
    <row r="1569" spans="2:14" ht="14.4" customHeight="1" x14ac:dyDescent="0.3">
      <c r="B1569" s="2" t="s">
        <v>1574</v>
      </c>
      <c r="C1569" s="3">
        <v>44073</v>
      </c>
      <c r="D1569" s="2" t="s">
        <v>2009</v>
      </c>
      <c r="E1569" s="2" t="s">
        <v>2106</v>
      </c>
      <c r="F1569" s="4">
        <v>4169.3</v>
      </c>
      <c r="G1569" s="5">
        <v>93.25</v>
      </c>
      <c r="H1569" s="6">
        <v>17</v>
      </c>
      <c r="I1569" s="2" t="s">
        <v>2117</v>
      </c>
      <c r="J1569" s="2" t="str">
        <v>Scale Bleeding-Edge Schemas</v>
      </c>
      <c r="K1569" s="2" t="str">
        <v>Electronics</v>
      </c>
      <c r="L1569" s="2" t="str">
        <v>Frazier-Schneider</v>
      </c>
      <c r="M1569" s="2">
        <v>54.8</v>
      </c>
      <c r="N1569" s="16">
        <f t="shared" si="24"/>
        <v>2.2365864773463171E-2</v>
      </c>
    </row>
    <row r="1570" spans="2:14" ht="14.4" customHeight="1" x14ac:dyDescent="0.3">
      <c r="B1570" s="2" t="s">
        <v>1575</v>
      </c>
      <c r="C1570" s="3">
        <v>44206</v>
      </c>
      <c r="D1570" s="2" t="s">
        <v>2011</v>
      </c>
      <c r="E1570" s="2" t="s">
        <v>2035</v>
      </c>
      <c r="F1570" s="4">
        <v>868.23</v>
      </c>
      <c r="G1570" s="5">
        <v>693.09</v>
      </c>
      <c r="H1570" s="6">
        <v>1</v>
      </c>
      <c r="I1570" s="2" t="s">
        <v>2117</v>
      </c>
      <c r="J1570" s="2" t="str">
        <v>Optimize 24/365 E-Services</v>
      </c>
      <c r="K1570" s="2" t="str">
        <v>Office Supplies</v>
      </c>
      <c r="L1570" s="2" t="str">
        <v>Chase Ltd</v>
      </c>
      <c r="M1570" s="2">
        <v>100.35</v>
      </c>
      <c r="N1570" s="16">
        <f t="shared" si="24"/>
        <v>0.79827925780035247</v>
      </c>
    </row>
    <row r="1571" spans="2:14" ht="14.4" customHeight="1" x14ac:dyDescent="0.3">
      <c r="B1571" s="2" t="s">
        <v>1576</v>
      </c>
      <c r="C1571" s="3">
        <v>44317</v>
      </c>
      <c r="D1571" s="2" t="s">
        <v>2010</v>
      </c>
      <c r="E1571" s="2" t="s">
        <v>2112</v>
      </c>
      <c r="F1571" s="4">
        <v>1529.87</v>
      </c>
      <c r="G1571" s="5">
        <v>32.340000000000003</v>
      </c>
      <c r="H1571" s="6">
        <v>8</v>
      </c>
      <c r="I1571" s="2" t="s">
        <v>2118</v>
      </c>
      <c r="J1571" s="2" t="str">
        <v>Mesh B2B Platforms</v>
      </c>
      <c r="K1571" s="2" t="str">
        <v>Furniture</v>
      </c>
      <c r="L1571" s="2" t="str">
        <v>Stevens, Walton and Riddle</v>
      </c>
      <c r="M1571" s="2">
        <v>236.57</v>
      </c>
      <c r="N1571" s="16">
        <f t="shared" si="24"/>
        <v>2.1139051030479718E-2</v>
      </c>
    </row>
    <row r="1572" spans="2:14" ht="14.4" customHeight="1" x14ac:dyDescent="0.3">
      <c r="B1572" s="2" t="s">
        <v>1577</v>
      </c>
      <c r="C1572" s="3">
        <v>44953</v>
      </c>
      <c r="D1572" s="2" t="s">
        <v>2011</v>
      </c>
      <c r="E1572" s="2" t="s">
        <v>2028</v>
      </c>
      <c r="F1572" s="4">
        <v>1096.3499999999999</v>
      </c>
      <c r="G1572" s="5">
        <v>766.25</v>
      </c>
      <c r="H1572" s="6">
        <v>19</v>
      </c>
      <c r="I1572" s="2" t="s">
        <v>2118</v>
      </c>
      <c r="J1572" s="2" t="str">
        <v>Synergize World-Class Networks</v>
      </c>
      <c r="K1572" s="2" t="str">
        <v>Electronics</v>
      </c>
      <c r="L1572" s="2" t="str">
        <v>Gomez-Lawrence</v>
      </c>
      <c r="M1572" s="2">
        <v>72.37</v>
      </c>
      <c r="N1572" s="16">
        <f t="shared" si="24"/>
        <v>0.6989100196105259</v>
      </c>
    </row>
    <row r="1573" spans="2:14" ht="14.4" customHeight="1" x14ac:dyDescent="0.3">
      <c r="B1573" s="2" t="s">
        <v>1578</v>
      </c>
      <c r="C1573" s="3">
        <v>45003</v>
      </c>
      <c r="D1573" s="2" t="s">
        <v>2009</v>
      </c>
      <c r="E1573" s="2" t="s">
        <v>2111</v>
      </c>
      <c r="F1573" s="4">
        <v>2029.03</v>
      </c>
      <c r="G1573" s="5">
        <v>612.91</v>
      </c>
      <c r="H1573" s="6">
        <v>8</v>
      </c>
      <c r="I1573" s="2" t="s">
        <v>2118</v>
      </c>
      <c r="J1573" s="2" t="str">
        <v>Evolve Intuitive Bandwidth</v>
      </c>
      <c r="K1573" s="2" t="str">
        <v>Office Supplies</v>
      </c>
      <c r="L1573" s="2" t="str">
        <v>Rogers Group</v>
      </c>
      <c r="M1573" s="2">
        <v>131.63</v>
      </c>
      <c r="N1573" s="16">
        <f t="shared" si="24"/>
        <v>0.30207044745518796</v>
      </c>
    </row>
    <row r="1574" spans="2:14" ht="14.4" customHeight="1" x14ac:dyDescent="0.3">
      <c r="B1574" s="2" t="s">
        <v>1579</v>
      </c>
      <c r="C1574" s="3">
        <v>44381</v>
      </c>
      <c r="D1574" s="2" t="s">
        <v>2009</v>
      </c>
      <c r="E1574" s="2" t="s">
        <v>2075</v>
      </c>
      <c r="F1574" s="4">
        <v>4630.04</v>
      </c>
      <c r="G1574" s="5">
        <v>489.32</v>
      </c>
      <c r="H1574" s="6">
        <v>2</v>
      </c>
      <c r="I1574" s="2" t="s">
        <v>2116</v>
      </c>
      <c r="J1574" s="2" t="str">
        <v>Reinvent Visionary Niches</v>
      </c>
      <c r="K1574" s="2" t="str">
        <v>Furniture</v>
      </c>
      <c r="L1574" s="2" t="str">
        <v>Huber-Richmond</v>
      </c>
      <c r="M1574" s="2">
        <v>219.81</v>
      </c>
      <c r="N1574" s="16">
        <f t="shared" si="24"/>
        <v>0.10568375219220569</v>
      </c>
    </row>
    <row r="1575" spans="2:14" ht="14.4" customHeight="1" x14ac:dyDescent="0.3">
      <c r="B1575" s="2" t="s">
        <v>1580</v>
      </c>
      <c r="C1575" s="3">
        <v>43854</v>
      </c>
      <c r="D1575" s="2" t="s">
        <v>2011</v>
      </c>
      <c r="E1575" s="2" t="s">
        <v>2027</v>
      </c>
      <c r="F1575" s="4">
        <v>1379.48</v>
      </c>
      <c r="G1575" s="5">
        <v>367.59</v>
      </c>
      <c r="H1575" s="6">
        <v>1</v>
      </c>
      <c r="I1575" s="2" t="s">
        <v>2117</v>
      </c>
      <c r="J1575" s="2" t="str">
        <v>Monetize Value-Added Niches</v>
      </c>
      <c r="K1575" s="2" t="str">
        <v>Office Supplies</v>
      </c>
      <c r="L1575" s="2" t="str">
        <v>Foster, Velazquez and Lee</v>
      </c>
      <c r="M1575" s="2">
        <v>171.51</v>
      </c>
      <c r="N1575" s="16">
        <f t="shared" si="24"/>
        <v>0.2664699741931742</v>
      </c>
    </row>
    <row r="1576" spans="2:14" ht="14.4" customHeight="1" x14ac:dyDescent="0.3">
      <c r="B1576" s="2" t="s">
        <v>1581</v>
      </c>
      <c r="C1576" s="3">
        <v>45142</v>
      </c>
      <c r="D1576" s="2" t="s">
        <v>2010</v>
      </c>
      <c r="E1576" s="2" t="s">
        <v>2067</v>
      </c>
      <c r="F1576" s="4">
        <v>4052.38</v>
      </c>
      <c r="G1576" s="5">
        <v>514.04</v>
      </c>
      <c r="H1576" s="6">
        <v>16</v>
      </c>
      <c r="I1576" s="2" t="s">
        <v>2117</v>
      </c>
      <c r="J1576" s="2" t="str">
        <v>Transition Compelling Web-Readiness</v>
      </c>
      <c r="K1576" s="2" t="str">
        <v>Furniture</v>
      </c>
      <c r="L1576" s="2" t="str">
        <v>Wood-Beck</v>
      </c>
      <c r="M1576" s="2">
        <v>88.34</v>
      </c>
      <c r="N1576" s="16">
        <f t="shared" si="24"/>
        <v>0.1268489134780055</v>
      </c>
    </row>
    <row r="1577" spans="2:14" ht="14.4" customHeight="1" x14ac:dyDescent="0.3">
      <c r="B1577" s="2" t="s">
        <v>1582</v>
      </c>
      <c r="C1577" s="3">
        <v>45473</v>
      </c>
      <c r="D1577" s="2" t="s">
        <v>2012</v>
      </c>
      <c r="E1577" s="2" t="s">
        <v>2112</v>
      </c>
      <c r="F1577" s="4">
        <v>2660.39</v>
      </c>
      <c r="G1577" s="5">
        <v>576.08000000000004</v>
      </c>
      <c r="H1577" s="6">
        <v>16</v>
      </c>
      <c r="I1577" s="2" t="s">
        <v>2116</v>
      </c>
      <c r="J1577" s="2" t="str">
        <v>Mesh B2B Platforms</v>
      </c>
      <c r="K1577" s="2" t="str">
        <v>Furniture</v>
      </c>
      <c r="L1577" s="2" t="str">
        <v>Stevens, Walton and Riddle</v>
      </c>
      <c r="M1577" s="2">
        <v>236.57</v>
      </c>
      <c r="N1577" s="16">
        <f t="shared" si="24"/>
        <v>0.21653968027244128</v>
      </c>
    </row>
    <row r="1578" spans="2:14" ht="14.4" customHeight="1" x14ac:dyDescent="0.3">
      <c r="B1578" s="2" t="s">
        <v>1583</v>
      </c>
      <c r="C1578" s="3">
        <v>44657</v>
      </c>
      <c r="D1578" s="2" t="s">
        <v>2012</v>
      </c>
      <c r="E1578" s="2" t="s">
        <v>2039</v>
      </c>
      <c r="F1578" s="4">
        <v>4764.95</v>
      </c>
      <c r="G1578" s="5">
        <v>914.23</v>
      </c>
      <c r="H1578" s="6">
        <v>3</v>
      </c>
      <c r="I1578" s="2" t="s">
        <v>2118</v>
      </c>
      <c r="J1578" s="2" t="str">
        <v>Empower Dot-Com Deliverables</v>
      </c>
      <c r="K1578" s="2" t="str">
        <v>Electronics</v>
      </c>
      <c r="L1578" s="2" t="str">
        <v>Davis LLC</v>
      </c>
      <c r="M1578" s="2">
        <v>250.66</v>
      </c>
      <c r="N1578" s="16">
        <f t="shared" si="24"/>
        <v>0.19186560194755456</v>
      </c>
    </row>
    <row r="1579" spans="2:14" ht="14.4" customHeight="1" x14ac:dyDescent="0.3">
      <c r="B1579" s="2" t="s">
        <v>1584</v>
      </c>
      <c r="C1579" s="3">
        <v>44284</v>
      </c>
      <c r="D1579" s="2" t="s">
        <v>2009</v>
      </c>
      <c r="E1579" s="2" t="s">
        <v>2110</v>
      </c>
      <c r="F1579" s="4">
        <v>4560.28</v>
      </c>
      <c r="G1579" s="5">
        <v>944.88</v>
      </c>
      <c r="H1579" s="6">
        <v>13</v>
      </c>
      <c r="I1579" s="2" t="s">
        <v>2116</v>
      </c>
      <c r="J1579" s="2" t="str">
        <v>Repurpose End-To-End Networks</v>
      </c>
      <c r="K1579" s="2" t="str">
        <v>Office Supplies</v>
      </c>
      <c r="L1579" s="2" t="str">
        <v>Torres-Rush</v>
      </c>
      <c r="M1579" s="2">
        <v>97.02</v>
      </c>
      <c r="N1579" s="16">
        <f t="shared" si="24"/>
        <v>0.20719780364363594</v>
      </c>
    </row>
    <row r="1580" spans="2:14" ht="14.4" customHeight="1" x14ac:dyDescent="0.3">
      <c r="B1580" s="2" t="s">
        <v>1585</v>
      </c>
      <c r="C1580" s="3">
        <v>44998</v>
      </c>
      <c r="D1580" s="2" t="s">
        <v>2012</v>
      </c>
      <c r="E1580" s="2" t="s">
        <v>2092</v>
      </c>
      <c r="F1580" s="4">
        <v>3942.18</v>
      </c>
      <c r="G1580" s="5">
        <v>886.19</v>
      </c>
      <c r="H1580" s="6">
        <v>12</v>
      </c>
      <c r="I1580" s="2" t="s">
        <v>2116</v>
      </c>
      <c r="J1580" s="2" t="str">
        <v>Seize Clicks-And-Mortar Platforms</v>
      </c>
      <c r="K1580" s="2" t="str">
        <v>Office Supplies</v>
      </c>
      <c r="L1580" s="2" t="str">
        <v>Owens, Campos and Wood</v>
      </c>
      <c r="M1580" s="2">
        <v>271.16000000000003</v>
      </c>
      <c r="N1580" s="16">
        <f t="shared" si="24"/>
        <v>0.22479693976429288</v>
      </c>
    </row>
    <row r="1581" spans="2:14" ht="14.4" customHeight="1" x14ac:dyDescent="0.3">
      <c r="B1581" s="2" t="s">
        <v>1586</v>
      </c>
      <c r="C1581" s="3">
        <v>45482</v>
      </c>
      <c r="D1581" s="2" t="s">
        <v>2011</v>
      </c>
      <c r="E1581" s="2" t="s">
        <v>2063</v>
      </c>
      <c r="F1581" s="4">
        <v>4410.3900000000003</v>
      </c>
      <c r="G1581" s="5">
        <v>807.96</v>
      </c>
      <c r="H1581" s="6">
        <v>3</v>
      </c>
      <c r="I1581" s="2" t="s">
        <v>2118</v>
      </c>
      <c r="J1581" s="2" t="str">
        <v>Unleash End-To-End Web Services</v>
      </c>
      <c r="K1581" s="2" t="str">
        <v>Office Supplies</v>
      </c>
      <c r="L1581" s="2" t="str">
        <v>Jones Ltd</v>
      </c>
      <c r="M1581" s="2">
        <v>188.02</v>
      </c>
      <c r="N1581" s="16">
        <f t="shared" si="24"/>
        <v>0.18319468346336718</v>
      </c>
    </row>
    <row r="1582" spans="2:14" ht="14.4" customHeight="1" x14ac:dyDescent="0.3">
      <c r="B1582" s="2" t="s">
        <v>1587</v>
      </c>
      <c r="C1582" s="3">
        <v>44098</v>
      </c>
      <c r="D1582" s="2" t="s">
        <v>2010</v>
      </c>
      <c r="E1582" s="2" t="s">
        <v>2062</v>
      </c>
      <c r="F1582" s="4">
        <v>2248.39</v>
      </c>
      <c r="G1582" s="5">
        <v>844.82</v>
      </c>
      <c r="H1582" s="6">
        <v>5</v>
      </c>
      <c r="I1582" s="2" t="s">
        <v>2116</v>
      </c>
      <c r="J1582" s="2" t="str">
        <v>Incubate Real-Time E-Tailers</v>
      </c>
      <c r="K1582" s="2" t="str">
        <v>Electronics</v>
      </c>
      <c r="L1582" s="2" t="str">
        <v>Johnson-Riley</v>
      </c>
      <c r="M1582" s="2">
        <v>86.67</v>
      </c>
      <c r="N1582" s="16">
        <f t="shared" si="24"/>
        <v>0.37574442156387466</v>
      </c>
    </row>
    <row r="1583" spans="2:14" ht="14.4" customHeight="1" x14ac:dyDescent="0.3">
      <c r="B1583" s="2" t="s">
        <v>1588</v>
      </c>
      <c r="C1583" s="3">
        <v>45522</v>
      </c>
      <c r="D1583" s="2" t="s">
        <v>2009</v>
      </c>
      <c r="E1583" s="2" t="s">
        <v>2021</v>
      </c>
      <c r="F1583" s="4">
        <v>4623.46</v>
      </c>
      <c r="G1583" s="5">
        <v>591.44000000000005</v>
      </c>
      <c r="H1583" s="6">
        <v>18</v>
      </c>
      <c r="I1583" s="2" t="s">
        <v>2116</v>
      </c>
      <c r="J1583" s="2" t="str">
        <v>Whiteboard Compelling Experiences</v>
      </c>
      <c r="K1583" s="2" t="str">
        <v>Furniture</v>
      </c>
      <c r="L1583" s="2" t="str">
        <v>Carrillo, Carr and Ball</v>
      </c>
      <c r="M1583" s="2">
        <v>206.54</v>
      </c>
      <c r="N1583" s="16">
        <f t="shared" si="24"/>
        <v>0.12792151332551813</v>
      </c>
    </row>
    <row r="1584" spans="2:14" ht="14.4" customHeight="1" x14ac:dyDescent="0.3">
      <c r="B1584" s="2" t="s">
        <v>1589</v>
      </c>
      <c r="C1584" s="3">
        <v>45176</v>
      </c>
      <c r="D1584" s="2" t="s">
        <v>2011</v>
      </c>
      <c r="E1584" s="2" t="s">
        <v>2092</v>
      </c>
      <c r="F1584" s="4">
        <v>2557.15</v>
      </c>
      <c r="G1584" s="5">
        <v>897.56</v>
      </c>
      <c r="H1584" s="6">
        <v>7</v>
      </c>
      <c r="I1584" s="2" t="s">
        <v>2118</v>
      </c>
      <c r="J1584" s="2" t="str">
        <v>Seize Clicks-And-Mortar Platforms</v>
      </c>
      <c r="K1584" s="2" t="str">
        <v>Office Supplies</v>
      </c>
      <c r="L1584" s="2" t="str">
        <v>Owens, Campos and Wood</v>
      </c>
      <c r="M1584" s="2">
        <v>271.16000000000003</v>
      </c>
      <c r="N1584" s="16">
        <f t="shared" si="24"/>
        <v>0.35100013687112602</v>
      </c>
    </row>
    <row r="1585" spans="2:14" ht="14.4" customHeight="1" x14ac:dyDescent="0.3">
      <c r="B1585" s="2" t="s">
        <v>1590</v>
      </c>
      <c r="C1585" s="3">
        <v>44268</v>
      </c>
      <c r="D1585" s="2" t="s">
        <v>2010</v>
      </c>
      <c r="E1585" s="2" t="s">
        <v>2090</v>
      </c>
      <c r="F1585" s="4">
        <v>3310.18</v>
      </c>
      <c r="G1585" s="5">
        <v>795.14</v>
      </c>
      <c r="H1585" s="6">
        <v>10</v>
      </c>
      <c r="I1585" s="2" t="s">
        <v>2117</v>
      </c>
      <c r="J1585" s="2" t="str">
        <v>Empower Bleeding-Edge Action-Items</v>
      </c>
      <c r="K1585" s="2" t="str">
        <v>Furniture</v>
      </c>
      <c r="L1585" s="2" t="str">
        <v>Gray, Hayes and Banks</v>
      </c>
      <c r="M1585" s="2">
        <v>204.26</v>
      </c>
      <c r="N1585" s="16">
        <f t="shared" si="24"/>
        <v>0.24021050214791945</v>
      </c>
    </row>
    <row r="1586" spans="2:14" ht="14.4" customHeight="1" x14ac:dyDescent="0.3">
      <c r="B1586" s="2" t="s">
        <v>1591</v>
      </c>
      <c r="C1586" s="3">
        <v>45283</v>
      </c>
      <c r="D1586" s="2" t="s">
        <v>2009</v>
      </c>
      <c r="E1586" s="2" t="s">
        <v>2088</v>
      </c>
      <c r="F1586" s="4">
        <v>2771.97</v>
      </c>
      <c r="G1586" s="5">
        <v>49.88</v>
      </c>
      <c r="H1586" s="6">
        <v>18</v>
      </c>
      <c r="I1586" s="2" t="s">
        <v>2116</v>
      </c>
      <c r="J1586" s="2" t="str">
        <v>E-Enable Holistic Supply-Chains</v>
      </c>
      <c r="K1586" s="2" t="str">
        <v>Furniture</v>
      </c>
      <c r="L1586" s="2" t="str">
        <v>Lin-Mcdaniel</v>
      </c>
      <c r="M1586" s="2">
        <v>160.33000000000001</v>
      </c>
      <c r="N1586" s="16">
        <f t="shared" si="24"/>
        <v>1.7994422739062835E-2</v>
      </c>
    </row>
    <row r="1587" spans="2:14" ht="14.4" customHeight="1" x14ac:dyDescent="0.3">
      <c r="B1587" s="2" t="s">
        <v>1592</v>
      </c>
      <c r="C1587" s="3">
        <v>44513</v>
      </c>
      <c r="D1587" s="2" t="s">
        <v>2010</v>
      </c>
      <c r="E1587" s="2" t="s">
        <v>2040</v>
      </c>
      <c r="F1587" s="4">
        <v>1431.47</v>
      </c>
      <c r="G1587" s="5">
        <v>167.58</v>
      </c>
      <c r="H1587" s="6">
        <v>14</v>
      </c>
      <c r="I1587" s="2" t="s">
        <v>2117</v>
      </c>
      <c r="J1587" s="2" t="str">
        <v>Synergize End-To-End Supply-Chains</v>
      </c>
      <c r="K1587" s="2" t="str">
        <v>Office Supplies</v>
      </c>
      <c r="L1587" s="2" t="str">
        <v>Higgins-Espinoza</v>
      </c>
      <c r="M1587" s="2">
        <v>279.8</v>
      </c>
      <c r="N1587" s="16">
        <f t="shared" si="24"/>
        <v>0.11706846807826919</v>
      </c>
    </row>
    <row r="1588" spans="2:14" ht="14.4" customHeight="1" x14ac:dyDescent="0.3">
      <c r="B1588" s="2" t="s">
        <v>1593</v>
      </c>
      <c r="C1588" s="3">
        <v>45583</v>
      </c>
      <c r="D1588" s="2" t="s">
        <v>2011</v>
      </c>
      <c r="E1588" s="2" t="s">
        <v>2090</v>
      </c>
      <c r="F1588" s="4">
        <v>3380.91</v>
      </c>
      <c r="G1588" s="5">
        <v>225.95</v>
      </c>
      <c r="H1588" s="6">
        <v>12</v>
      </c>
      <c r="I1588" s="2" t="s">
        <v>2117</v>
      </c>
      <c r="J1588" s="2" t="str">
        <v>Empower Bleeding-Edge Action-Items</v>
      </c>
      <c r="K1588" s="2" t="str">
        <v>Furniture</v>
      </c>
      <c r="L1588" s="2" t="str">
        <v>Gray, Hayes and Banks</v>
      </c>
      <c r="M1588" s="2">
        <v>204.26</v>
      </c>
      <c r="N1588" s="16">
        <f t="shared" si="24"/>
        <v>6.6831119432342184E-2</v>
      </c>
    </row>
    <row r="1589" spans="2:14" ht="14.4" customHeight="1" x14ac:dyDescent="0.3">
      <c r="B1589" s="2" t="s">
        <v>1594</v>
      </c>
      <c r="C1589" s="3">
        <v>45393</v>
      </c>
      <c r="D1589" s="2" t="s">
        <v>2012</v>
      </c>
      <c r="E1589" s="2" t="s">
        <v>2105</v>
      </c>
      <c r="F1589" s="4">
        <v>4743.93</v>
      </c>
      <c r="G1589" s="5">
        <v>762.15</v>
      </c>
      <c r="H1589" s="6">
        <v>1</v>
      </c>
      <c r="I1589" s="2" t="s">
        <v>2118</v>
      </c>
      <c r="J1589" s="2" t="str">
        <v>Brand B2C Info-Mediaries</v>
      </c>
      <c r="K1589" s="2" t="str">
        <v>Office Supplies</v>
      </c>
      <c r="L1589" s="2" t="str">
        <v>Preston Ltd</v>
      </c>
      <c r="M1589" s="2">
        <v>13.46</v>
      </c>
      <c r="N1589" s="16">
        <f t="shared" si="24"/>
        <v>0.16065793550916643</v>
      </c>
    </row>
    <row r="1590" spans="2:14" ht="14.4" customHeight="1" x14ac:dyDescent="0.3">
      <c r="B1590" s="2" t="s">
        <v>1595</v>
      </c>
      <c r="C1590" s="3">
        <v>45316</v>
      </c>
      <c r="D1590" s="2" t="s">
        <v>2012</v>
      </c>
      <c r="E1590" s="2" t="s">
        <v>2040</v>
      </c>
      <c r="F1590" s="4">
        <v>4034.09</v>
      </c>
      <c r="G1590" s="5">
        <v>947.57</v>
      </c>
      <c r="H1590" s="6">
        <v>11</v>
      </c>
      <c r="I1590" s="2" t="s">
        <v>2117</v>
      </c>
      <c r="J1590" s="2" t="str">
        <v>Synergize End-To-End Supply-Chains</v>
      </c>
      <c r="K1590" s="2" t="str">
        <v>Office Supplies</v>
      </c>
      <c r="L1590" s="2" t="str">
        <v>Higgins-Espinoza</v>
      </c>
      <c r="M1590" s="2">
        <v>279.8</v>
      </c>
      <c r="N1590" s="16">
        <f t="shared" si="24"/>
        <v>0.23489064448239877</v>
      </c>
    </row>
    <row r="1591" spans="2:14" ht="14.4" customHeight="1" x14ac:dyDescent="0.3">
      <c r="B1591" s="2" t="s">
        <v>1596</v>
      </c>
      <c r="C1591" s="3">
        <v>45439</v>
      </c>
      <c r="D1591" s="2" t="s">
        <v>2012</v>
      </c>
      <c r="E1591" s="2" t="s">
        <v>2099</v>
      </c>
      <c r="F1591" s="4">
        <v>2437.73</v>
      </c>
      <c r="G1591" s="5">
        <v>418.87</v>
      </c>
      <c r="H1591" s="6">
        <v>3</v>
      </c>
      <c r="I1591" s="2" t="s">
        <v>2116</v>
      </c>
      <c r="J1591" s="2" t="str">
        <v>Synergize Cross-Platform Vortals</v>
      </c>
      <c r="K1591" s="2" t="str">
        <v>Furniture</v>
      </c>
      <c r="L1591" s="2" t="str">
        <v>Edwards Group</v>
      </c>
      <c r="M1591" s="2">
        <v>87.18</v>
      </c>
      <c r="N1591" s="16">
        <f t="shared" si="24"/>
        <v>0.17182788906072452</v>
      </c>
    </row>
    <row r="1592" spans="2:14" ht="14.4" customHeight="1" x14ac:dyDescent="0.3">
      <c r="B1592" s="2" t="s">
        <v>1597</v>
      </c>
      <c r="C1592" s="3">
        <v>44653</v>
      </c>
      <c r="D1592" s="2" t="s">
        <v>2011</v>
      </c>
      <c r="E1592" s="2" t="s">
        <v>2095</v>
      </c>
      <c r="F1592" s="4">
        <v>1776.77</v>
      </c>
      <c r="G1592" s="5">
        <v>345.76</v>
      </c>
      <c r="H1592" s="6">
        <v>4</v>
      </c>
      <c r="I1592" s="2" t="s">
        <v>2118</v>
      </c>
      <c r="J1592" s="2" t="str">
        <v>Envisioneer B2B Users</v>
      </c>
      <c r="K1592" s="2" t="str">
        <v>Office Supplies</v>
      </c>
      <c r="L1592" s="2" t="str">
        <v>Rogers Group</v>
      </c>
      <c r="M1592" s="2">
        <v>239.16</v>
      </c>
      <c r="N1592" s="16">
        <f t="shared" si="24"/>
        <v>0.1946003140530288</v>
      </c>
    </row>
    <row r="1593" spans="2:14" ht="14.4" customHeight="1" x14ac:dyDescent="0.3">
      <c r="B1593" s="2" t="s">
        <v>1598</v>
      </c>
      <c r="C1593" s="3">
        <v>44547</v>
      </c>
      <c r="D1593" s="2" t="s">
        <v>2009</v>
      </c>
      <c r="E1593" s="2" t="s">
        <v>2097</v>
      </c>
      <c r="F1593" s="4">
        <v>2334.29</v>
      </c>
      <c r="G1593" s="5">
        <v>926.59</v>
      </c>
      <c r="H1593" s="6">
        <v>3</v>
      </c>
      <c r="I1593" s="2" t="s">
        <v>2116</v>
      </c>
      <c r="J1593" s="2" t="str">
        <v>Generate End-To-End Functionalities</v>
      </c>
      <c r="K1593" s="2" t="str">
        <v>Electronics</v>
      </c>
      <c r="L1593" s="2" t="str">
        <v>Sanchez-Stewart</v>
      </c>
      <c r="M1593" s="2">
        <v>196.15</v>
      </c>
      <c r="N1593" s="16">
        <f t="shared" si="24"/>
        <v>0.39694725162683303</v>
      </c>
    </row>
    <row r="1594" spans="2:14" ht="14.4" customHeight="1" x14ac:dyDescent="0.3">
      <c r="B1594" s="2" t="s">
        <v>1599</v>
      </c>
      <c r="C1594" s="3">
        <v>44388</v>
      </c>
      <c r="D1594" s="2" t="s">
        <v>2011</v>
      </c>
      <c r="E1594" s="2" t="s">
        <v>2028</v>
      </c>
      <c r="F1594" s="4">
        <v>1010.81</v>
      </c>
      <c r="G1594" s="5">
        <v>300.64</v>
      </c>
      <c r="H1594" s="6">
        <v>1</v>
      </c>
      <c r="I1594" s="2" t="s">
        <v>2116</v>
      </c>
      <c r="J1594" s="2" t="str">
        <v>Synergize World-Class Networks</v>
      </c>
      <c r="K1594" s="2" t="str">
        <v>Electronics</v>
      </c>
      <c r="L1594" s="2" t="str">
        <v>Gomez-Lawrence</v>
      </c>
      <c r="M1594" s="2">
        <v>72.37</v>
      </c>
      <c r="N1594" s="16">
        <f t="shared" si="24"/>
        <v>0.29742483750655413</v>
      </c>
    </row>
    <row r="1595" spans="2:14" ht="14.4" customHeight="1" x14ac:dyDescent="0.3">
      <c r="B1595" s="2" t="s">
        <v>1600</v>
      </c>
      <c r="C1595" s="3">
        <v>45090</v>
      </c>
      <c r="D1595" s="2" t="s">
        <v>2012</v>
      </c>
      <c r="E1595" s="2" t="s">
        <v>2044</v>
      </c>
      <c r="F1595" s="4">
        <v>4461.88</v>
      </c>
      <c r="G1595" s="5">
        <v>25.85</v>
      </c>
      <c r="H1595" s="6">
        <v>2</v>
      </c>
      <c r="I1595" s="2" t="s">
        <v>2118</v>
      </c>
      <c r="J1595" s="2" t="str">
        <v>Grow Back-End Supply-Chains</v>
      </c>
      <c r="K1595" s="2" t="str">
        <v>Electronics</v>
      </c>
      <c r="L1595" s="2" t="str">
        <v>Green LLC</v>
      </c>
      <c r="M1595" s="2">
        <v>140.08000000000001</v>
      </c>
      <c r="N1595" s="16">
        <f t="shared" si="24"/>
        <v>5.7935220131424426E-3</v>
      </c>
    </row>
    <row r="1596" spans="2:14" ht="14.4" customHeight="1" x14ac:dyDescent="0.3">
      <c r="B1596" s="2" t="s">
        <v>1601</v>
      </c>
      <c r="C1596" s="3">
        <v>45084</v>
      </c>
      <c r="D1596" s="2" t="s">
        <v>2011</v>
      </c>
      <c r="E1596" s="2" t="s">
        <v>2028</v>
      </c>
      <c r="F1596" s="4">
        <v>2063.87</v>
      </c>
      <c r="G1596" s="5">
        <v>389.06</v>
      </c>
      <c r="H1596" s="6">
        <v>6</v>
      </c>
      <c r="I1596" s="2" t="s">
        <v>2116</v>
      </c>
      <c r="J1596" s="2" t="str">
        <v>Synergize World-Class Networks</v>
      </c>
      <c r="K1596" s="2" t="str">
        <v>Electronics</v>
      </c>
      <c r="L1596" s="2" t="str">
        <v>Gomez-Lawrence</v>
      </c>
      <c r="M1596" s="2">
        <v>72.37</v>
      </c>
      <c r="N1596" s="16">
        <f t="shared" si="24"/>
        <v>0.18850993521878801</v>
      </c>
    </row>
    <row r="1597" spans="2:14" ht="14.4" customHeight="1" x14ac:dyDescent="0.3">
      <c r="B1597" s="2" t="s">
        <v>1602</v>
      </c>
      <c r="C1597" s="3">
        <v>45247</v>
      </c>
      <c r="D1597" s="2" t="s">
        <v>2012</v>
      </c>
      <c r="E1597" s="2" t="s">
        <v>2071</v>
      </c>
      <c r="F1597" s="4">
        <v>611.76</v>
      </c>
      <c r="G1597" s="5">
        <v>724.14</v>
      </c>
      <c r="H1597" s="6">
        <v>15</v>
      </c>
      <c r="I1597" s="2" t="s">
        <v>2118</v>
      </c>
      <c r="J1597" s="2" t="str">
        <v>Incentivize Front-End Mindshare</v>
      </c>
      <c r="K1597" s="2" t="str">
        <v>Electronics</v>
      </c>
      <c r="L1597" s="2" t="str">
        <v>Phillips-Tran</v>
      </c>
      <c r="M1597" s="2">
        <v>196.86</v>
      </c>
      <c r="N1597" s="16">
        <f t="shared" si="24"/>
        <v>1.1836994899960769</v>
      </c>
    </row>
    <row r="1598" spans="2:14" ht="14.4" customHeight="1" x14ac:dyDescent="0.3">
      <c r="B1598" s="2" t="s">
        <v>1603</v>
      </c>
      <c r="C1598" s="3">
        <v>45368</v>
      </c>
      <c r="D1598" s="2" t="s">
        <v>2011</v>
      </c>
      <c r="E1598" s="2" t="s">
        <v>2013</v>
      </c>
      <c r="F1598" s="4">
        <v>3019.36</v>
      </c>
      <c r="G1598" s="5">
        <v>222.67</v>
      </c>
      <c r="H1598" s="6">
        <v>6</v>
      </c>
      <c r="I1598" s="2" t="s">
        <v>2118</v>
      </c>
      <c r="J1598" s="2" t="str">
        <v>Re-Intermediate Seamless Applications</v>
      </c>
      <c r="K1598" s="2" t="str">
        <v>Office Supplies</v>
      </c>
      <c r="L1598" s="2" t="str">
        <v>Welch-Reed</v>
      </c>
      <c r="M1598" s="2">
        <v>45.82</v>
      </c>
      <c r="N1598" s="16">
        <f t="shared" si="24"/>
        <v>7.3747416671082602E-2</v>
      </c>
    </row>
    <row r="1599" spans="2:14" ht="14.4" customHeight="1" x14ac:dyDescent="0.3">
      <c r="B1599" s="2" t="s">
        <v>1604</v>
      </c>
      <c r="C1599" s="3">
        <v>45440</v>
      </c>
      <c r="D1599" s="2" t="s">
        <v>2010</v>
      </c>
      <c r="E1599" s="2" t="s">
        <v>2014</v>
      </c>
      <c r="F1599" s="4">
        <v>3309.13</v>
      </c>
      <c r="G1599" s="5">
        <v>419.09</v>
      </c>
      <c r="H1599" s="6">
        <v>12</v>
      </c>
      <c r="I1599" s="2" t="s">
        <v>2118</v>
      </c>
      <c r="J1599" s="2" t="str">
        <v>E-Enable Synergistic Vortals</v>
      </c>
      <c r="K1599" s="2" t="str">
        <v>Electronics</v>
      </c>
      <c r="L1599" s="2" t="str">
        <v>Guzman Group</v>
      </c>
      <c r="M1599" s="2">
        <v>278.43</v>
      </c>
      <c r="N1599" s="16">
        <f t="shared" si="24"/>
        <v>0.12664658082335839</v>
      </c>
    </row>
    <row r="1600" spans="2:14" ht="14.4" customHeight="1" x14ac:dyDescent="0.3">
      <c r="B1600" s="2" t="s">
        <v>1605</v>
      </c>
      <c r="C1600" s="3">
        <v>43995</v>
      </c>
      <c r="D1600" s="2" t="s">
        <v>2009</v>
      </c>
      <c r="E1600" s="2" t="s">
        <v>2043</v>
      </c>
      <c r="F1600" s="4">
        <v>2984.16</v>
      </c>
      <c r="G1600" s="5">
        <v>505.06</v>
      </c>
      <c r="H1600" s="6">
        <v>9</v>
      </c>
      <c r="I1600" s="2" t="s">
        <v>2117</v>
      </c>
      <c r="J1600" s="2" t="str">
        <v>Brand Distributed Info-Mediaries</v>
      </c>
      <c r="K1600" s="2" t="str">
        <v>Furniture</v>
      </c>
      <c r="L1600" s="2" t="str">
        <v>Garcia Ltd</v>
      </c>
      <c r="M1600" s="2">
        <v>114.48</v>
      </c>
      <c r="N1600" s="16">
        <f t="shared" si="24"/>
        <v>0.16924695726770683</v>
      </c>
    </row>
    <row r="1601" spans="2:14" ht="14.4" customHeight="1" x14ac:dyDescent="0.3">
      <c r="B1601" s="2" t="s">
        <v>1606</v>
      </c>
      <c r="C1601" s="3">
        <v>45144</v>
      </c>
      <c r="D1601" s="2" t="s">
        <v>2010</v>
      </c>
      <c r="E1601" s="2" t="s">
        <v>2042</v>
      </c>
      <c r="F1601" s="4">
        <v>3881.04</v>
      </c>
      <c r="G1601" s="5">
        <v>929.28</v>
      </c>
      <c r="H1601" s="6">
        <v>14</v>
      </c>
      <c r="I1601" s="2" t="s">
        <v>2116</v>
      </c>
      <c r="J1601" s="2" t="str">
        <v>Orchestrate E-Business Niches</v>
      </c>
      <c r="K1601" s="2" t="str">
        <v>Furniture</v>
      </c>
      <c r="L1601" s="2" t="str">
        <v>Johnson LLC</v>
      </c>
      <c r="M1601" s="2">
        <v>198.99</v>
      </c>
      <c r="N1601" s="16">
        <f t="shared" si="24"/>
        <v>0.23944097458413208</v>
      </c>
    </row>
    <row r="1602" spans="2:14" ht="14.4" customHeight="1" x14ac:dyDescent="0.3">
      <c r="B1602" s="2" t="s">
        <v>1607</v>
      </c>
      <c r="C1602" s="3">
        <v>44943</v>
      </c>
      <c r="D1602" s="2" t="s">
        <v>2012</v>
      </c>
      <c r="E1602" s="2" t="s">
        <v>2081</v>
      </c>
      <c r="F1602" s="4">
        <v>1305.79</v>
      </c>
      <c r="G1602" s="5">
        <v>187.93</v>
      </c>
      <c r="H1602" s="6">
        <v>8</v>
      </c>
      <c r="I1602" s="2" t="s">
        <v>2118</v>
      </c>
      <c r="J1602" s="2" t="str">
        <v>Orchestrate User-Centric Platforms</v>
      </c>
      <c r="K1602" s="2" t="str">
        <v>Furniture</v>
      </c>
      <c r="L1602" s="2" t="str">
        <v>Wells Ltd</v>
      </c>
      <c r="M1602" s="2">
        <v>201.87</v>
      </c>
      <c r="N1602" s="16">
        <f t="shared" si="24"/>
        <v>0.14392053852457135</v>
      </c>
    </row>
    <row r="1603" spans="2:14" ht="14.4" customHeight="1" x14ac:dyDescent="0.3">
      <c r="B1603" s="2" t="s">
        <v>1608</v>
      </c>
      <c r="C1603" s="3">
        <v>44390</v>
      </c>
      <c r="D1603" s="2" t="s">
        <v>2012</v>
      </c>
      <c r="E1603" s="2" t="s">
        <v>2040</v>
      </c>
      <c r="F1603" s="4">
        <v>123.53</v>
      </c>
      <c r="G1603" s="5">
        <v>615.41</v>
      </c>
      <c r="H1603" s="6">
        <v>18</v>
      </c>
      <c r="I1603" s="2" t="s">
        <v>2117</v>
      </c>
      <c r="J1603" s="2" t="str">
        <v>Synergize End-To-End Supply-Chains</v>
      </c>
      <c r="K1603" s="2" t="str">
        <v>Office Supplies</v>
      </c>
      <c r="L1603" s="2" t="str">
        <v>Higgins-Espinoza</v>
      </c>
      <c r="M1603" s="2">
        <v>279.8</v>
      </c>
      <c r="N1603" s="16">
        <f t="shared" si="24"/>
        <v>4.9818667530154617</v>
      </c>
    </row>
    <row r="1604" spans="2:14" ht="14.4" customHeight="1" x14ac:dyDescent="0.3">
      <c r="B1604" s="2" t="s">
        <v>1609</v>
      </c>
      <c r="C1604" s="3">
        <v>44782</v>
      </c>
      <c r="D1604" s="2" t="s">
        <v>2009</v>
      </c>
      <c r="E1604" s="2" t="s">
        <v>2064</v>
      </c>
      <c r="F1604" s="4">
        <v>4700.99</v>
      </c>
      <c r="G1604" s="5">
        <v>445.82</v>
      </c>
      <c r="H1604" s="6">
        <v>20</v>
      </c>
      <c r="I1604" s="2" t="s">
        <v>2117</v>
      </c>
      <c r="J1604" s="2" t="str">
        <v>Synergize E-Business Deliverables</v>
      </c>
      <c r="K1604" s="2" t="str">
        <v>Electronics</v>
      </c>
      <c r="L1604" s="2" t="str">
        <v>Crawford, Warren and Williams</v>
      </c>
      <c r="M1604" s="2">
        <v>125.93</v>
      </c>
      <c r="N1604" s="16">
        <f t="shared" si="24"/>
        <v>9.4835343193667723E-2</v>
      </c>
    </row>
    <row r="1605" spans="2:14" ht="14.4" customHeight="1" x14ac:dyDescent="0.3">
      <c r="B1605" s="2" t="s">
        <v>1610</v>
      </c>
      <c r="C1605" s="3">
        <v>45195</v>
      </c>
      <c r="D1605" s="2" t="s">
        <v>2010</v>
      </c>
      <c r="E1605" s="2" t="s">
        <v>2105</v>
      </c>
      <c r="F1605" s="4">
        <v>1855.6</v>
      </c>
      <c r="G1605" s="5">
        <v>103.88</v>
      </c>
      <c r="H1605" s="6">
        <v>12</v>
      </c>
      <c r="I1605" s="2" t="s">
        <v>2118</v>
      </c>
      <c r="J1605" s="2" t="str">
        <v>Brand B2C Info-Mediaries</v>
      </c>
      <c r="K1605" s="2" t="str">
        <v>Office Supplies</v>
      </c>
      <c r="L1605" s="2" t="str">
        <v>Preston Ltd</v>
      </c>
      <c r="M1605" s="2">
        <v>13.46</v>
      </c>
      <c r="N1605" s="16">
        <f t="shared" ref="N1605:N1668" si="25">(G1605/F1605)</f>
        <v>5.5981892649277859E-2</v>
      </c>
    </row>
    <row r="1606" spans="2:14" ht="14.4" customHeight="1" x14ac:dyDescent="0.3">
      <c r="B1606" s="2" t="s">
        <v>1611</v>
      </c>
      <c r="C1606" s="3">
        <v>45174</v>
      </c>
      <c r="D1606" s="2" t="s">
        <v>2010</v>
      </c>
      <c r="E1606" s="2" t="s">
        <v>2092</v>
      </c>
      <c r="F1606" s="4">
        <v>338.5</v>
      </c>
      <c r="G1606" s="5">
        <v>868.62</v>
      </c>
      <c r="H1606" s="6">
        <v>15</v>
      </c>
      <c r="I1606" s="2" t="s">
        <v>2118</v>
      </c>
      <c r="J1606" s="2" t="str">
        <v>Seize Clicks-And-Mortar Platforms</v>
      </c>
      <c r="K1606" s="2" t="str">
        <v>Office Supplies</v>
      </c>
      <c r="L1606" s="2" t="str">
        <v>Owens, Campos and Wood</v>
      </c>
      <c r="M1606" s="2">
        <v>271.16000000000003</v>
      </c>
      <c r="N1606" s="16">
        <f t="shared" si="25"/>
        <v>2.5660856720827181</v>
      </c>
    </row>
    <row r="1607" spans="2:14" ht="14.4" customHeight="1" x14ac:dyDescent="0.3">
      <c r="B1607" s="2" t="s">
        <v>1612</v>
      </c>
      <c r="C1607" s="3">
        <v>45066</v>
      </c>
      <c r="D1607" s="2" t="s">
        <v>2012</v>
      </c>
      <c r="E1607" s="2" t="s">
        <v>2098</v>
      </c>
      <c r="F1607" s="4">
        <v>333.46</v>
      </c>
      <c r="G1607" s="5">
        <v>520.72</v>
      </c>
      <c r="H1607" s="6">
        <v>8</v>
      </c>
      <c r="I1607" s="2" t="s">
        <v>2118</v>
      </c>
      <c r="J1607" s="2" t="str">
        <v>Deliver Viral Channels</v>
      </c>
      <c r="K1607" s="2" t="str">
        <v>Furniture</v>
      </c>
      <c r="L1607" s="2" t="str">
        <v>Parker LLC</v>
      </c>
      <c r="M1607" s="2">
        <v>45.41</v>
      </c>
      <c r="N1607" s="16">
        <f t="shared" si="25"/>
        <v>1.5615666046902179</v>
      </c>
    </row>
    <row r="1608" spans="2:14" ht="14.4" customHeight="1" x14ac:dyDescent="0.3">
      <c r="B1608" s="2" t="s">
        <v>1613</v>
      </c>
      <c r="C1608" s="3">
        <v>43993</v>
      </c>
      <c r="D1608" s="2" t="s">
        <v>2011</v>
      </c>
      <c r="E1608" s="2" t="s">
        <v>2069</v>
      </c>
      <c r="F1608" s="4">
        <v>4689.13</v>
      </c>
      <c r="G1608" s="5">
        <v>300.64999999999998</v>
      </c>
      <c r="H1608" s="6">
        <v>6</v>
      </c>
      <c r="I1608" s="2" t="s">
        <v>2118</v>
      </c>
      <c r="J1608" s="2" t="str">
        <v>Optimize Transparent E-Markets</v>
      </c>
      <c r="K1608" s="2" t="str">
        <v>Office Supplies</v>
      </c>
      <c r="L1608" s="2" t="str">
        <v>Lee, Tyler and Blevins</v>
      </c>
      <c r="M1608" s="2">
        <v>111.22</v>
      </c>
      <c r="N1608" s="16">
        <f t="shared" si="25"/>
        <v>6.4116371267164698E-2</v>
      </c>
    </row>
    <row r="1609" spans="2:14" ht="14.4" customHeight="1" x14ac:dyDescent="0.3">
      <c r="B1609" s="2" t="s">
        <v>1614</v>
      </c>
      <c r="C1609" s="3">
        <v>45541</v>
      </c>
      <c r="D1609" s="2" t="s">
        <v>2010</v>
      </c>
      <c r="E1609" s="2" t="s">
        <v>2097</v>
      </c>
      <c r="F1609" s="4">
        <v>485.47</v>
      </c>
      <c r="G1609" s="5">
        <v>68.069999999999993</v>
      </c>
      <c r="H1609" s="6">
        <v>2</v>
      </c>
      <c r="I1609" s="2" t="s">
        <v>2118</v>
      </c>
      <c r="J1609" s="2" t="str">
        <v>Generate End-To-End Functionalities</v>
      </c>
      <c r="K1609" s="2" t="str">
        <v>Electronics</v>
      </c>
      <c r="L1609" s="2" t="str">
        <v>Sanchez-Stewart</v>
      </c>
      <c r="M1609" s="2">
        <v>196.15</v>
      </c>
      <c r="N1609" s="16">
        <f t="shared" si="25"/>
        <v>0.1402146373617319</v>
      </c>
    </row>
    <row r="1610" spans="2:14" ht="14.4" customHeight="1" x14ac:dyDescent="0.3">
      <c r="B1610" s="2" t="s">
        <v>1615</v>
      </c>
      <c r="C1610" s="3">
        <v>44755</v>
      </c>
      <c r="D1610" s="2" t="s">
        <v>2011</v>
      </c>
      <c r="E1610" s="2" t="s">
        <v>2072</v>
      </c>
      <c r="F1610" s="4">
        <v>2017.54</v>
      </c>
      <c r="G1610" s="5">
        <v>168.8</v>
      </c>
      <c r="H1610" s="6">
        <v>1</v>
      </c>
      <c r="I1610" s="2" t="s">
        <v>2118</v>
      </c>
      <c r="J1610" s="2" t="str">
        <v>Evolve Innovative Web Services</v>
      </c>
      <c r="K1610" s="2" t="str">
        <v>Furniture</v>
      </c>
      <c r="L1610" s="2" t="str">
        <v>Bush Inc</v>
      </c>
      <c r="M1610" s="2">
        <v>87.75</v>
      </c>
      <c r="N1610" s="16">
        <f t="shared" si="25"/>
        <v>8.3666247013689951E-2</v>
      </c>
    </row>
    <row r="1611" spans="2:14" ht="14.4" customHeight="1" x14ac:dyDescent="0.3">
      <c r="B1611" s="2" t="s">
        <v>1616</v>
      </c>
      <c r="C1611" s="3">
        <v>43908</v>
      </c>
      <c r="D1611" s="2" t="s">
        <v>2009</v>
      </c>
      <c r="E1611" s="2" t="s">
        <v>2035</v>
      </c>
      <c r="F1611" s="4">
        <v>1262.21</v>
      </c>
      <c r="G1611" s="5">
        <v>319.02999999999997</v>
      </c>
      <c r="H1611" s="6">
        <v>3</v>
      </c>
      <c r="I1611" s="2" t="s">
        <v>2116</v>
      </c>
      <c r="J1611" s="2" t="str">
        <v>Optimize 24/365 E-Services</v>
      </c>
      <c r="K1611" s="2" t="str">
        <v>Office Supplies</v>
      </c>
      <c r="L1611" s="2" t="str">
        <v>Chase Ltd</v>
      </c>
      <c r="M1611" s="2">
        <v>100.35</v>
      </c>
      <c r="N1611" s="16">
        <f t="shared" si="25"/>
        <v>0.25275508829750987</v>
      </c>
    </row>
    <row r="1612" spans="2:14" ht="14.4" customHeight="1" x14ac:dyDescent="0.3">
      <c r="B1612" s="2" t="s">
        <v>1617</v>
      </c>
      <c r="C1612" s="3">
        <v>43884</v>
      </c>
      <c r="D1612" s="2" t="s">
        <v>2010</v>
      </c>
      <c r="E1612" s="2" t="s">
        <v>2058</v>
      </c>
      <c r="F1612" s="4">
        <v>3517.16</v>
      </c>
      <c r="G1612" s="5">
        <v>710.61</v>
      </c>
      <c r="H1612" s="6">
        <v>13</v>
      </c>
      <c r="I1612" s="2" t="s">
        <v>2116</v>
      </c>
      <c r="J1612" s="2" t="str">
        <v>Envisioneer B2C Web-Readiness</v>
      </c>
      <c r="K1612" s="2" t="str">
        <v>Electronics</v>
      </c>
      <c r="L1612" s="2" t="str">
        <v>Kemp Group</v>
      </c>
      <c r="M1612" s="2">
        <v>97.23</v>
      </c>
      <c r="N1612" s="16">
        <f t="shared" si="25"/>
        <v>0.20204085114126172</v>
      </c>
    </row>
    <row r="1613" spans="2:14" ht="14.4" customHeight="1" x14ac:dyDescent="0.3">
      <c r="B1613" s="2" t="s">
        <v>1618</v>
      </c>
      <c r="C1613" s="3">
        <v>45349</v>
      </c>
      <c r="D1613" s="2" t="s">
        <v>2010</v>
      </c>
      <c r="E1613" s="2" t="s">
        <v>2043</v>
      </c>
      <c r="F1613" s="4">
        <v>520.27</v>
      </c>
      <c r="G1613" s="5">
        <v>186.48</v>
      </c>
      <c r="H1613" s="6">
        <v>4</v>
      </c>
      <c r="I1613" s="2" t="s">
        <v>2116</v>
      </c>
      <c r="J1613" s="2" t="str">
        <v>Brand Distributed Info-Mediaries</v>
      </c>
      <c r="K1613" s="2" t="str">
        <v>Furniture</v>
      </c>
      <c r="L1613" s="2" t="str">
        <v>Garcia Ltd</v>
      </c>
      <c r="M1613" s="2">
        <v>114.48</v>
      </c>
      <c r="N1613" s="16">
        <f t="shared" si="25"/>
        <v>0.35842927710611799</v>
      </c>
    </row>
    <row r="1614" spans="2:14" ht="14.4" customHeight="1" x14ac:dyDescent="0.3">
      <c r="B1614" s="2" t="s">
        <v>1619</v>
      </c>
      <c r="C1614" s="3">
        <v>44700</v>
      </c>
      <c r="D1614" s="2" t="s">
        <v>2009</v>
      </c>
      <c r="E1614" s="2" t="s">
        <v>2077</v>
      </c>
      <c r="F1614" s="4">
        <v>2949.05</v>
      </c>
      <c r="G1614" s="5">
        <v>465.24</v>
      </c>
      <c r="H1614" s="6">
        <v>15</v>
      </c>
      <c r="I1614" s="2" t="s">
        <v>2118</v>
      </c>
      <c r="J1614" s="2" t="str">
        <v>Synthesize Wireless Initiatives</v>
      </c>
      <c r="K1614" s="2" t="str">
        <v>Electronics</v>
      </c>
      <c r="L1614" s="2" t="str">
        <v>Mosley Ltd</v>
      </c>
      <c r="M1614" s="2">
        <v>162.69999999999999</v>
      </c>
      <c r="N1614" s="16">
        <f t="shared" si="25"/>
        <v>0.15775927841169191</v>
      </c>
    </row>
    <row r="1615" spans="2:14" ht="14.4" customHeight="1" x14ac:dyDescent="0.3">
      <c r="B1615" s="2" t="s">
        <v>1620</v>
      </c>
      <c r="C1615" s="3">
        <v>44459</v>
      </c>
      <c r="D1615" s="2" t="s">
        <v>2009</v>
      </c>
      <c r="E1615" s="2" t="s">
        <v>2081</v>
      </c>
      <c r="F1615" s="4">
        <v>2522.81</v>
      </c>
      <c r="G1615" s="5">
        <v>691.85</v>
      </c>
      <c r="H1615" s="6">
        <v>15</v>
      </c>
      <c r="I1615" s="2" t="s">
        <v>2117</v>
      </c>
      <c r="J1615" s="2" t="str">
        <v>Orchestrate User-Centric Platforms</v>
      </c>
      <c r="K1615" s="2" t="str">
        <v>Furniture</v>
      </c>
      <c r="L1615" s="2" t="str">
        <v>Wells Ltd</v>
      </c>
      <c r="M1615" s="2">
        <v>201.87</v>
      </c>
      <c r="N1615" s="16">
        <f t="shared" si="25"/>
        <v>0.27423785382173055</v>
      </c>
    </row>
    <row r="1616" spans="2:14" ht="14.4" customHeight="1" x14ac:dyDescent="0.3">
      <c r="B1616" s="2" t="s">
        <v>1621</v>
      </c>
      <c r="C1616" s="3">
        <v>44664</v>
      </c>
      <c r="D1616" s="2" t="s">
        <v>2009</v>
      </c>
      <c r="E1616" s="2" t="s">
        <v>2020</v>
      </c>
      <c r="F1616" s="4">
        <v>3356.96</v>
      </c>
      <c r="G1616" s="5">
        <v>720.63</v>
      </c>
      <c r="H1616" s="6">
        <v>15</v>
      </c>
      <c r="I1616" s="2" t="s">
        <v>2117</v>
      </c>
      <c r="J1616" s="2" t="str">
        <v>Harness Revolutionary Interfaces</v>
      </c>
      <c r="K1616" s="2" t="str">
        <v>Furniture</v>
      </c>
      <c r="L1616" s="2" t="str">
        <v>Davis, Short and Nguyen</v>
      </c>
      <c r="M1616" s="2">
        <v>26.49</v>
      </c>
      <c r="N1616" s="16">
        <f t="shared" si="25"/>
        <v>0.21466743720509032</v>
      </c>
    </row>
    <row r="1617" spans="2:14" ht="14.4" customHeight="1" x14ac:dyDescent="0.3">
      <c r="B1617" s="2" t="s">
        <v>1622</v>
      </c>
      <c r="C1617" s="3">
        <v>44017</v>
      </c>
      <c r="D1617" s="2" t="s">
        <v>2011</v>
      </c>
      <c r="E1617" s="2" t="s">
        <v>2069</v>
      </c>
      <c r="F1617" s="4">
        <v>1485.94</v>
      </c>
      <c r="G1617" s="5">
        <v>174.38</v>
      </c>
      <c r="H1617" s="6">
        <v>3</v>
      </c>
      <c r="I1617" s="2" t="s">
        <v>2117</v>
      </c>
      <c r="J1617" s="2" t="str">
        <v>Optimize Transparent E-Markets</v>
      </c>
      <c r="K1617" s="2" t="str">
        <v>Office Supplies</v>
      </c>
      <c r="L1617" s="2" t="str">
        <v>Lee, Tyler and Blevins</v>
      </c>
      <c r="M1617" s="2">
        <v>111.22</v>
      </c>
      <c r="N1617" s="16">
        <f t="shared" si="25"/>
        <v>0.11735332516790718</v>
      </c>
    </row>
    <row r="1618" spans="2:14" ht="14.4" customHeight="1" x14ac:dyDescent="0.3">
      <c r="B1618" s="2" t="s">
        <v>1623</v>
      </c>
      <c r="C1618" s="3">
        <v>45452</v>
      </c>
      <c r="D1618" s="2" t="s">
        <v>2011</v>
      </c>
      <c r="E1618" s="2" t="s">
        <v>2053</v>
      </c>
      <c r="F1618" s="4">
        <v>2430.66</v>
      </c>
      <c r="G1618" s="5">
        <v>275.61</v>
      </c>
      <c r="H1618" s="6">
        <v>6</v>
      </c>
      <c r="I1618" s="2" t="s">
        <v>2117</v>
      </c>
      <c r="J1618" s="2" t="str">
        <v>Transition Mission-Critical Interfaces</v>
      </c>
      <c r="K1618" s="2" t="str">
        <v>Office Supplies</v>
      </c>
      <c r="L1618" s="2" t="str">
        <v>Weaver Ltd</v>
      </c>
      <c r="M1618" s="2">
        <v>34.64</v>
      </c>
      <c r="N1618" s="16">
        <f t="shared" si="25"/>
        <v>0.11338895608600134</v>
      </c>
    </row>
    <row r="1619" spans="2:14" ht="14.4" customHeight="1" x14ac:dyDescent="0.3">
      <c r="B1619" s="2" t="s">
        <v>1624</v>
      </c>
      <c r="C1619" s="3">
        <v>44635</v>
      </c>
      <c r="D1619" s="2" t="s">
        <v>2011</v>
      </c>
      <c r="E1619" s="2" t="s">
        <v>2055</v>
      </c>
      <c r="F1619" s="4">
        <v>2257.79</v>
      </c>
      <c r="G1619" s="5">
        <v>329.42</v>
      </c>
      <c r="H1619" s="6">
        <v>15</v>
      </c>
      <c r="I1619" s="2" t="s">
        <v>2117</v>
      </c>
      <c r="J1619" s="2" t="str">
        <v>Engineer Real-Time Architectures</v>
      </c>
      <c r="K1619" s="2" t="str">
        <v>Furniture</v>
      </c>
      <c r="L1619" s="2" t="str">
        <v>James and Sons</v>
      </c>
      <c r="M1619" s="2">
        <v>127.23</v>
      </c>
      <c r="N1619" s="16">
        <f t="shared" si="25"/>
        <v>0.14590373772582926</v>
      </c>
    </row>
    <row r="1620" spans="2:14" ht="14.4" customHeight="1" x14ac:dyDescent="0.3">
      <c r="B1620" s="2" t="s">
        <v>1625</v>
      </c>
      <c r="C1620" s="3">
        <v>45058</v>
      </c>
      <c r="D1620" s="2" t="s">
        <v>2012</v>
      </c>
      <c r="E1620" s="2" t="s">
        <v>2042</v>
      </c>
      <c r="F1620" s="4">
        <v>3569.08</v>
      </c>
      <c r="G1620" s="5">
        <v>317.25</v>
      </c>
      <c r="H1620" s="6">
        <v>13</v>
      </c>
      <c r="I1620" s="2" t="s">
        <v>2118</v>
      </c>
      <c r="J1620" s="2" t="str">
        <v>Orchestrate E-Business Niches</v>
      </c>
      <c r="K1620" s="2" t="str">
        <v>Furniture</v>
      </c>
      <c r="L1620" s="2" t="str">
        <v>Johnson LLC</v>
      </c>
      <c r="M1620" s="2">
        <v>198.99</v>
      </c>
      <c r="N1620" s="16">
        <f t="shared" si="25"/>
        <v>8.8888453046723534E-2</v>
      </c>
    </row>
    <row r="1621" spans="2:14" ht="14.4" customHeight="1" x14ac:dyDescent="0.3">
      <c r="B1621" s="2" t="s">
        <v>1626</v>
      </c>
      <c r="C1621" s="3">
        <v>44864</v>
      </c>
      <c r="D1621" s="2" t="s">
        <v>2009</v>
      </c>
      <c r="E1621" s="2" t="s">
        <v>2038</v>
      </c>
      <c r="F1621" s="4">
        <v>4651.1400000000003</v>
      </c>
      <c r="G1621" s="5">
        <v>688.58</v>
      </c>
      <c r="H1621" s="6">
        <v>17</v>
      </c>
      <c r="I1621" s="2" t="s">
        <v>2116</v>
      </c>
      <c r="J1621" s="2" t="str">
        <v>Reinvent Mission-Critical Markets</v>
      </c>
      <c r="K1621" s="2" t="str">
        <v>Furniture</v>
      </c>
      <c r="L1621" s="2" t="str">
        <v>Gilbert-Sanders</v>
      </c>
      <c r="M1621" s="2">
        <v>154.21</v>
      </c>
      <c r="N1621" s="16">
        <f t="shared" si="25"/>
        <v>0.14804542542258456</v>
      </c>
    </row>
    <row r="1622" spans="2:14" ht="14.4" customHeight="1" x14ac:dyDescent="0.3">
      <c r="B1622" s="2" t="s">
        <v>1627</v>
      </c>
      <c r="C1622" s="3">
        <v>44457</v>
      </c>
      <c r="D1622" s="2" t="s">
        <v>2010</v>
      </c>
      <c r="E1622" s="2" t="s">
        <v>2013</v>
      </c>
      <c r="F1622" s="4">
        <v>4734.2299999999996</v>
      </c>
      <c r="G1622" s="5">
        <v>912.86</v>
      </c>
      <c r="H1622" s="6">
        <v>7</v>
      </c>
      <c r="I1622" s="2" t="s">
        <v>2118</v>
      </c>
      <c r="J1622" s="2" t="str">
        <v>Re-Intermediate Seamless Applications</v>
      </c>
      <c r="K1622" s="2" t="str">
        <v>Office Supplies</v>
      </c>
      <c r="L1622" s="2" t="str">
        <v>Welch-Reed</v>
      </c>
      <c r="M1622" s="2">
        <v>45.82</v>
      </c>
      <c r="N1622" s="16">
        <f t="shared" si="25"/>
        <v>0.192821219078921</v>
      </c>
    </row>
    <row r="1623" spans="2:14" ht="14.4" customHeight="1" x14ac:dyDescent="0.3">
      <c r="B1623" s="2" t="s">
        <v>1628</v>
      </c>
      <c r="C1623" s="3">
        <v>44470</v>
      </c>
      <c r="D1623" s="2" t="s">
        <v>2010</v>
      </c>
      <c r="E1623" s="2" t="s">
        <v>2028</v>
      </c>
      <c r="F1623" s="4">
        <v>4174.5200000000004</v>
      </c>
      <c r="G1623" s="5">
        <v>906.08</v>
      </c>
      <c r="H1623" s="6">
        <v>9</v>
      </c>
      <c r="I1623" s="2" t="s">
        <v>2117</v>
      </c>
      <c r="J1623" s="2" t="str">
        <v>Synergize World-Class Networks</v>
      </c>
      <c r="K1623" s="2" t="str">
        <v>Electronics</v>
      </c>
      <c r="L1623" s="2" t="str">
        <v>Gomez-Lawrence</v>
      </c>
      <c r="M1623" s="2">
        <v>72.37</v>
      </c>
      <c r="N1623" s="16">
        <f t="shared" si="25"/>
        <v>0.21705010396404856</v>
      </c>
    </row>
    <row r="1624" spans="2:14" ht="14.4" customHeight="1" x14ac:dyDescent="0.3">
      <c r="B1624" s="2" t="s">
        <v>1629</v>
      </c>
      <c r="C1624" s="3">
        <v>44151</v>
      </c>
      <c r="D1624" s="2" t="s">
        <v>2011</v>
      </c>
      <c r="E1624" s="2" t="s">
        <v>2062</v>
      </c>
      <c r="F1624" s="4">
        <v>3294.28</v>
      </c>
      <c r="G1624" s="5">
        <v>755.01</v>
      </c>
      <c r="H1624" s="6">
        <v>2</v>
      </c>
      <c r="I1624" s="2" t="s">
        <v>2116</v>
      </c>
      <c r="J1624" s="2" t="str">
        <v>Incubate Real-Time E-Tailers</v>
      </c>
      <c r="K1624" s="2" t="str">
        <v>Electronics</v>
      </c>
      <c r="L1624" s="2" t="str">
        <v>Johnson-Riley</v>
      </c>
      <c r="M1624" s="2">
        <v>86.67</v>
      </c>
      <c r="N1624" s="16">
        <f t="shared" si="25"/>
        <v>0.22918816858311983</v>
      </c>
    </row>
    <row r="1625" spans="2:14" ht="14.4" customHeight="1" x14ac:dyDescent="0.3">
      <c r="B1625" s="2" t="s">
        <v>1630</v>
      </c>
      <c r="C1625" s="3">
        <v>44381</v>
      </c>
      <c r="D1625" s="2" t="s">
        <v>2009</v>
      </c>
      <c r="E1625" s="2" t="s">
        <v>2041</v>
      </c>
      <c r="F1625" s="4">
        <v>1026.75</v>
      </c>
      <c r="G1625" s="5">
        <v>527.44000000000005</v>
      </c>
      <c r="H1625" s="6">
        <v>18</v>
      </c>
      <c r="I1625" s="2" t="s">
        <v>2117</v>
      </c>
      <c r="J1625" s="2" t="str">
        <v>Expedite Synergistic Web-Readiness</v>
      </c>
      <c r="K1625" s="2" t="str">
        <v>Electronics</v>
      </c>
      <c r="L1625" s="2" t="str">
        <v>Dunlap, Carpenter and Monroe</v>
      </c>
      <c r="M1625" s="2">
        <v>289.66000000000003</v>
      </c>
      <c r="N1625" s="16">
        <f t="shared" si="25"/>
        <v>0.51369856342829323</v>
      </c>
    </row>
    <row r="1626" spans="2:14" ht="14.4" customHeight="1" x14ac:dyDescent="0.3">
      <c r="B1626" s="2" t="s">
        <v>1631</v>
      </c>
      <c r="C1626" s="3">
        <v>45230</v>
      </c>
      <c r="D1626" s="2" t="s">
        <v>2011</v>
      </c>
      <c r="E1626" s="2" t="s">
        <v>2072</v>
      </c>
      <c r="F1626" s="4">
        <v>4427.2700000000004</v>
      </c>
      <c r="G1626" s="5">
        <v>979.71</v>
      </c>
      <c r="H1626" s="6">
        <v>2</v>
      </c>
      <c r="I1626" s="2" t="s">
        <v>2118</v>
      </c>
      <c r="J1626" s="2" t="str">
        <v>Evolve Innovative Web Services</v>
      </c>
      <c r="K1626" s="2" t="str">
        <v>Furniture</v>
      </c>
      <c r="L1626" s="2" t="str">
        <v>Bush Inc</v>
      </c>
      <c r="M1626" s="2">
        <v>87.75</v>
      </c>
      <c r="N1626" s="16">
        <f t="shared" si="25"/>
        <v>0.22128986937774292</v>
      </c>
    </row>
    <row r="1627" spans="2:14" ht="14.4" customHeight="1" x14ac:dyDescent="0.3">
      <c r="B1627" s="2" t="s">
        <v>1632</v>
      </c>
      <c r="C1627" s="3">
        <v>44750</v>
      </c>
      <c r="D1627" s="2" t="s">
        <v>2009</v>
      </c>
      <c r="E1627" s="2" t="s">
        <v>2092</v>
      </c>
      <c r="F1627" s="4">
        <v>1509.71</v>
      </c>
      <c r="G1627" s="5">
        <v>618.79</v>
      </c>
      <c r="H1627" s="6">
        <v>6</v>
      </c>
      <c r="I1627" s="2" t="s">
        <v>2117</v>
      </c>
      <c r="J1627" s="2" t="str">
        <v>Seize Clicks-And-Mortar Platforms</v>
      </c>
      <c r="K1627" s="2" t="str">
        <v>Office Supplies</v>
      </c>
      <c r="L1627" s="2" t="str">
        <v>Owens, Campos and Wood</v>
      </c>
      <c r="M1627" s="2">
        <v>271.16000000000003</v>
      </c>
      <c r="N1627" s="16">
        <f t="shared" si="25"/>
        <v>0.40987341939842747</v>
      </c>
    </row>
    <row r="1628" spans="2:14" ht="14.4" customHeight="1" x14ac:dyDescent="0.3">
      <c r="B1628" s="2" t="s">
        <v>1633</v>
      </c>
      <c r="C1628" s="3">
        <v>45076</v>
      </c>
      <c r="D1628" s="2" t="s">
        <v>2009</v>
      </c>
      <c r="E1628" s="2" t="s">
        <v>2035</v>
      </c>
      <c r="F1628" s="4">
        <v>2051.46</v>
      </c>
      <c r="G1628" s="5">
        <v>965.63</v>
      </c>
      <c r="H1628" s="6">
        <v>19</v>
      </c>
      <c r="I1628" s="2" t="s">
        <v>2117</v>
      </c>
      <c r="J1628" s="2" t="str">
        <v>Optimize 24/365 E-Services</v>
      </c>
      <c r="K1628" s="2" t="str">
        <v>Office Supplies</v>
      </c>
      <c r="L1628" s="2" t="str">
        <v>Chase Ltd</v>
      </c>
      <c r="M1628" s="2">
        <v>100.35</v>
      </c>
      <c r="N1628" s="16">
        <f t="shared" si="25"/>
        <v>0.47070379144609203</v>
      </c>
    </row>
    <row r="1629" spans="2:14" ht="14.4" customHeight="1" x14ac:dyDescent="0.3">
      <c r="B1629" s="2" t="s">
        <v>1634</v>
      </c>
      <c r="C1629" s="3">
        <v>44101</v>
      </c>
      <c r="D1629" s="2" t="s">
        <v>2009</v>
      </c>
      <c r="E1629" s="2" t="s">
        <v>2079</v>
      </c>
      <c r="F1629" s="4">
        <v>4807.4799999999996</v>
      </c>
      <c r="G1629" s="5">
        <v>379.33</v>
      </c>
      <c r="H1629" s="6">
        <v>13</v>
      </c>
      <c r="I1629" s="2" t="s">
        <v>2116</v>
      </c>
      <c r="J1629" s="2" t="str">
        <v>Iterate Extensible Roi</v>
      </c>
      <c r="K1629" s="2" t="str">
        <v>Office Supplies</v>
      </c>
      <c r="L1629" s="2" t="str">
        <v>Hill-Kelly</v>
      </c>
      <c r="M1629" s="2">
        <v>180</v>
      </c>
      <c r="N1629" s="16">
        <f t="shared" si="25"/>
        <v>7.8904124406133785E-2</v>
      </c>
    </row>
    <row r="1630" spans="2:14" ht="14.4" customHeight="1" x14ac:dyDescent="0.3">
      <c r="B1630" s="2" t="s">
        <v>1635</v>
      </c>
      <c r="C1630" s="3">
        <v>43969</v>
      </c>
      <c r="D1630" s="2" t="s">
        <v>2010</v>
      </c>
      <c r="E1630" s="2" t="s">
        <v>2041</v>
      </c>
      <c r="F1630" s="4">
        <v>1779.93</v>
      </c>
      <c r="G1630" s="5">
        <v>938.16</v>
      </c>
      <c r="H1630" s="6">
        <v>1</v>
      </c>
      <c r="I1630" s="2" t="s">
        <v>2117</v>
      </c>
      <c r="J1630" s="2" t="str">
        <v>Expedite Synergistic Web-Readiness</v>
      </c>
      <c r="K1630" s="2" t="str">
        <v>Electronics</v>
      </c>
      <c r="L1630" s="2" t="str">
        <v>Dunlap, Carpenter and Monroe</v>
      </c>
      <c r="M1630" s="2">
        <v>289.66000000000003</v>
      </c>
      <c r="N1630" s="16">
        <f t="shared" si="25"/>
        <v>0.52707690751883496</v>
      </c>
    </row>
    <row r="1631" spans="2:14" ht="14.4" customHeight="1" x14ac:dyDescent="0.3">
      <c r="B1631" s="2" t="s">
        <v>1636</v>
      </c>
      <c r="C1631" s="3">
        <v>45387</v>
      </c>
      <c r="D1631" s="2" t="s">
        <v>2012</v>
      </c>
      <c r="E1631" s="2" t="s">
        <v>2015</v>
      </c>
      <c r="F1631" s="4">
        <v>1130.21</v>
      </c>
      <c r="G1631" s="5">
        <v>902.5</v>
      </c>
      <c r="H1631" s="6">
        <v>8</v>
      </c>
      <c r="I1631" s="2" t="s">
        <v>2118</v>
      </c>
      <c r="J1631" s="2" t="str">
        <v>Brand Web-Enabled Solutions</v>
      </c>
      <c r="K1631" s="2" t="str">
        <v>Electronics</v>
      </c>
      <c r="L1631" s="2" t="str">
        <v>Russell Group</v>
      </c>
      <c r="M1631" s="2">
        <v>51.67</v>
      </c>
      <c r="N1631" s="16">
        <f t="shared" si="25"/>
        <v>0.79852416807495952</v>
      </c>
    </row>
    <row r="1632" spans="2:14" ht="14.4" customHeight="1" x14ac:dyDescent="0.3">
      <c r="B1632" s="2" t="s">
        <v>1637</v>
      </c>
      <c r="C1632" s="3">
        <v>44654</v>
      </c>
      <c r="D1632" s="2" t="s">
        <v>2009</v>
      </c>
      <c r="E1632" s="2" t="s">
        <v>2029</v>
      </c>
      <c r="F1632" s="4">
        <v>3441.89</v>
      </c>
      <c r="G1632" s="5">
        <v>122.51</v>
      </c>
      <c r="H1632" s="6">
        <v>11</v>
      </c>
      <c r="I1632" s="2" t="s">
        <v>2116</v>
      </c>
      <c r="J1632" s="2" t="str">
        <v>E-Enable Next-Generation Experiences</v>
      </c>
      <c r="K1632" s="2" t="str">
        <v>Furniture</v>
      </c>
      <c r="L1632" s="2" t="str">
        <v>Sanchez-Quinn</v>
      </c>
      <c r="M1632" s="2">
        <v>266.93</v>
      </c>
      <c r="N1632" s="16">
        <f t="shared" si="25"/>
        <v>3.5593816188198929E-2</v>
      </c>
    </row>
    <row r="1633" spans="2:14" ht="14.4" customHeight="1" x14ac:dyDescent="0.3">
      <c r="B1633" s="2" t="s">
        <v>1638</v>
      </c>
      <c r="C1633" s="3">
        <v>44843</v>
      </c>
      <c r="D1633" s="2" t="s">
        <v>2011</v>
      </c>
      <c r="E1633" s="2" t="s">
        <v>2027</v>
      </c>
      <c r="F1633" s="4">
        <v>1562.05</v>
      </c>
      <c r="G1633" s="5">
        <v>254.51</v>
      </c>
      <c r="H1633" s="6">
        <v>19</v>
      </c>
      <c r="I1633" s="2" t="s">
        <v>2118</v>
      </c>
      <c r="J1633" s="2" t="str">
        <v>Monetize Value-Added Niches</v>
      </c>
      <c r="K1633" s="2" t="str">
        <v>Office Supplies</v>
      </c>
      <c r="L1633" s="2" t="str">
        <v>Foster, Velazquez and Lee</v>
      </c>
      <c r="M1633" s="2">
        <v>171.51</v>
      </c>
      <c r="N1633" s="16">
        <f t="shared" si="25"/>
        <v>0.16293332479754169</v>
      </c>
    </row>
    <row r="1634" spans="2:14" ht="14.4" customHeight="1" x14ac:dyDescent="0.3">
      <c r="B1634" s="2" t="s">
        <v>1639</v>
      </c>
      <c r="C1634" s="3">
        <v>44458</v>
      </c>
      <c r="D1634" s="2" t="s">
        <v>2010</v>
      </c>
      <c r="E1634" s="2" t="s">
        <v>2049</v>
      </c>
      <c r="F1634" s="4">
        <v>2586.15</v>
      </c>
      <c r="G1634" s="5">
        <v>333.57</v>
      </c>
      <c r="H1634" s="6">
        <v>14</v>
      </c>
      <c r="I1634" s="2" t="s">
        <v>2117</v>
      </c>
      <c r="J1634" s="2" t="str">
        <v>Scale 24/365 Networks</v>
      </c>
      <c r="K1634" s="2" t="str">
        <v>Furniture</v>
      </c>
      <c r="L1634" s="2" t="str">
        <v>Kim-Hamilton</v>
      </c>
      <c r="M1634" s="2">
        <v>157.55000000000001</v>
      </c>
      <c r="N1634" s="16">
        <f t="shared" si="25"/>
        <v>0.12898323763122788</v>
      </c>
    </row>
    <row r="1635" spans="2:14" ht="14.4" customHeight="1" x14ac:dyDescent="0.3">
      <c r="B1635" s="2" t="s">
        <v>1640</v>
      </c>
      <c r="C1635" s="3">
        <v>44305</v>
      </c>
      <c r="D1635" s="2" t="s">
        <v>2012</v>
      </c>
      <c r="E1635" s="2" t="s">
        <v>2089</v>
      </c>
      <c r="F1635" s="4">
        <v>4264.6499999999996</v>
      </c>
      <c r="G1635" s="5">
        <v>532.12</v>
      </c>
      <c r="H1635" s="6">
        <v>7</v>
      </c>
      <c r="I1635" s="2" t="s">
        <v>2117</v>
      </c>
      <c r="J1635" s="2" t="str">
        <v>Morph World-Class Synergies</v>
      </c>
      <c r="K1635" s="2" t="str">
        <v>Electronics</v>
      </c>
      <c r="L1635" s="2" t="str">
        <v>Bryant Ltd</v>
      </c>
      <c r="M1635" s="2">
        <v>20.69</v>
      </c>
      <c r="N1635" s="16">
        <f t="shared" si="25"/>
        <v>0.12477460049476512</v>
      </c>
    </row>
    <row r="1636" spans="2:14" ht="14.4" customHeight="1" x14ac:dyDescent="0.3">
      <c r="B1636" s="2" t="s">
        <v>1641</v>
      </c>
      <c r="C1636" s="3">
        <v>45411</v>
      </c>
      <c r="D1636" s="2" t="s">
        <v>2010</v>
      </c>
      <c r="E1636" s="2" t="s">
        <v>2051</v>
      </c>
      <c r="F1636" s="4">
        <v>907.88</v>
      </c>
      <c r="G1636" s="5">
        <v>36.18</v>
      </c>
      <c r="H1636" s="6">
        <v>19</v>
      </c>
      <c r="I1636" s="2" t="s">
        <v>2116</v>
      </c>
      <c r="J1636" s="2" t="str">
        <v>Generate Front-End Functionalities</v>
      </c>
      <c r="K1636" s="2" t="str">
        <v>Office Supplies</v>
      </c>
      <c r="L1636" s="2" t="str">
        <v>Morales-Brown</v>
      </c>
      <c r="M1636" s="2">
        <v>299.77</v>
      </c>
      <c r="N1636" s="16">
        <f t="shared" si="25"/>
        <v>3.9851081640745474E-2</v>
      </c>
    </row>
    <row r="1637" spans="2:14" ht="14.4" customHeight="1" x14ac:dyDescent="0.3">
      <c r="B1637" s="2" t="s">
        <v>1642</v>
      </c>
      <c r="C1637" s="3">
        <v>45324</v>
      </c>
      <c r="D1637" s="2" t="s">
        <v>2009</v>
      </c>
      <c r="E1637" s="2" t="s">
        <v>2029</v>
      </c>
      <c r="F1637" s="4">
        <v>676.17</v>
      </c>
      <c r="G1637" s="5">
        <v>144.02000000000001</v>
      </c>
      <c r="H1637" s="6">
        <v>9</v>
      </c>
      <c r="I1637" s="2" t="s">
        <v>2118</v>
      </c>
      <c r="J1637" s="2" t="str">
        <v>E-Enable Next-Generation Experiences</v>
      </c>
      <c r="K1637" s="2" t="str">
        <v>Furniture</v>
      </c>
      <c r="L1637" s="2" t="str">
        <v>Sanchez-Quinn</v>
      </c>
      <c r="M1637" s="2">
        <v>266.93</v>
      </c>
      <c r="N1637" s="16">
        <f t="shared" si="25"/>
        <v>0.21299377375512077</v>
      </c>
    </row>
    <row r="1638" spans="2:14" ht="14.4" customHeight="1" x14ac:dyDescent="0.3">
      <c r="B1638" s="2" t="s">
        <v>1643</v>
      </c>
      <c r="C1638" s="3">
        <v>44596</v>
      </c>
      <c r="D1638" s="2" t="s">
        <v>2012</v>
      </c>
      <c r="E1638" s="2" t="s">
        <v>2089</v>
      </c>
      <c r="F1638" s="4">
        <v>4805.2</v>
      </c>
      <c r="G1638" s="5">
        <v>106.18</v>
      </c>
      <c r="H1638" s="6">
        <v>11</v>
      </c>
      <c r="I1638" s="2" t="s">
        <v>2116</v>
      </c>
      <c r="J1638" s="2" t="str">
        <v>Morph World-Class Synergies</v>
      </c>
      <c r="K1638" s="2" t="str">
        <v>Electronics</v>
      </c>
      <c r="L1638" s="2" t="str">
        <v>Bryant Ltd</v>
      </c>
      <c r="M1638" s="2">
        <v>20.69</v>
      </c>
      <c r="N1638" s="16">
        <f t="shared" si="25"/>
        <v>2.2096895030383753E-2</v>
      </c>
    </row>
    <row r="1639" spans="2:14" ht="14.4" customHeight="1" x14ac:dyDescent="0.3">
      <c r="B1639" s="2" t="s">
        <v>1644</v>
      </c>
      <c r="C1639" s="3">
        <v>45117</v>
      </c>
      <c r="D1639" s="2" t="s">
        <v>2009</v>
      </c>
      <c r="E1639" s="2" t="s">
        <v>2053</v>
      </c>
      <c r="F1639" s="4">
        <v>3239.64</v>
      </c>
      <c r="G1639" s="5">
        <v>113.9</v>
      </c>
      <c r="H1639" s="6">
        <v>13</v>
      </c>
      <c r="I1639" s="2" t="s">
        <v>2117</v>
      </c>
      <c r="J1639" s="2" t="str">
        <v>Transition Mission-Critical Interfaces</v>
      </c>
      <c r="K1639" s="2" t="str">
        <v>Office Supplies</v>
      </c>
      <c r="L1639" s="2" t="str">
        <v>Weaver Ltd</v>
      </c>
      <c r="M1639" s="2">
        <v>34.64</v>
      </c>
      <c r="N1639" s="16">
        <f t="shared" si="25"/>
        <v>3.5158227457371807E-2</v>
      </c>
    </row>
    <row r="1640" spans="2:14" ht="14.4" customHeight="1" x14ac:dyDescent="0.3">
      <c r="B1640" s="2" t="s">
        <v>1645</v>
      </c>
      <c r="C1640" s="3">
        <v>43914</v>
      </c>
      <c r="D1640" s="2" t="s">
        <v>2009</v>
      </c>
      <c r="E1640" s="2" t="s">
        <v>2070</v>
      </c>
      <c r="F1640" s="4">
        <v>3668.66</v>
      </c>
      <c r="G1640" s="5">
        <v>175.93</v>
      </c>
      <c r="H1640" s="6">
        <v>8</v>
      </c>
      <c r="I1640" s="2" t="s">
        <v>2117</v>
      </c>
      <c r="J1640" s="2" t="str">
        <v>Seize Plug-And-Play Web-Readiness</v>
      </c>
      <c r="K1640" s="2" t="str">
        <v>Electronics</v>
      </c>
      <c r="L1640" s="2" t="str">
        <v>Joseph, Mayer and Carr</v>
      </c>
      <c r="M1640" s="2">
        <v>102.73</v>
      </c>
      <c r="N1640" s="16">
        <f t="shared" si="25"/>
        <v>4.7954839096563874E-2</v>
      </c>
    </row>
    <row r="1641" spans="2:14" ht="14.4" customHeight="1" x14ac:dyDescent="0.3">
      <c r="B1641" s="2" t="s">
        <v>1646</v>
      </c>
      <c r="C1641" s="3">
        <v>45197</v>
      </c>
      <c r="D1641" s="2" t="s">
        <v>2011</v>
      </c>
      <c r="E1641" s="2" t="s">
        <v>2094</v>
      </c>
      <c r="F1641" s="4">
        <v>1124.23</v>
      </c>
      <c r="G1641" s="5">
        <v>564.27</v>
      </c>
      <c r="H1641" s="6">
        <v>6</v>
      </c>
      <c r="I1641" s="2" t="s">
        <v>2117</v>
      </c>
      <c r="J1641" s="2" t="str">
        <v>Implement Rich Platforms</v>
      </c>
      <c r="K1641" s="2" t="str">
        <v>Electronics</v>
      </c>
      <c r="L1641" s="2" t="str">
        <v>Parker, Anderson and Salazar</v>
      </c>
      <c r="M1641" s="2">
        <v>53.59</v>
      </c>
      <c r="N1641" s="16">
        <f t="shared" si="25"/>
        <v>0.50191686754489739</v>
      </c>
    </row>
    <row r="1642" spans="2:14" ht="14.4" customHeight="1" x14ac:dyDescent="0.3">
      <c r="B1642" s="2" t="s">
        <v>1647</v>
      </c>
      <c r="C1642" s="3">
        <v>44362</v>
      </c>
      <c r="D1642" s="2" t="s">
        <v>2009</v>
      </c>
      <c r="E1642" s="2" t="s">
        <v>2027</v>
      </c>
      <c r="F1642" s="4">
        <v>554.16</v>
      </c>
      <c r="G1642" s="5">
        <v>373.17</v>
      </c>
      <c r="H1642" s="6">
        <v>11</v>
      </c>
      <c r="I1642" s="2" t="s">
        <v>2116</v>
      </c>
      <c r="J1642" s="2" t="str">
        <v>Monetize Value-Added Niches</v>
      </c>
      <c r="K1642" s="2" t="str">
        <v>Office Supplies</v>
      </c>
      <c r="L1642" s="2" t="str">
        <v>Foster, Velazquez and Lee</v>
      </c>
      <c r="M1642" s="2">
        <v>171.51</v>
      </c>
      <c r="N1642" s="16">
        <f t="shared" si="25"/>
        <v>0.6733975747076657</v>
      </c>
    </row>
    <row r="1643" spans="2:14" ht="14.4" customHeight="1" x14ac:dyDescent="0.3">
      <c r="B1643" s="2" t="s">
        <v>1648</v>
      </c>
      <c r="C1643" s="3">
        <v>45316</v>
      </c>
      <c r="D1643" s="2" t="s">
        <v>2012</v>
      </c>
      <c r="E1643" s="2" t="s">
        <v>2019</v>
      </c>
      <c r="F1643" s="4">
        <v>3784.18</v>
      </c>
      <c r="G1643" s="5">
        <v>144.34</v>
      </c>
      <c r="H1643" s="6">
        <v>12</v>
      </c>
      <c r="I1643" s="2" t="s">
        <v>2116</v>
      </c>
      <c r="J1643" s="2" t="str">
        <v>Implement Clicks-And-Mortar Partnerships</v>
      </c>
      <c r="K1643" s="2" t="str">
        <v>Electronics</v>
      </c>
      <c r="L1643" s="2" t="str">
        <v>Smith Inc</v>
      </c>
      <c r="M1643" s="2">
        <v>195.53</v>
      </c>
      <c r="N1643" s="16">
        <f t="shared" si="25"/>
        <v>3.8143005882384035E-2</v>
      </c>
    </row>
    <row r="1644" spans="2:14" ht="14.4" customHeight="1" x14ac:dyDescent="0.3">
      <c r="B1644" s="2" t="s">
        <v>1649</v>
      </c>
      <c r="C1644" s="3">
        <v>43949</v>
      </c>
      <c r="D1644" s="2" t="s">
        <v>2011</v>
      </c>
      <c r="E1644" s="2" t="s">
        <v>2070</v>
      </c>
      <c r="F1644" s="4">
        <v>3963.24</v>
      </c>
      <c r="G1644" s="5">
        <v>315.35000000000002</v>
      </c>
      <c r="H1644" s="6">
        <v>20</v>
      </c>
      <c r="I1644" s="2" t="s">
        <v>2116</v>
      </c>
      <c r="J1644" s="2" t="str">
        <v>Seize Plug-And-Play Web-Readiness</v>
      </c>
      <c r="K1644" s="2" t="str">
        <v>Electronics</v>
      </c>
      <c r="L1644" s="2" t="str">
        <v>Joseph, Mayer and Carr</v>
      </c>
      <c r="M1644" s="2">
        <v>102.73</v>
      </c>
      <c r="N1644" s="16">
        <f t="shared" si="25"/>
        <v>7.9568736690182787E-2</v>
      </c>
    </row>
    <row r="1645" spans="2:14" ht="14.4" customHeight="1" x14ac:dyDescent="0.3">
      <c r="B1645" s="2" t="s">
        <v>1650</v>
      </c>
      <c r="C1645" s="3">
        <v>44295</v>
      </c>
      <c r="D1645" s="2" t="s">
        <v>2009</v>
      </c>
      <c r="E1645" s="2" t="s">
        <v>2101</v>
      </c>
      <c r="F1645" s="4">
        <v>4751.32</v>
      </c>
      <c r="G1645" s="5">
        <v>214.24</v>
      </c>
      <c r="H1645" s="6">
        <v>19</v>
      </c>
      <c r="I1645" s="2" t="s">
        <v>2116</v>
      </c>
      <c r="J1645" s="2" t="str">
        <v>Deploy Granular Channels</v>
      </c>
      <c r="K1645" s="2" t="str">
        <v>Furniture</v>
      </c>
      <c r="L1645" s="2" t="str">
        <v>Barnes Ltd</v>
      </c>
      <c r="M1645" s="2">
        <v>288.99</v>
      </c>
      <c r="N1645" s="16">
        <f t="shared" si="25"/>
        <v>4.5090627446688507E-2</v>
      </c>
    </row>
    <row r="1646" spans="2:14" ht="14.4" customHeight="1" x14ac:dyDescent="0.3">
      <c r="B1646" s="2" t="s">
        <v>1651</v>
      </c>
      <c r="C1646" s="3">
        <v>44742</v>
      </c>
      <c r="D1646" s="2" t="s">
        <v>2010</v>
      </c>
      <c r="E1646" s="2" t="s">
        <v>2069</v>
      </c>
      <c r="F1646" s="4">
        <v>3849.76</v>
      </c>
      <c r="G1646" s="5">
        <v>149.75</v>
      </c>
      <c r="H1646" s="6">
        <v>9</v>
      </c>
      <c r="I1646" s="2" t="s">
        <v>2116</v>
      </c>
      <c r="J1646" s="2" t="str">
        <v>Optimize Transparent E-Markets</v>
      </c>
      <c r="K1646" s="2" t="str">
        <v>Office Supplies</v>
      </c>
      <c r="L1646" s="2" t="str">
        <v>Lee, Tyler and Blevins</v>
      </c>
      <c r="M1646" s="2">
        <v>111.22</v>
      </c>
      <c r="N1646" s="16">
        <f t="shared" si="25"/>
        <v>3.8898528739453889E-2</v>
      </c>
    </row>
    <row r="1647" spans="2:14" ht="14.4" customHeight="1" x14ac:dyDescent="0.3">
      <c r="B1647" s="2" t="s">
        <v>1652</v>
      </c>
      <c r="C1647" s="3">
        <v>44693</v>
      </c>
      <c r="D1647" s="2" t="s">
        <v>2009</v>
      </c>
      <c r="E1647" s="2" t="s">
        <v>2025</v>
      </c>
      <c r="F1647" s="4">
        <v>3070.29</v>
      </c>
      <c r="G1647" s="5">
        <v>100.72</v>
      </c>
      <c r="H1647" s="6">
        <v>17</v>
      </c>
      <c r="I1647" s="2" t="s">
        <v>2118</v>
      </c>
      <c r="J1647" s="2" t="str">
        <v>Streamline Innovative Architectures</v>
      </c>
      <c r="K1647" s="2" t="str">
        <v>Furniture</v>
      </c>
      <c r="L1647" s="2" t="str">
        <v>Price, Valentine and Lutz</v>
      </c>
      <c r="M1647" s="2">
        <v>291.14999999999998</v>
      </c>
      <c r="N1647" s="16">
        <f t="shared" si="25"/>
        <v>3.2804718772493802E-2</v>
      </c>
    </row>
    <row r="1648" spans="2:14" ht="14.4" customHeight="1" x14ac:dyDescent="0.3">
      <c r="B1648" s="2" t="s">
        <v>1653</v>
      </c>
      <c r="C1648" s="3">
        <v>44796</v>
      </c>
      <c r="D1648" s="2" t="s">
        <v>2012</v>
      </c>
      <c r="E1648" s="2" t="s">
        <v>2039</v>
      </c>
      <c r="F1648" s="4">
        <v>3235.66</v>
      </c>
      <c r="G1648" s="5">
        <v>694.32</v>
      </c>
      <c r="H1648" s="6">
        <v>11</v>
      </c>
      <c r="I1648" s="2" t="s">
        <v>2118</v>
      </c>
      <c r="J1648" s="2" t="str">
        <v>Empower Dot-Com Deliverables</v>
      </c>
      <c r="K1648" s="2" t="str">
        <v>Electronics</v>
      </c>
      <c r="L1648" s="2" t="str">
        <v>Davis LLC</v>
      </c>
      <c r="M1648" s="2">
        <v>250.66</v>
      </c>
      <c r="N1648" s="16">
        <f t="shared" si="25"/>
        <v>0.21458373253061203</v>
      </c>
    </row>
    <row r="1649" spans="2:14" ht="14.4" customHeight="1" x14ac:dyDescent="0.3">
      <c r="B1649" s="2" t="s">
        <v>1654</v>
      </c>
      <c r="C1649" s="3">
        <v>45019</v>
      </c>
      <c r="D1649" s="2" t="s">
        <v>2012</v>
      </c>
      <c r="E1649" s="2" t="s">
        <v>2092</v>
      </c>
      <c r="F1649" s="4">
        <v>1732.52</v>
      </c>
      <c r="G1649" s="5">
        <v>815.38</v>
      </c>
      <c r="H1649" s="6">
        <v>3</v>
      </c>
      <c r="I1649" s="2" t="s">
        <v>2116</v>
      </c>
      <c r="J1649" s="2" t="str">
        <v>Seize Clicks-And-Mortar Platforms</v>
      </c>
      <c r="K1649" s="2" t="str">
        <v>Office Supplies</v>
      </c>
      <c r="L1649" s="2" t="str">
        <v>Owens, Campos and Wood</v>
      </c>
      <c r="M1649" s="2">
        <v>271.16000000000003</v>
      </c>
      <c r="N1649" s="16">
        <f t="shared" si="25"/>
        <v>0.47063237365225219</v>
      </c>
    </row>
    <row r="1650" spans="2:14" ht="14.4" customHeight="1" x14ac:dyDescent="0.3">
      <c r="B1650" s="2" t="s">
        <v>1655</v>
      </c>
      <c r="C1650" s="3">
        <v>45525</v>
      </c>
      <c r="D1650" s="2" t="s">
        <v>2009</v>
      </c>
      <c r="E1650" s="2" t="s">
        <v>2017</v>
      </c>
      <c r="F1650" s="4">
        <v>4202.53</v>
      </c>
      <c r="G1650" s="5">
        <v>259.08</v>
      </c>
      <c r="H1650" s="6">
        <v>6</v>
      </c>
      <c r="I1650" s="2" t="s">
        <v>2116</v>
      </c>
      <c r="J1650" s="2" t="str">
        <v>Target Bricks-And-Clicks Channels</v>
      </c>
      <c r="K1650" s="2" t="str">
        <v>Electronics</v>
      </c>
      <c r="L1650" s="2" t="str">
        <v>Dunn, Christensen and Meyer</v>
      </c>
      <c r="M1650" s="2">
        <v>126.86</v>
      </c>
      <c r="N1650" s="16">
        <f t="shared" si="25"/>
        <v>6.1648578356371046E-2</v>
      </c>
    </row>
    <row r="1651" spans="2:14" ht="14.4" customHeight="1" x14ac:dyDescent="0.3">
      <c r="B1651" s="2" t="s">
        <v>1656</v>
      </c>
      <c r="C1651" s="3">
        <v>45151</v>
      </c>
      <c r="D1651" s="2" t="s">
        <v>2010</v>
      </c>
      <c r="E1651" s="2" t="s">
        <v>2083</v>
      </c>
      <c r="F1651" s="4">
        <v>3598.83</v>
      </c>
      <c r="G1651" s="5">
        <v>276.49</v>
      </c>
      <c r="H1651" s="6">
        <v>9</v>
      </c>
      <c r="I1651" s="2" t="s">
        <v>2116</v>
      </c>
      <c r="J1651" s="2" t="str">
        <v>Whiteboard Sticky Content</v>
      </c>
      <c r="K1651" s="2" t="str">
        <v>Furniture</v>
      </c>
      <c r="L1651" s="2" t="str">
        <v>Wolfe Group</v>
      </c>
      <c r="M1651" s="2">
        <v>82.16</v>
      </c>
      <c r="N1651" s="16">
        <f t="shared" si="25"/>
        <v>7.6827746795486318E-2</v>
      </c>
    </row>
    <row r="1652" spans="2:14" ht="14.4" customHeight="1" x14ac:dyDescent="0.3">
      <c r="B1652" s="2" t="s">
        <v>1657</v>
      </c>
      <c r="C1652" s="3">
        <v>43981</v>
      </c>
      <c r="D1652" s="2" t="s">
        <v>2009</v>
      </c>
      <c r="E1652" s="2" t="s">
        <v>2037</v>
      </c>
      <c r="F1652" s="4">
        <v>503.78</v>
      </c>
      <c r="G1652" s="5">
        <v>503.91</v>
      </c>
      <c r="H1652" s="6">
        <v>14</v>
      </c>
      <c r="I1652" s="2" t="s">
        <v>2117</v>
      </c>
      <c r="J1652" s="2" t="str">
        <v>Utilize Back-End Models</v>
      </c>
      <c r="K1652" s="2" t="str">
        <v>Furniture</v>
      </c>
      <c r="L1652" s="2" t="str">
        <v>Lewis-Holden</v>
      </c>
      <c r="M1652" s="2">
        <v>241.53</v>
      </c>
      <c r="N1652" s="16">
        <f t="shared" si="25"/>
        <v>1.0002580491484379</v>
      </c>
    </row>
    <row r="1653" spans="2:14" ht="14.4" customHeight="1" x14ac:dyDescent="0.3">
      <c r="B1653" s="2" t="s">
        <v>1658</v>
      </c>
      <c r="C1653" s="3">
        <v>43865</v>
      </c>
      <c r="D1653" s="2" t="s">
        <v>2011</v>
      </c>
      <c r="E1653" s="2" t="s">
        <v>2098</v>
      </c>
      <c r="F1653" s="4">
        <v>3692.33</v>
      </c>
      <c r="G1653" s="5">
        <v>859.01</v>
      </c>
      <c r="H1653" s="6">
        <v>19</v>
      </c>
      <c r="I1653" s="2" t="s">
        <v>2118</v>
      </c>
      <c r="J1653" s="2" t="str">
        <v>Deliver Viral Channels</v>
      </c>
      <c r="K1653" s="2" t="str">
        <v>Furniture</v>
      </c>
      <c r="L1653" s="2" t="str">
        <v>Parker LLC</v>
      </c>
      <c r="M1653" s="2">
        <v>45.41</v>
      </c>
      <c r="N1653" s="16">
        <f t="shared" si="25"/>
        <v>0.23264713609021945</v>
      </c>
    </row>
    <row r="1654" spans="2:14" ht="14.4" customHeight="1" x14ac:dyDescent="0.3">
      <c r="B1654" s="2" t="s">
        <v>1659</v>
      </c>
      <c r="C1654" s="3">
        <v>44369</v>
      </c>
      <c r="D1654" s="2" t="s">
        <v>2012</v>
      </c>
      <c r="E1654" s="2" t="s">
        <v>2033</v>
      </c>
      <c r="F1654" s="4">
        <v>4170.79</v>
      </c>
      <c r="G1654" s="5">
        <v>591.48</v>
      </c>
      <c r="H1654" s="6">
        <v>1</v>
      </c>
      <c r="I1654" s="2" t="s">
        <v>2118</v>
      </c>
      <c r="J1654" s="2" t="str">
        <v>Leverage Rich Portals</v>
      </c>
      <c r="K1654" s="2" t="str">
        <v>Office Supplies</v>
      </c>
      <c r="L1654" s="2" t="str">
        <v>Wilson PLC</v>
      </c>
      <c r="M1654" s="2">
        <v>46.35</v>
      </c>
      <c r="N1654" s="16">
        <f t="shared" si="25"/>
        <v>0.14181486001452961</v>
      </c>
    </row>
    <row r="1655" spans="2:14" ht="14.4" customHeight="1" x14ac:dyDescent="0.3">
      <c r="B1655" s="2" t="s">
        <v>1660</v>
      </c>
      <c r="C1655" s="3">
        <v>43909</v>
      </c>
      <c r="D1655" s="2" t="s">
        <v>2009</v>
      </c>
      <c r="E1655" s="2" t="s">
        <v>2059</v>
      </c>
      <c r="F1655" s="4">
        <v>3481.6</v>
      </c>
      <c r="G1655" s="5">
        <v>988.37</v>
      </c>
      <c r="H1655" s="6">
        <v>9</v>
      </c>
      <c r="I1655" s="2" t="s">
        <v>2117</v>
      </c>
      <c r="J1655" s="2" t="str">
        <v>Redefine Real-Time Convergence</v>
      </c>
      <c r="K1655" s="2" t="str">
        <v>Electronics</v>
      </c>
      <c r="L1655" s="2" t="str">
        <v>Hayes, Peters and Douglas</v>
      </c>
      <c r="M1655" s="2">
        <v>78.260000000000005</v>
      </c>
      <c r="N1655" s="16">
        <f t="shared" si="25"/>
        <v>0.28388384650735293</v>
      </c>
    </row>
    <row r="1656" spans="2:14" ht="14.4" customHeight="1" x14ac:dyDescent="0.3">
      <c r="B1656" s="2" t="s">
        <v>1661</v>
      </c>
      <c r="C1656" s="3">
        <v>43961</v>
      </c>
      <c r="D1656" s="2" t="s">
        <v>2011</v>
      </c>
      <c r="E1656" s="2" t="s">
        <v>2084</v>
      </c>
      <c r="F1656" s="4">
        <v>1902.83</v>
      </c>
      <c r="G1656" s="5">
        <v>850.09</v>
      </c>
      <c r="H1656" s="6">
        <v>1</v>
      </c>
      <c r="I1656" s="2" t="s">
        <v>2116</v>
      </c>
      <c r="J1656" s="2" t="str">
        <v>Grow Synergistic Infrastructures</v>
      </c>
      <c r="K1656" s="2" t="str">
        <v>Furniture</v>
      </c>
      <c r="L1656" s="2" t="str">
        <v>Adams-Carter</v>
      </c>
      <c r="M1656" s="2">
        <v>113.17</v>
      </c>
      <c r="N1656" s="16">
        <f t="shared" si="25"/>
        <v>0.4467503665592828</v>
      </c>
    </row>
    <row r="1657" spans="2:14" ht="14.4" customHeight="1" x14ac:dyDescent="0.3">
      <c r="B1657" s="2" t="s">
        <v>1662</v>
      </c>
      <c r="C1657" s="3">
        <v>44032</v>
      </c>
      <c r="D1657" s="2" t="s">
        <v>2011</v>
      </c>
      <c r="E1657" s="2" t="s">
        <v>2046</v>
      </c>
      <c r="F1657" s="4">
        <v>366.98</v>
      </c>
      <c r="G1657" s="5">
        <v>710.02</v>
      </c>
      <c r="H1657" s="6">
        <v>16</v>
      </c>
      <c r="I1657" s="2" t="s">
        <v>2117</v>
      </c>
      <c r="J1657" s="2" t="str">
        <v>Facilitate End-To-End Experiences</v>
      </c>
      <c r="K1657" s="2" t="str">
        <v>Office Supplies</v>
      </c>
      <c r="L1657" s="2" t="str">
        <v>Pierce-Goodwin</v>
      </c>
      <c r="M1657" s="2">
        <v>260.52999999999997</v>
      </c>
      <c r="N1657" s="16">
        <f t="shared" si="25"/>
        <v>1.9347648373208348</v>
      </c>
    </row>
    <row r="1658" spans="2:14" ht="14.4" customHeight="1" x14ac:dyDescent="0.3">
      <c r="B1658" s="2" t="s">
        <v>1663</v>
      </c>
      <c r="C1658" s="3">
        <v>44670</v>
      </c>
      <c r="D1658" s="2" t="s">
        <v>2009</v>
      </c>
      <c r="E1658" s="2" t="s">
        <v>2063</v>
      </c>
      <c r="F1658" s="4">
        <v>4291.3100000000004</v>
      </c>
      <c r="G1658" s="5">
        <v>524.92999999999995</v>
      </c>
      <c r="H1658" s="6">
        <v>12</v>
      </c>
      <c r="I1658" s="2" t="s">
        <v>2118</v>
      </c>
      <c r="J1658" s="2" t="str">
        <v>Unleash End-To-End Web Services</v>
      </c>
      <c r="K1658" s="2" t="str">
        <v>Office Supplies</v>
      </c>
      <c r="L1658" s="2" t="str">
        <v>Jones Ltd</v>
      </c>
      <c r="M1658" s="2">
        <v>188.02</v>
      </c>
      <c r="N1658" s="16">
        <f t="shared" si="25"/>
        <v>0.12232395235953587</v>
      </c>
    </row>
    <row r="1659" spans="2:14" ht="14.4" customHeight="1" x14ac:dyDescent="0.3">
      <c r="B1659" s="2" t="s">
        <v>1664</v>
      </c>
      <c r="C1659" s="3">
        <v>45108</v>
      </c>
      <c r="D1659" s="2" t="s">
        <v>2011</v>
      </c>
      <c r="E1659" s="2" t="s">
        <v>2026</v>
      </c>
      <c r="F1659" s="4">
        <v>4382.28</v>
      </c>
      <c r="G1659" s="5">
        <v>616.6</v>
      </c>
      <c r="H1659" s="6">
        <v>11</v>
      </c>
      <c r="I1659" s="2" t="s">
        <v>2118</v>
      </c>
      <c r="J1659" s="2" t="str">
        <v>Monetize Wireless Functionalities</v>
      </c>
      <c r="K1659" s="2" t="str">
        <v>Furniture</v>
      </c>
      <c r="L1659" s="2" t="str">
        <v>Robinson, Rodriguez and Hernandez</v>
      </c>
      <c r="M1659" s="2">
        <v>162.22</v>
      </c>
      <c r="N1659" s="16">
        <f t="shared" si="25"/>
        <v>0.1407030130434386</v>
      </c>
    </row>
    <row r="1660" spans="2:14" ht="14.4" customHeight="1" x14ac:dyDescent="0.3">
      <c r="B1660" s="2" t="s">
        <v>1665</v>
      </c>
      <c r="C1660" s="3">
        <v>44446</v>
      </c>
      <c r="D1660" s="2" t="s">
        <v>2012</v>
      </c>
      <c r="E1660" s="2" t="s">
        <v>2021</v>
      </c>
      <c r="F1660" s="4">
        <v>3033.36</v>
      </c>
      <c r="G1660" s="5">
        <v>157.22999999999999</v>
      </c>
      <c r="H1660" s="6">
        <v>14</v>
      </c>
      <c r="I1660" s="2" t="s">
        <v>2117</v>
      </c>
      <c r="J1660" s="2" t="str">
        <v>Whiteboard Compelling Experiences</v>
      </c>
      <c r="K1660" s="2" t="str">
        <v>Furniture</v>
      </c>
      <c r="L1660" s="2" t="str">
        <v>Carrillo, Carr and Ball</v>
      </c>
      <c r="M1660" s="2">
        <v>206.54</v>
      </c>
      <c r="N1660" s="16">
        <f t="shared" si="25"/>
        <v>5.1833610253975787E-2</v>
      </c>
    </row>
    <row r="1661" spans="2:14" ht="14.4" customHeight="1" x14ac:dyDescent="0.3">
      <c r="B1661" s="2" t="s">
        <v>1666</v>
      </c>
      <c r="C1661" s="3">
        <v>44321</v>
      </c>
      <c r="D1661" s="2" t="s">
        <v>2010</v>
      </c>
      <c r="E1661" s="2" t="s">
        <v>2064</v>
      </c>
      <c r="F1661" s="4">
        <v>169.29</v>
      </c>
      <c r="G1661" s="5">
        <v>895.28</v>
      </c>
      <c r="H1661" s="6">
        <v>3</v>
      </c>
      <c r="I1661" s="2" t="s">
        <v>2117</v>
      </c>
      <c r="J1661" s="2" t="str">
        <v>Synergize E-Business Deliverables</v>
      </c>
      <c r="K1661" s="2" t="str">
        <v>Electronics</v>
      </c>
      <c r="L1661" s="2" t="str">
        <v>Crawford, Warren and Williams</v>
      </c>
      <c r="M1661" s="2">
        <v>125.93</v>
      </c>
      <c r="N1661" s="16">
        <f t="shared" si="25"/>
        <v>5.2884399551066217</v>
      </c>
    </row>
    <row r="1662" spans="2:14" ht="14.4" customHeight="1" x14ac:dyDescent="0.3">
      <c r="B1662" s="2" t="s">
        <v>1667</v>
      </c>
      <c r="C1662" s="3">
        <v>45576</v>
      </c>
      <c r="D1662" s="2" t="s">
        <v>2012</v>
      </c>
      <c r="E1662" s="2" t="s">
        <v>2085</v>
      </c>
      <c r="F1662" s="4">
        <v>2481.71</v>
      </c>
      <c r="G1662" s="5">
        <v>69.45</v>
      </c>
      <c r="H1662" s="6">
        <v>13</v>
      </c>
      <c r="I1662" s="2" t="s">
        <v>2117</v>
      </c>
      <c r="J1662" s="2" t="str">
        <v>Incentivize User-Centric Mindshare</v>
      </c>
      <c r="K1662" s="2" t="str">
        <v>Electronics</v>
      </c>
      <c r="L1662" s="2" t="str">
        <v>Becker, Wright and Wong</v>
      </c>
      <c r="M1662" s="2">
        <v>38.51</v>
      </c>
      <c r="N1662" s="16">
        <f t="shared" si="25"/>
        <v>2.798473633099758E-2</v>
      </c>
    </row>
    <row r="1663" spans="2:14" ht="14.4" customHeight="1" x14ac:dyDescent="0.3">
      <c r="B1663" s="2" t="s">
        <v>1668</v>
      </c>
      <c r="C1663" s="3">
        <v>43854</v>
      </c>
      <c r="D1663" s="2" t="s">
        <v>2010</v>
      </c>
      <c r="E1663" s="2" t="s">
        <v>2036</v>
      </c>
      <c r="F1663" s="4">
        <v>4473.2700000000004</v>
      </c>
      <c r="G1663" s="5">
        <v>237.63</v>
      </c>
      <c r="H1663" s="6">
        <v>11</v>
      </c>
      <c r="I1663" s="2" t="s">
        <v>2118</v>
      </c>
      <c r="J1663" s="2" t="str">
        <v>Innovate Strategic Systems</v>
      </c>
      <c r="K1663" s="2" t="str">
        <v>Office Supplies</v>
      </c>
      <c r="L1663" s="2" t="str">
        <v>Mcfarland, Parker and Armstrong</v>
      </c>
      <c r="M1663" s="2">
        <v>70.239999999999995</v>
      </c>
      <c r="N1663" s="16">
        <f t="shared" si="25"/>
        <v>5.3122212609567489E-2</v>
      </c>
    </row>
    <row r="1664" spans="2:14" ht="14.4" customHeight="1" x14ac:dyDescent="0.3">
      <c r="B1664" s="2" t="s">
        <v>1669</v>
      </c>
      <c r="C1664" s="3">
        <v>44301</v>
      </c>
      <c r="D1664" s="2" t="s">
        <v>2012</v>
      </c>
      <c r="E1664" s="2" t="s">
        <v>2013</v>
      </c>
      <c r="F1664" s="4">
        <v>4863.6499999999996</v>
      </c>
      <c r="G1664" s="5">
        <v>958.85</v>
      </c>
      <c r="H1664" s="6">
        <v>4</v>
      </c>
      <c r="I1664" s="2" t="s">
        <v>2117</v>
      </c>
      <c r="J1664" s="2" t="str">
        <v>Re-Intermediate Seamless Applications</v>
      </c>
      <c r="K1664" s="2" t="str">
        <v>Office Supplies</v>
      </c>
      <c r="L1664" s="2" t="str">
        <v>Welch-Reed</v>
      </c>
      <c r="M1664" s="2">
        <v>45.82</v>
      </c>
      <c r="N1664" s="16">
        <f t="shared" si="25"/>
        <v>0.19714617622567415</v>
      </c>
    </row>
    <row r="1665" spans="2:14" ht="14.4" customHeight="1" x14ac:dyDescent="0.3">
      <c r="B1665" s="2" t="s">
        <v>1670</v>
      </c>
      <c r="C1665" s="3">
        <v>45276</v>
      </c>
      <c r="D1665" s="2" t="s">
        <v>2011</v>
      </c>
      <c r="E1665" s="2" t="s">
        <v>2018</v>
      </c>
      <c r="F1665" s="4">
        <v>4871.8999999999996</v>
      </c>
      <c r="G1665" s="5">
        <v>488.3</v>
      </c>
      <c r="H1665" s="6">
        <v>5</v>
      </c>
      <c r="I1665" s="2" t="s">
        <v>2118</v>
      </c>
      <c r="J1665" s="2" t="str">
        <v>Deliver Sticky Networks</v>
      </c>
      <c r="K1665" s="2" t="str">
        <v>Furniture</v>
      </c>
      <c r="L1665" s="2" t="str">
        <v>Massey LLC</v>
      </c>
      <c r="M1665" s="2">
        <v>272.33</v>
      </c>
      <c r="N1665" s="16">
        <f t="shared" si="25"/>
        <v>0.10022783718877647</v>
      </c>
    </row>
    <row r="1666" spans="2:14" ht="14.4" customHeight="1" x14ac:dyDescent="0.3">
      <c r="B1666" s="2" t="s">
        <v>1671</v>
      </c>
      <c r="C1666" s="3">
        <v>44101</v>
      </c>
      <c r="D1666" s="2" t="s">
        <v>2009</v>
      </c>
      <c r="E1666" s="2" t="s">
        <v>2082</v>
      </c>
      <c r="F1666" s="4">
        <v>4213.51</v>
      </c>
      <c r="G1666" s="5">
        <v>332.82</v>
      </c>
      <c r="H1666" s="6">
        <v>19</v>
      </c>
      <c r="I1666" s="2" t="s">
        <v>2117</v>
      </c>
      <c r="J1666" s="2" t="str">
        <v>Re-Contextualize Viral Markets</v>
      </c>
      <c r="K1666" s="2" t="str">
        <v>Electronics</v>
      </c>
      <c r="L1666" s="2" t="str">
        <v>Meadows-Barber</v>
      </c>
      <c r="M1666" s="2">
        <v>177.52</v>
      </c>
      <c r="N1666" s="16">
        <f t="shared" si="25"/>
        <v>7.8988776578197264E-2</v>
      </c>
    </row>
    <row r="1667" spans="2:14" ht="14.4" customHeight="1" x14ac:dyDescent="0.3">
      <c r="B1667" s="2" t="s">
        <v>1672</v>
      </c>
      <c r="C1667" s="3">
        <v>45264</v>
      </c>
      <c r="D1667" s="2" t="s">
        <v>2011</v>
      </c>
      <c r="E1667" s="2" t="s">
        <v>2033</v>
      </c>
      <c r="F1667" s="4">
        <v>4322.72</v>
      </c>
      <c r="G1667" s="5">
        <v>934.69</v>
      </c>
      <c r="H1667" s="6">
        <v>13</v>
      </c>
      <c r="I1667" s="2" t="s">
        <v>2117</v>
      </c>
      <c r="J1667" s="2" t="str">
        <v>Leverage Rich Portals</v>
      </c>
      <c r="K1667" s="2" t="str">
        <v>Office Supplies</v>
      </c>
      <c r="L1667" s="2" t="str">
        <v>Wilson PLC</v>
      </c>
      <c r="M1667" s="2">
        <v>46.35</v>
      </c>
      <c r="N1667" s="16">
        <f t="shared" si="25"/>
        <v>0.21622728282192694</v>
      </c>
    </row>
    <row r="1668" spans="2:14" ht="14.4" customHeight="1" x14ac:dyDescent="0.3">
      <c r="B1668" s="2" t="s">
        <v>1673</v>
      </c>
      <c r="C1668" s="3">
        <v>44400</v>
      </c>
      <c r="D1668" s="2" t="s">
        <v>2010</v>
      </c>
      <c r="E1668" s="2" t="s">
        <v>2111</v>
      </c>
      <c r="F1668" s="4">
        <v>2730.58</v>
      </c>
      <c r="G1668" s="5">
        <v>377.45</v>
      </c>
      <c r="H1668" s="6">
        <v>4</v>
      </c>
      <c r="I1668" s="2" t="s">
        <v>2117</v>
      </c>
      <c r="J1668" s="2" t="str">
        <v>Evolve Intuitive Bandwidth</v>
      </c>
      <c r="K1668" s="2" t="str">
        <v>Office Supplies</v>
      </c>
      <c r="L1668" s="2" t="str">
        <v>Rogers Group</v>
      </c>
      <c r="M1668" s="2">
        <v>131.63</v>
      </c>
      <c r="N1668" s="16">
        <f t="shared" si="25"/>
        <v>0.13823070556438558</v>
      </c>
    </row>
    <row r="1669" spans="2:14" ht="14.4" customHeight="1" x14ac:dyDescent="0.3">
      <c r="B1669" s="2" t="s">
        <v>1674</v>
      </c>
      <c r="C1669" s="3">
        <v>44038</v>
      </c>
      <c r="D1669" s="2" t="s">
        <v>2012</v>
      </c>
      <c r="E1669" s="2" t="s">
        <v>2073</v>
      </c>
      <c r="F1669" s="4">
        <v>3532.83</v>
      </c>
      <c r="G1669" s="5">
        <v>55.98</v>
      </c>
      <c r="H1669" s="6">
        <v>15</v>
      </c>
      <c r="I1669" s="2" t="s">
        <v>2118</v>
      </c>
      <c r="J1669" s="2" t="str">
        <v>Visualize Dynamic E-Commerce</v>
      </c>
      <c r="K1669" s="2" t="str">
        <v>Furniture</v>
      </c>
      <c r="L1669" s="2" t="str">
        <v>Jones LLC</v>
      </c>
      <c r="M1669" s="2">
        <v>92.61</v>
      </c>
      <c r="N1669" s="16">
        <f t="shared" ref="N1669:N1732" si="26">(G1669/F1669)</f>
        <v>1.5845653484600163E-2</v>
      </c>
    </row>
    <row r="1670" spans="2:14" ht="14.4" customHeight="1" x14ac:dyDescent="0.3">
      <c r="B1670" s="2" t="s">
        <v>1675</v>
      </c>
      <c r="C1670" s="3">
        <v>44945</v>
      </c>
      <c r="D1670" s="2" t="s">
        <v>2011</v>
      </c>
      <c r="E1670" s="2" t="s">
        <v>2073</v>
      </c>
      <c r="F1670" s="4">
        <v>711.2</v>
      </c>
      <c r="G1670" s="5">
        <v>814.98</v>
      </c>
      <c r="H1670" s="6">
        <v>14</v>
      </c>
      <c r="I1670" s="2" t="s">
        <v>2116</v>
      </c>
      <c r="J1670" s="2" t="str">
        <v>Visualize Dynamic E-Commerce</v>
      </c>
      <c r="K1670" s="2" t="str">
        <v>Furniture</v>
      </c>
      <c r="L1670" s="2" t="str">
        <v>Jones LLC</v>
      </c>
      <c r="M1670" s="2">
        <v>92.61</v>
      </c>
      <c r="N1670" s="16">
        <f t="shared" si="26"/>
        <v>1.1459223847019122</v>
      </c>
    </row>
    <row r="1671" spans="2:14" ht="14.4" customHeight="1" x14ac:dyDescent="0.3">
      <c r="B1671" s="2" t="s">
        <v>1676</v>
      </c>
      <c r="C1671" s="3">
        <v>44712</v>
      </c>
      <c r="D1671" s="2" t="s">
        <v>2009</v>
      </c>
      <c r="E1671" s="2" t="s">
        <v>2069</v>
      </c>
      <c r="F1671" s="4">
        <v>2120.2399999999998</v>
      </c>
      <c r="G1671" s="5">
        <v>103.67</v>
      </c>
      <c r="H1671" s="6">
        <v>5</v>
      </c>
      <c r="I1671" s="2" t="s">
        <v>2118</v>
      </c>
      <c r="J1671" s="2" t="str">
        <v>Optimize Transparent E-Markets</v>
      </c>
      <c r="K1671" s="2" t="str">
        <v>Office Supplies</v>
      </c>
      <c r="L1671" s="2" t="str">
        <v>Lee, Tyler and Blevins</v>
      </c>
      <c r="M1671" s="2">
        <v>111.22</v>
      </c>
      <c r="N1671" s="16">
        <f t="shared" si="26"/>
        <v>4.8895408067011287E-2</v>
      </c>
    </row>
    <row r="1672" spans="2:14" ht="14.4" customHeight="1" x14ac:dyDescent="0.3">
      <c r="B1672" s="2" t="s">
        <v>1677</v>
      </c>
      <c r="C1672" s="3">
        <v>44843</v>
      </c>
      <c r="D1672" s="2" t="s">
        <v>2009</v>
      </c>
      <c r="E1672" s="2" t="s">
        <v>2105</v>
      </c>
      <c r="F1672" s="4">
        <v>4495.75</v>
      </c>
      <c r="G1672" s="5">
        <v>261.26</v>
      </c>
      <c r="H1672" s="6">
        <v>20</v>
      </c>
      <c r="I1672" s="2" t="s">
        <v>2117</v>
      </c>
      <c r="J1672" s="2" t="str">
        <v>Brand B2C Info-Mediaries</v>
      </c>
      <c r="K1672" s="2" t="str">
        <v>Office Supplies</v>
      </c>
      <c r="L1672" s="2" t="str">
        <v>Preston Ltd</v>
      </c>
      <c r="M1672" s="2">
        <v>13.46</v>
      </c>
      <c r="N1672" s="16">
        <f t="shared" si="26"/>
        <v>5.8112661958516373E-2</v>
      </c>
    </row>
    <row r="1673" spans="2:14" ht="14.4" customHeight="1" x14ac:dyDescent="0.3">
      <c r="B1673" s="2" t="s">
        <v>1678</v>
      </c>
      <c r="C1673" s="3">
        <v>43971</v>
      </c>
      <c r="D1673" s="2" t="s">
        <v>2012</v>
      </c>
      <c r="E1673" s="2" t="s">
        <v>2046</v>
      </c>
      <c r="F1673" s="4">
        <v>4446.51</v>
      </c>
      <c r="G1673" s="5">
        <v>795.47</v>
      </c>
      <c r="H1673" s="6">
        <v>1</v>
      </c>
      <c r="I1673" s="2" t="s">
        <v>2117</v>
      </c>
      <c r="J1673" s="2" t="str">
        <v>Facilitate End-To-End Experiences</v>
      </c>
      <c r="K1673" s="2" t="str">
        <v>Office Supplies</v>
      </c>
      <c r="L1673" s="2" t="str">
        <v>Pierce-Goodwin</v>
      </c>
      <c r="M1673" s="2">
        <v>260.52999999999997</v>
      </c>
      <c r="N1673" s="16">
        <f t="shared" si="26"/>
        <v>0.17889760733699014</v>
      </c>
    </row>
    <row r="1674" spans="2:14" ht="14.4" customHeight="1" x14ac:dyDescent="0.3">
      <c r="B1674" s="2" t="s">
        <v>1679</v>
      </c>
      <c r="C1674" s="3">
        <v>44784</v>
      </c>
      <c r="D1674" s="2" t="s">
        <v>2010</v>
      </c>
      <c r="E1674" s="2" t="s">
        <v>2032</v>
      </c>
      <c r="F1674" s="4">
        <v>4456.7299999999996</v>
      </c>
      <c r="G1674" s="5">
        <v>252.69</v>
      </c>
      <c r="H1674" s="6">
        <v>5</v>
      </c>
      <c r="I1674" s="2" t="s">
        <v>2118</v>
      </c>
      <c r="J1674" s="2" t="str">
        <v>Reinvent Frictionless Roi</v>
      </c>
      <c r="K1674" s="2" t="str">
        <v>Furniture</v>
      </c>
      <c r="L1674" s="2" t="str">
        <v>Bridges, Castillo and Rodriguez</v>
      </c>
      <c r="M1674" s="2">
        <v>253.89</v>
      </c>
      <c r="N1674" s="16">
        <f t="shared" si="26"/>
        <v>5.6698521113013357E-2</v>
      </c>
    </row>
    <row r="1675" spans="2:14" ht="14.4" customHeight="1" x14ac:dyDescent="0.3">
      <c r="B1675" s="2" t="s">
        <v>1680</v>
      </c>
      <c r="C1675" s="3">
        <v>45537</v>
      </c>
      <c r="D1675" s="2" t="s">
        <v>2011</v>
      </c>
      <c r="E1675" s="2" t="s">
        <v>2105</v>
      </c>
      <c r="F1675" s="4">
        <v>4924.74</v>
      </c>
      <c r="G1675" s="5">
        <v>185.59</v>
      </c>
      <c r="H1675" s="6">
        <v>4</v>
      </c>
      <c r="I1675" s="2" t="s">
        <v>2118</v>
      </c>
      <c r="J1675" s="2" t="str">
        <v>Brand B2C Info-Mediaries</v>
      </c>
      <c r="K1675" s="2" t="str">
        <v>Office Supplies</v>
      </c>
      <c r="L1675" s="2" t="str">
        <v>Preston Ltd</v>
      </c>
      <c r="M1675" s="2">
        <v>13.46</v>
      </c>
      <c r="N1675" s="16">
        <f t="shared" si="26"/>
        <v>3.7685238205468714E-2</v>
      </c>
    </row>
    <row r="1676" spans="2:14" ht="14.4" customHeight="1" x14ac:dyDescent="0.3">
      <c r="B1676" s="2" t="s">
        <v>1681</v>
      </c>
      <c r="C1676" s="3">
        <v>45449</v>
      </c>
      <c r="D1676" s="2" t="s">
        <v>2011</v>
      </c>
      <c r="E1676" s="2" t="s">
        <v>2033</v>
      </c>
      <c r="F1676" s="4">
        <v>3966.13</v>
      </c>
      <c r="G1676" s="5">
        <v>133.59</v>
      </c>
      <c r="H1676" s="6">
        <v>12</v>
      </c>
      <c r="I1676" s="2" t="s">
        <v>2117</v>
      </c>
      <c r="J1676" s="2" t="str">
        <v>Leverage Rich Portals</v>
      </c>
      <c r="K1676" s="2" t="str">
        <v>Office Supplies</v>
      </c>
      <c r="L1676" s="2" t="str">
        <v>Wilson PLC</v>
      </c>
      <c r="M1676" s="2">
        <v>46.35</v>
      </c>
      <c r="N1676" s="16">
        <f t="shared" si="26"/>
        <v>3.3682708332808051E-2</v>
      </c>
    </row>
    <row r="1677" spans="2:14" ht="14.4" customHeight="1" x14ac:dyDescent="0.3">
      <c r="B1677" s="2" t="s">
        <v>1682</v>
      </c>
      <c r="C1677" s="3">
        <v>44376</v>
      </c>
      <c r="D1677" s="2" t="s">
        <v>2012</v>
      </c>
      <c r="E1677" s="2" t="s">
        <v>2041</v>
      </c>
      <c r="F1677" s="4">
        <v>902.5</v>
      </c>
      <c r="G1677" s="5">
        <v>863.08</v>
      </c>
      <c r="H1677" s="6">
        <v>3</v>
      </c>
      <c r="I1677" s="2" t="s">
        <v>2118</v>
      </c>
      <c r="J1677" s="2" t="str">
        <v>Expedite Synergistic Web-Readiness</v>
      </c>
      <c r="K1677" s="2" t="str">
        <v>Electronics</v>
      </c>
      <c r="L1677" s="2" t="str">
        <v>Dunlap, Carpenter and Monroe</v>
      </c>
      <c r="M1677" s="2">
        <v>289.66000000000003</v>
      </c>
      <c r="N1677" s="16">
        <f t="shared" si="26"/>
        <v>0.95632132963988925</v>
      </c>
    </row>
    <row r="1678" spans="2:14" ht="14.4" customHeight="1" x14ac:dyDescent="0.3">
      <c r="B1678" s="2" t="s">
        <v>1683</v>
      </c>
      <c r="C1678" s="3">
        <v>44776</v>
      </c>
      <c r="D1678" s="2" t="s">
        <v>2011</v>
      </c>
      <c r="E1678" s="2" t="s">
        <v>2035</v>
      </c>
      <c r="F1678" s="4">
        <v>1731.43</v>
      </c>
      <c r="G1678" s="5">
        <v>996.99</v>
      </c>
      <c r="H1678" s="6">
        <v>3</v>
      </c>
      <c r="I1678" s="2" t="s">
        <v>2117</v>
      </c>
      <c r="J1678" s="2" t="str">
        <v>Optimize 24/365 E-Services</v>
      </c>
      <c r="K1678" s="2" t="str">
        <v>Office Supplies</v>
      </c>
      <c r="L1678" s="2" t="str">
        <v>Chase Ltd</v>
      </c>
      <c r="M1678" s="2">
        <v>100.35</v>
      </c>
      <c r="N1678" s="16">
        <f t="shared" si="26"/>
        <v>0.57581883183264704</v>
      </c>
    </row>
    <row r="1679" spans="2:14" ht="14.4" customHeight="1" x14ac:dyDescent="0.3">
      <c r="B1679" s="2" t="s">
        <v>1684</v>
      </c>
      <c r="C1679" s="3">
        <v>45138</v>
      </c>
      <c r="D1679" s="2" t="s">
        <v>2011</v>
      </c>
      <c r="E1679" s="2" t="s">
        <v>2025</v>
      </c>
      <c r="F1679" s="4">
        <v>3994.75</v>
      </c>
      <c r="G1679" s="5">
        <v>261.14999999999998</v>
      </c>
      <c r="H1679" s="6">
        <v>3</v>
      </c>
      <c r="I1679" s="2" t="s">
        <v>2116</v>
      </c>
      <c r="J1679" s="2" t="str">
        <v>Streamline Innovative Architectures</v>
      </c>
      <c r="K1679" s="2" t="str">
        <v>Furniture</v>
      </c>
      <c r="L1679" s="2" t="str">
        <v>Price, Valentine and Lutz</v>
      </c>
      <c r="M1679" s="2">
        <v>291.14999999999998</v>
      </c>
      <c r="N1679" s="16">
        <f t="shared" si="26"/>
        <v>6.5373302459478061E-2</v>
      </c>
    </row>
    <row r="1680" spans="2:14" ht="14.4" customHeight="1" x14ac:dyDescent="0.3">
      <c r="B1680" s="2" t="s">
        <v>1685</v>
      </c>
      <c r="C1680" s="3">
        <v>43978</v>
      </c>
      <c r="D1680" s="2" t="s">
        <v>2009</v>
      </c>
      <c r="E1680" s="2" t="s">
        <v>2061</v>
      </c>
      <c r="F1680" s="4">
        <v>149.61000000000001</v>
      </c>
      <c r="G1680" s="5">
        <v>34.71</v>
      </c>
      <c r="H1680" s="6">
        <v>2</v>
      </c>
      <c r="I1680" s="2" t="s">
        <v>2117</v>
      </c>
      <c r="J1680" s="2" t="str">
        <v>Optimize Collaborative Initiatives</v>
      </c>
      <c r="K1680" s="2" t="str">
        <v>Electronics</v>
      </c>
      <c r="L1680" s="2" t="str">
        <v>Adkins Ltd</v>
      </c>
      <c r="M1680" s="2">
        <v>34.46</v>
      </c>
      <c r="N1680" s="16">
        <f t="shared" si="26"/>
        <v>0.23200320834168836</v>
      </c>
    </row>
    <row r="1681" spans="2:14" ht="14.4" customHeight="1" x14ac:dyDescent="0.3">
      <c r="B1681" s="2" t="s">
        <v>1686</v>
      </c>
      <c r="C1681" s="3">
        <v>44541</v>
      </c>
      <c r="D1681" s="2" t="s">
        <v>2012</v>
      </c>
      <c r="E1681" s="2" t="s">
        <v>2066</v>
      </c>
      <c r="F1681" s="4">
        <v>3607.01</v>
      </c>
      <c r="G1681" s="5">
        <v>995.04</v>
      </c>
      <c r="H1681" s="6">
        <v>3</v>
      </c>
      <c r="I1681" s="2" t="s">
        <v>2117</v>
      </c>
      <c r="J1681" s="2" t="str">
        <v>Facilitate Integrated E-Business</v>
      </c>
      <c r="K1681" s="2" t="str">
        <v>Office Supplies</v>
      </c>
      <c r="L1681" s="2" t="str">
        <v>Chang-Vargas</v>
      </c>
      <c r="M1681" s="2">
        <v>130.33000000000001</v>
      </c>
      <c r="N1681" s="16">
        <f t="shared" si="26"/>
        <v>0.27586283375981768</v>
      </c>
    </row>
    <row r="1682" spans="2:14" ht="14.4" customHeight="1" x14ac:dyDescent="0.3">
      <c r="B1682" s="2" t="s">
        <v>1687</v>
      </c>
      <c r="C1682" s="3">
        <v>44144</v>
      </c>
      <c r="D1682" s="2" t="s">
        <v>2012</v>
      </c>
      <c r="E1682" s="2" t="s">
        <v>2102</v>
      </c>
      <c r="F1682" s="4">
        <v>4484.24</v>
      </c>
      <c r="G1682" s="5">
        <v>831.8</v>
      </c>
      <c r="H1682" s="6">
        <v>20</v>
      </c>
      <c r="I1682" s="2" t="s">
        <v>2117</v>
      </c>
      <c r="J1682" s="2" t="str">
        <v>Re-Contextualize Viral Mindshare</v>
      </c>
      <c r="K1682" s="2" t="str">
        <v>Electronics</v>
      </c>
      <c r="L1682" s="2" t="str">
        <v>Carter-Lane</v>
      </c>
      <c r="M1682" s="2">
        <v>142.25</v>
      </c>
      <c r="N1682" s="16">
        <f t="shared" si="26"/>
        <v>0.18549408595436462</v>
      </c>
    </row>
    <row r="1683" spans="2:14" ht="14.4" customHeight="1" x14ac:dyDescent="0.3">
      <c r="B1683" s="2" t="s">
        <v>1688</v>
      </c>
      <c r="C1683" s="3">
        <v>44282</v>
      </c>
      <c r="D1683" s="2" t="s">
        <v>2011</v>
      </c>
      <c r="E1683" s="2" t="s">
        <v>2075</v>
      </c>
      <c r="F1683" s="4">
        <v>237.13</v>
      </c>
      <c r="G1683" s="5">
        <v>773</v>
      </c>
      <c r="H1683" s="6">
        <v>19</v>
      </c>
      <c r="I1683" s="2" t="s">
        <v>2118</v>
      </c>
      <c r="J1683" s="2" t="str">
        <v>Reinvent Visionary Niches</v>
      </c>
      <c r="K1683" s="2" t="str">
        <v>Furniture</v>
      </c>
      <c r="L1683" s="2" t="str">
        <v>Huber-Richmond</v>
      </c>
      <c r="M1683" s="2">
        <v>219.81</v>
      </c>
      <c r="N1683" s="16">
        <f t="shared" si="26"/>
        <v>3.2598152911904861</v>
      </c>
    </row>
    <row r="1684" spans="2:14" ht="14.4" customHeight="1" x14ac:dyDescent="0.3">
      <c r="B1684" s="2" t="s">
        <v>1689</v>
      </c>
      <c r="C1684" s="3">
        <v>44057</v>
      </c>
      <c r="D1684" s="2" t="s">
        <v>2009</v>
      </c>
      <c r="E1684" s="2" t="s">
        <v>2087</v>
      </c>
      <c r="F1684" s="4">
        <v>1336.79</v>
      </c>
      <c r="G1684" s="5">
        <v>255.44</v>
      </c>
      <c r="H1684" s="6">
        <v>14</v>
      </c>
      <c r="I1684" s="2" t="s">
        <v>2116</v>
      </c>
      <c r="J1684" s="2" t="str">
        <v>Empower Seamless Roi</v>
      </c>
      <c r="K1684" s="2" t="str">
        <v>Office Supplies</v>
      </c>
      <c r="L1684" s="2" t="str">
        <v>Proctor Group</v>
      </c>
      <c r="M1684" s="2">
        <v>266.64999999999998</v>
      </c>
      <c r="N1684" s="16">
        <f t="shared" si="26"/>
        <v>0.19108461314043343</v>
      </c>
    </row>
    <row r="1685" spans="2:14" ht="14.4" customHeight="1" x14ac:dyDescent="0.3">
      <c r="B1685" s="2" t="s">
        <v>1690</v>
      </c>
      <c r="C1685" s="3">
        <v>44029</v>
      </c>
      <c r="D1685" s="2" t="s">
        <v>2011</v>
      </c>
      <c r="E1685" s="2" t="s">
        <v>2036</v>
      </c>
      <c r="F1685" s="4">
        <v>2853.24</v>
      </c>
      <c r="G1685" s="5">
        <v>587.76</v>
      </c>
      <c r="H1685" s="6">
        <v>5</v>
      </c>
      <c r="I1685" s="2" t="s">
        <v>2116</v>
      </c>
      <c r="J1685" s="2" t="str">
        <v>Innovate Strategic Systems</v>
      </c>
      <c r="K1685" s="2" t="str">
        <v>Office Supplies</v>
      </c>
      <c r="L1685" s="2" t="str">
        <v>Mcfarland, Parker and Armstrong</v>
      </c>
      <c r="M1685" s="2">
        <v>70.239999999999995</v>
      </c>
      <c r="N1685" s="16">
        <f t="shared" si="26"/>
        <v>0.20599739243807041</v>
      </c>
    </row>
    <row r="1686" spans="2:14" ht="14.4" customHeight="1" x14ac:dyDescent="0.3">
      <c r="B1686" s="2" t="s">
        <v>1691</v>
      </c>
      <c r="C1686" s="3">
        <v>44705</v>
      </c>
      <c r="D1686" s="2" t="s">
        <v>2009</v>
      </c>
      <c r="E1686" s="2" t="s">
        <v>2070</v>
      </c>
      <c r="F1686" s="4">
        <v>2297.96</v>
      </c>
      <c r="G1686" s="5">
        <v>256.39</v>
      </c>
      <c r="H1686" s="6">
        <v>2</v>
      </c>
      <c r="I1686" s="2" t="s">
        <v>2117</v>
      </c>
      <c r="J1686" s="2" t="str">
        <v>Seize Plug-And-Play Web-Readiness</v>
      </c>
      <c r="K1686" s="2" t="str">
        <v>Electronics</v>
      </c>
      <c r="L1686" s="2" t="str">
        <v>Joseph, Mayer and Carr</v>
      </c>
      <c r="M1686" s="2">
        <v>102.73</v>
      </c>
      <c r="N1686" s="16">
        <f t="shared" si="26"/>
        <v>0.11157287333112847</v>
      </c>
    </row>
    <row r="1687" spans="2:14" ht="14.4" customHeight="1" x14ac:dyDescent="0.3">
      <c r="B1687" s="2" t="s">
        <v>1692</v>
      </c>
      <c r="C1687" s="3">
        <v>45065</v>
      </c>
      <c r="D1687" s="2" t="s">
        <v>2011</v>
      </c>
      <c r="E1687" s="2" t="s">
        <v>2078</v>
      </c>
      <c r="F1687" s="4">
        <v>2981</v>
      </c>
      <c r="G1687" s="5">
        <v>623.78</v>
      </c>
      <c r="H1687" s="6">
        <v>7</v>
      </c>
      <c r="I1687" s="2" t="s">
        <v>2118</v>
      </c>
      <c r="J1687" s="2" t="str">
        <v>Strategize E-Business Content</v>
      </c>
      <c r="K1687" s="2" t="str">
        <v>Electronics</v>
      </c>
      <c r="L1687" s="2" t="str">
        <v>Patterson LLC</v>
      </c>
      <c r="M1687" s="2">
        <v>294.02</v>
      </c>
      <c r="N1687" s="16">
        <f t="shared" si="26"/>
        <v>0.20925192888292518</v>
      </c>
    </row>
    <row r="1688" spans="2:14" ht="14.4" customHeight="1" x14ac:dyDescent="0.3">
      <c r="B1688" s="2" t="s">
        <v>1693</v>
      </c>
      <c r="C1688" s="3">
        <v>45384</v>
      </c>
      <c r="D1688" s="2" t="s">
        <v>2011</v>
      </c>
      <c r="E1688" s="2" t="s">
        <v>2088</v>
      </c>
      <c r="F1688" s="4">
        <v>4387.09</v>
      </c>
      <c r="G1688" s="5">
        <v>65.56</v>
      </c>
      <c r="H1688" s="6">
        <v>14</v>
      </c>
      <c r="I1688" s="2" t="s">
        <v>2117</v>
      </c>
      <c r="J1688" s="2" t="str">
        <v>E-Enable Holistic Supply-Chains</v>
      </c>
      <c r="K1688" s="2" t="str">
        <v>Furniture</v>
      </c>
      <c r="L1688" s="2" t="str">
        <v>Lin-Mcdaniel</v>
      </c>
      <c r="M1688" s="2">
        <v>160.33000000000001</v>
      </c>
      <c r="N1688" s="16">
        <f t="shared" si="26"/>
        <v>1.4943846604469022E-2</v>
      </c>
    </row>
    <row r="1689" spans="2:14" ht="14.4" customHeight="1" x14ac:dyDescent="0.3">
      <c r="B1689" s="2" t="s">
        <v>1694</v>
      </c>
      <c r="C1689" s="3">
        <v>44261</v>
      </c>
      <c r="D1689" s="2" t="s">
        <v>2009</v>
      </c>
      <c r="E1689" s="2" t="s">
        <v>2028</v>
      </c>
      <c r="F1689" s="4">
        <v>2816.78</v>
      </c>
      <c r="G1689" s="5">
        <v>634.98</v>
      </c>
      <c r="H1689" s="6">
        <v>1</v>
      </c>
      <c r="I1689" s="2" t="s">
        <v>2118</v>
      </c>
      <c r="J1689" s="2" t="str">
        <v>Synergize World-Class Networks</v>
      </c>
      <c r="K1689" s="2" t="str">
        <v>Electronics</v>
      </c>
      <c r="L1689" s="2" t="str">
        <v>Gomez-Lawrence</v>
      </c>
      <c r="M1689" s="2">
        <v>72.37</v>
      </c>
      <c r="N1689" s="16">
        <f t="shared" si="26"/>
        <v>0.22542761593024657</v>
      </c>
    </row>
    <row r="1690" spans="2:14" ht="14.4" customHeight="1" x14ac:dyDescent="0.3">
      <c r="B1690" s="2" t="s">
        <v>1695</v>
      </c>
      <c r="C1690" s="3">
        <v>44385</v>
      </c>
      <c r="D1690" s="2" t="s">
        <v>2012</v>
      </c>
      <c r="E1690" s="2" t="s">
        <v>2049</v>
      </c>
      <c r="F1690" s="4">
        <v>615.70000000000005</v>
      </c>
      <c r="G1690" s="5">
        <v>723.28</v>
      </c>
      <c r="H1690" s="6">
        <v>10</v>
      </c>
      <c r="I1690" s="2" t="s">
        <v>2118</v>
      </c>
      <c r="J1690" s="2" t="str">
        <v>Scale 24/365 Networks</v>
      </c>
      <c r="K1690" s="2" t="str">
        <v>Furniture</v>
      </c>
      <c r="L1690" s="2" t="str">
        <v>Kim-Hamilton</v>
      </c>
      <c r="M1690" s="2">
        <v>157.55000000000001</v>
      </c>
      <c r="N1690" s="16">
        <f t="shared" si="26"/>
        <v>1.1747279519246385</v>
      </c>
    </row>
    <row r="1691" spans="2:14" ht="14.4" customHeight="1" x14ac:dyDescent="0.3">
      <c r="B1691" s="2" t="s">
        <v>1696</v>
      </c>
      <c r="C1691" s="3">
        <v>45547</v>
      </c>
      <c r="D1691" s="2" t="s">
        <v>2010</v>
      </c>
      <c r="E1691" s="2" t="s">
        <v>2044</v>
      </c>
      <c r="F1691" s="4">
        <v>1892.34</v>
      </c>
      <c r="G1691" s="5">
        <v>635.08000000000004</v>
      </c>
      <c r="H1691" s="6">
        <v>7</v>
      </c>
      <c r="I1691" s="2" t="s">
        <v>2118</v>
      </c>
      <c r="J1691" s="2" t="str">
        <v>Grow Back-End Supply-Chains</v>
      </c>
      <c r="K1691" s="2" t="str">
        <v>Electronics</v>
      </c>
      <c r="L1691" s="2" t="str">
        <v>Green LLC</v>
      </c>
      <c r="M1691" s="2">
        <v>140.08000000000001</v>
      </c>
      <c r="N1691" s="16">
        <f t="shared" si="26"/>
        <v>0.33560565226122158</v>
      </c>
    </row>
    <row r="1692" spans="2:14" ht="14.4" customHeight="1" x14ac:dyDescent="0.3">
      <c r="B1692" s="2" t="s">
        <v>1697</v>
      </c>
      <c r="C1692" s="3">
        <v>45487</v>
      </c>
      <c r="D1692" s="2" t="s">
        <v>2011</v>
      </c>
      <c r="E1692" s="2" t="s">
        <v>2059</v>
      </c>
      <c r="F1692" s="4">
        <v>1501.07</v>
      </c>
      <c r="G1692" s="5">
        <v>381.6</v>
      </c>
      <c r="H1692" s="6">
        <v>3</v>
      </c>
      <c r="I1692" s="2" t="s">
        <v>2116</v>
      </c>
      <c r="J1692" s="2" t="str">
        <v>Redefine Real-Time Convergence</v>
      </c>
      <c r="K1692" s="2" t="str">
        <v>Electronics</v>
      </c>
      <c r="L1692" s="2" t="str">
        <v>Hayes, Peters and Douglas</v>
      </c>
      <c r="M1692" s="2">
        <v>78.260000000000005</v>
      </c>
      <c r="N1692" s="16">
        <f t="shared" si="26"/>
        <v>0.25421865735775151</v>
      </c>
    </row>
    <row r="1693" spans="2:14" ht="14.4" customHeight="1" x14ac:dyDescent="0.3">
      <c r="B1693" s="2" t="s">
        <v>1698</v>
      </c>
      <c r="C1693" s="3">
        <v>45280</v>
      </c>
      <c r="D1693" s="2" t="s">
        <v>2010</v>
      </c>
      <c r="E1693" s="2" t="s">
        <v>2072</v>
      </c>
      <c r="F1693" s="4">
        <v>3146.95</v>
      </c>
      <c r="G1693" s="5">
        <v>97.38</v>
      </c>
      <c r="H1693" s="6">
        <v>2</v>
      </c>
      <c r="I1693" s="2" t="s">
        <v>2116</v>
      </c>
      <c r="J1693" s="2" t="str">
        <v>Evolve Innovative Web Services</v>
      </c>
      <c r="K1693" s="2" t="str">
        <v>Furniture</v>
      </c>
      <c r="L1693" s="2" t="str">
        <v>Bush Inc</v>
      </c>
      <c r="M1693" s="2">
        <v>87.75</v>
      </c>
      <c r="N1693" s="16">
        <f t="shared" si="26"/>
        <v>3.094424760482372E-2</v>
      </c>
    </row>
    <row r="1694" spans="2:14" ht="14.4" customHeight="1" x14ac:dyDescent="0.3">
      <c r="B1694" s="2" t="s">
        <v>1699</v>
      </c>
      <c r="C1694" s="3">
        <v>45242</v>
      </c>
      <c r="D1694" s="2" t="s">
        <v>2011</v>
      </c>
      <c r="E1694" s="2" t="s">
        <v>2112</v>
      </c>
      <c r="F1694" s="4">
        <v>4052.89</v>
      </c>
      <c r="G1694" s="5">
        <v>719.77</v>
      </c>
      <c r="H1694" s="6">
        <v>12</v>
      </c>
      <c r="I1694" s="2" t="s">
        <v>2118</v>
      </c>
      <c r="J1694" s="2" t="str">
        <v>Mesh B2B Platforms</v>
      </c>
      <c r="K1694" s="2" t="str">
        <v>Furniture</v>
      </c>
      <c r="L1694" s="2" t="str">
        <v>Stevens, Walton and Riddle</v>
      </c>
      <c r="M1694" s="2">
        <v>236.57</v>
      </c>
      <c r="N1694" s="16">
        <f t="shared" si="26"/>
        <v>0.1775942598984922</v>
      </c>
    </row>
    <row r="1695" spans="2:14" ht="14.4" customHeight="1" x14ac:dyDescent="0.3">
      <c r="B1695" s="2" t="s">
        <v>1700</v>
      </c>
      <c r="C1695" s="3">
        <v>45564</v>
      </c>
      <c r="D1695" s="2" t="s">
        <v>2012</v>
      </c>
      <c r="E1695" s="2" t="s">
        <v>2023</v>
      </c>
      <c r="F1695" s="4">
        <v>3897.31</v>
      </c>
      <c r="G1695" s="5">
        <v>23.8</v>
      </c>
      <c r="H1695" s="6">
        <v>17</v>
      </c>
      <c r="I1695" s="2" t="s">
        <v>2116</v>
      </c>
      <c r="J1695" s="2" t="str">
        <v>Leverage Cutting-Edge Vortals</v>
      </c>
      <c r="K1695" s="2" t="str">
        <v>Electronics</v>
      </c>
      <c r="L1695" s="2" t="str">
        <v>Robinson, Garrett and Chavez</v>
      </c>
      <c r="M1695" s="2">
        <v>117.3</v>
      </c>
      <c r="N1695" s="16">
        <f t="shared" si="26"/>
        <v>6.1067762123105428E-3</v>
      </c>
    </row>
    <row r="1696" spans="2:14" ht="14.4" customHeight="1" x14ac:dyDescent="0.3">
      <c r="B1696" s="2" t="s">
        <v>1701</v>
      </c>
      <c r="C1696" s="3">
        <v>44220</v>
      </c>
      <c r="D1696" s="2" t="s">
        <v>2011</v>
      </c>
      <c r="E1696" s="2" t="s">
        <v>2102</v>
      </c>
      <c r="F1696" s="4">
        <v>4720.1099999999997</v>
      </c>
      <c r="G1696" s="5">
        <v>637.99</v>
      </c>
      <c r="H1696" s="6">
        <v>2</v>
      </c>
      <c r="I1696" s="2" t="s">
        <v>2117</v>
      </c>
      <c r="J1696" s="2" t="str">
        <v>Re-Contextualize Viral Mindshare</v>
      </c>
      <c r="K1696" s="2" t="str">
        <v>Electronics</v>
      </c>
      <c r="L1696" s="2" t="str">
        <v>Carter-Lane</v>
      </c>
      <c r="M1696" s="2">
        <v>142.25</v>
      </c>
      <c r="N1696" s="16">
        <f t="shared" si="26"/>
        <v>0.13516422286768742</v>
      </c>
    </row>
    <row r="1697" spans="2:14" ht="14.4" customHeight="1" x14ac:dyDescent="0.3">
      <c r="B1697" s="2" t="s">
        <v>1702</v>
      </c>
      <c r="C1697" s="3">
        <v>45115</v>
      </c>
      <c r="D1697" s="2" t="s">
        <v>2010</v>
      </c>
      <c r="E1697" s="2" t="s">
        <v>2048</v>
      </c>
      <c r="F1697" s="4">
        <v>2803.72</v>
      </c>
      <c r="G1697" s="5">
        <v>619.20000000000005</v>
      </c>
      <c r="H1697" s="6">
        <v>6</v>
      </c>
      <c r="I1697" s="2" t="s">
        <v>2116</v>
      </c>
      <c r="J1697" s="2" t="str">
        <v>Drive Compelling E-Services</v>
      </c>
      <c r="K1697" s="2" t="str">
        <v>Office Supplies</v>
      </c>
      <c r="L1697" s="2" t="str">
        <v>Morris-Villanueva</v>
      </c>
      <c r="M1697" s="2">
        <v>27.22</v>
      </c>
      <c r="N1697" s="16">
        <f t="shared" si="26"/>
        <v>0.22084944288302688</v>
      </c>
    </row>
    <row r="1698" spans="2:14" ht="14.4" customHeight="1" x14ac:dyDescent="0.3">
      <c r="B1698" s="2" t="s">
        <v>1703</v>
      </c>
      <c r="C1698" s="3">
        <v>44308</v>
      </c>
      <c r="D1698" s="2" t="s">
        <v>2011</v>
      </c>
      <c r="E1698" s="2" t="s">
        <v>2060</v>
      </c>
      <c r="F1698" s="4">
        <v>3875.56</v>
      </c>
      <c r="G1698" s="5">
        <v>145.93</v>
      </c>
      <c r="H1698" s="6">
        <v>9</v>
      </c>
      <c r="I1698" s="2" t="s">
        <v>2118</v>
      </c>
      <c r="J1698" s="2" t="str">
        <v>Synergize End-To-End Roi</v>
      </c>
      <c r="K1698" s="2" t="str">
        <v>Electronics</v>
      </c>
      <c r="L1698" s="2" t="str">
        <v>Evans-Smith</v>
      </c>
      <c r="M1698" s="2">
        <v>159.85</v>
      </c>
      <c r="N1698" s="16">
        <f t="shared" si="26"/>
        <v>3.7653913240925187E-2</v>
      </c>
    </row>
    <row r="1699" spans="2:14" ht="14.4" customHeight="1" x14ac:dyDescent="0.3">
      <c r="B1699" s="2" t="s">
        <v>1704</v>
      </c>
      <c r="C1699" s="3">
        <v>44762</v>
      </c>
      <c r="D1699" s="2" t="s">
        <v>2009</v>
      </c>
      <c r="E1699" s="2" t="s">
        <v>2111</v>
      </c>
      <c r="F1699" s="4">
        <v>3796.69</v>
      </c>
      <c r="G1699" s="5">
        <v>580.12</v>
      </c>
      <c r="H1699" s="6">
        <v>11</v>
      </c>
      <c r="I1699" s="2" t="s">
        <v>2117</v>
      </c>
      <c r="J1699" s="2" t="str">
        <v>Evolve Intuitive Bandwidth</v>
      </c>
      <c r="K1699" s="2" t="str">
        <v>Office Supplies</v>
      </c>
      <c r="L1699" s="2" t="str">
        <v>Rogers Group</v>
      </c>
      <c r="M1699" s="2">
        <v>131.63</v>
      </c>
      <c r="N1699" s="16">
        <f t="shared" si="26"/>
        <v>0.15279625147167664</v>
      </c>
    </row>
    <row r="1700" spans="2:14" ht="14.4" customHeight="1" x14ac:dyDescent="0.3">
      <c r="B1700" s="2" t="s">
        <v>1705</v>
      </c>
      <c r="C1700" s="3">
        <v>44059</v>
      </c>
      <c r="D1700" s="2" t="s">
        <v>2011</v>
      </c>
      <c r="E1700" s="2" t="s">
        <v>2090</v>
      </c>
      <c r="F1700" s="4">
        <v>1737.74</v>
      </c>
      <c r="G1700" s="5">
        <v>135.84</v>
      </c>
      <c r="H1700" s="6">
        <v>2</v>
      </c>
      <c r="I1700" s="2" t="s">
        <v>2116</v>
      </c>
      <c r="J1700" s="2" t="str">
        <v>Empower Bleeding-Edge Action-Items</v>
      </c>
      <c r="K1700" s="2" t="str">
        <v>Furniture</v>
      </c>
      <c r="L1700" s="2" t="str">
        <v>Gray, Hayes and Banks</v>
      </c>
      <c r="M1700" s="2">
        <v>204.26</v>
      </c>
      <c r="N1700" s="16">
        <f t="shared" si="26"/>
        <v>7.8170497312601422E-2</v>
      </c>
    </row>
    <row r="1701" spans="2:14" ht="14.4" customHeight="1" x14ac:dyDescent="0.3">
      <c r="B1701" s="2" t="s">
        <v>1706</v>
      </c>
      <c r="C1701" s="3">
        <v>44979</v>
      </c>
      <c r="D1701" s="2" t="s">
        <v>2009</v>
      </c>
      <c r="E1701" s="2" t="s">
        <v>2087</v>
      </c>
      <c r="F1701" s="4">
        <v>2882.82</v>
      </c>
      <c r="G1701" s="5">
        <v>986.52</v>
      </c>
      <c r="H1701" s="6">
        <v>7</v>
      </c>
      <c r="I1701" s="2" t="s">
        <v>2116</v>
      </c>
      <c r="J1701" s="2" t="str">
        <v>Empower Seamless Roi</v>
      </c>
      <c r="K1701" s="2" t="str">
        <v>Office Supplies</v>
      </c>
      <c r="L1701" s="2" t="str">
        <v>Proctor Group</v>
      </c>
      <c r="M1701" s="2">
        <v>266.64999999999998</v>
      </c>
      <c r="N1701" s="16">
        <f t="shared" si="26"/>
        <v>0.34220658938123083</v>
      </c>
    </row>
    <row r="1702" spans="2:14" ht="14.4" customHeight="1" x14ac:dyDescent="0.3">
      <c r="B1702" s="2" t="s">
        <v>1707</v>
      </c>
      <c r="C1702" s="3">
        <v>44908</v>
      </c>
      <c r="D1702" s="2" t="s">
        <v>2012</v>
      </c>
      <c r="E1702" s="2" t="s">
        <v>2046</v>
      </c>
      <c r="F1702" s="4">
        <v>3871.64</v>
      </c>
      <c r="G1702" s="5">
        <v>998.09</v>
      </c>
      <c r="H1702" s="6">
        <v>3</v>
      </c>
      <c r="I1702" s="2" t="s">
        <v>2116</v>
      </c>
      <c r="J1702" s="2" t="str">
        <v>Facilitate End-To-End Experiences</v>
      </c>
      <c r="K1702" s="2" t="str">
        <v>Office Supplies</v>
      </c>
      <c r="L1702" s="2" t="str">
        <v>Pierce-Goodwin</v>
      </c>
      <c r="M1702" s="2">
        <v>260.52999999999997</v>
      </c>
      <c r="N1702" s="16">
        <f t="shared" si="26"/>
        <v>0.25779514624293581</v>
      </c>
    </row>
    <row r="1703" spans="2:14" ht="14.4" customHeight="1" x14ac:dyDescent="0.3">
      <c r="B1703" s="2" t="s">
        <v>1708</v>
      </c>
      <c r="C1703" s="3">
        <v>45474</v>
      </c>
      <c r="D1703" s="2" t="s">
        <v>2009</v>
      </c>
      <c r="E1703" s="2" t="s">
        <v>2046</v>
      </c>
      <c r="F1703" s="4">
        <v>2310.54</v>
      </c>
      <c r="G1703" s="5">
        <v>355.1</v>
      </c>
      <c r="H1703" s="6">
        <v>9</v>
      </c>
      <c r="I1703" s="2" t="s">
        <v>2118</v>
      </c>
      <c r="J1703" s="2" t="str">
        <v>Facilitate End-To-End Experiences</v>
      </c>
      <c r="K1703" s="2" t="str">
        <v>Office Supplies</v>
      </c>
      <c r="L1703" s="2" t="str">
        <v>Pierce-Goodwin</v>
      </c>
      <c r="M1703" s="2">
        <v>260.52999999999997</v>
      </c>
      <c r="N1703" s="16">
        <f t="shared" si="26"/>
        <v>0.1536870168878271</v>
      </c>
    </row>
    <row r="1704" spans="2:14" ht="14.4" customHeight="1" x14ac:dyDescent="0.3">
      <c r="B1704" s="2" t="s">
        <v>1709</v>
      </c>
      <c r="C1704" s="3">
        <v>45102</v>
      </c>
      <c r="D1704" s="2" t="s">
        <v>2009</v>
      </c>
      <c r="E1704" s="2" t="s">
        <v>2083</v>
      </c>
      <c r="F1704" s="4">
        <v>2591.56</v>
      </c>
      <c r="G1704" s="5">
        <v>69.040000000000006</v>
      </c>
      <c r="H1704" s="6">
        <v>3</v>
      </c>
      <c r="I1704" s="2" t="s">
        <v>2117</v>
      </c>
      <c r="J1704" s="2" t="str">
        <v>Whiteboard Sticky Content</v>
      </c>
      <c r="K1704" s="2" t="str">
        <v>Furniture</v>
      </c>
      <c r="L1704" s="2" t="str">
        <v>Wolfe Group</v>
      </c>
      <c r="M1704" s="2">
        <v>82.16</v>
      </c>
      <c r="N1704" s="16">
        <f t="shared" si="26"/>
        <v>2.6640324746484745E-2</v>
      </c>
    </row>
    <row r="1705" spans="2:14" ht="14.4" customHeight="1" x14ac:dyDescent="0.3">
      <c r="B1705" s="2" t="s">
        <v>1710</v>
      </c>
      <c r="C1705" s="3">
        <v>44196</v>
      </c>
      <c r="D1705" s="2" t="s">
        <v>2009</v>
      </c>
      <c r="E1705" s="2" t="s">
        <v>2098</v>
      </c>
      <c r="F1705" s="4">
        <v>4933.93</v>
      </c>
      <c r="G1705" s="5">
        <v>291.33999999999997</v>
      </c>
      <c r="H1705" s="6">
        <v>16</v>
      </c>
      <c r="I1705" s="2" t="s">
        <v>2116</v>
      </c>
      <c r="J1705" s="2" t="str">
        <v>Deliver Viral Channels</v>
      </c>
      <c r="K1705" s="2" t="str">
        <v>Furniture</v>
      </c>
      <c r="L1705" s="2" t="str">
        <v>Parker LLC</v>
      </c>
      <c r="M1705" s="2">
        <v>45.41</v>
      </c>
      <c r="N1705" s="16">
        <f t="shared" si="26"/>
        <v>5.9048263757288805E-2</v>
      </c>
    </row>
    <row r="1706" spans="2:14" ht="14.4" customHeight="1" x14ac:dyDescent="0.3">
      <c r="B1706" s="2" t="s">
        <v>1711</v>
      </c>
      <c r="C1706" s="3">
        <v>44116</v>
      </c>
      <c r="D1706" s="2" t="s">
        <v>2011</v>
      </c>
      <c r="E1706" s="2" t="s">
        <v>2083</v>
      </c>
      <c r="F1706" s="4">
        <v>2439.9299999999998</v>
      </c>
      <c r="G1706" s="5">
        <v>253.1</v>
      </c>
      <c r="H1706" s="6">
        <v>6</v>
      </c>
      <c r="I1706" s="2" t="s">
        <v>2118</v>
      </c>
      <c r="J1706" s="2" t="str">
        <v>Whiteboard Sticky Content</v>
      </c>
      <c r="K1706" s="2" t="str">
        <v>Furniture</v>
      </c>
      <c r="L1706" s="2" t="str">
        <v>Wolfe Group</v>
      </c>
      <c r="M1706" s="2">
        <v>82.16</v>
      </c>
      <c r="N1706" s="16">
        <f t="shared" si="26"/>
        <v>0.10373248412864304</v>
      </c>
    </row>
    <row r="1707" spans="2:14" ht="14.4" customHeight="1" x14ac:dyDescent="0.3">
      <c r="B1707" s="2" t="s">
        <v>1712</v>
      </c>
      <c r="C1707" s="3">
        <v>44465</v>
      </c>
      <c r="D1707" s="2" t="s">
        <v>2010</v>
      </c>
      <c r="E1707" s="2" t="s">
        <v>2015</v>
      </c>
      <c r="F1707" s="4">
        <v>684.27</v>
      </c>
      <c r="G1707" s="5">
        <v>527.77</v>
      </c>
      <c r="H1707" s="6">
        <v>11</v>
      </c>
      <c r="I1707" s="2" t="s">
        <v>2117</v>
      </c>
      <c r="J1707" s="2" t="str">
        <v>Brand Web-Enabled Solutions</v>
      </c>
      <c r="K1707" s="2" t="str">
        <v>Electronics</v>
      </c>
      <c r="L1707" s="2" t="str">
        <v>Russell Group</v>
      </c>
      <c r="M1707" s="2">
        <v>51.67</v>
      </c>
      <c r="N1707" s="16">
        <f t="shared" si="26"/>
        <v>0.77128911102342645</v>
      </c>
    </row>
    <row r="1708" spans="2:14" ht="14.4" customHeight="1" x14ac:dyDescent="0.3">
      <c r="B1708" s="2" t="s">
        <v>1713</v>
      </c>
      <c r="C1708" s="3">
        <v>44721</v>
      </c>
      <c r="D1708" s="2" t="s">
        <v>2009</v>
      </c>
      <c r="E1708" s="2" t="s">
        <v>2054</v>
      </c>
      <c r="F1708" s="4">
        <v>3090.4</v>
      </c>
      <c r="G1708" s="5">
        <v>96.19</v>
      </c>
      <c r="H1708" s="6">
        <v>13</v>
      </c>
      <c r="I1708" s="2" t="s">
        <v>2118</v>
      </c>
      <c r="J1708" s="2" t="str">
        <v>Empower Killer Info-Mediaries</v>
      </c>
      <c r="K1708" s="2" t="str">
        <v>Furniture</v>
      </c>
      <c r="L1708" s="2" t="str">
        <v>Jones Ltd</v>
      </c>
      <c r="M1708" s="2">
        <v>213.24</v>
      </c>
      <c r="N1708" s="16">
        <f t="shared" si="26"/>
        <v>3.112542065752006E-2</v>
      </c>
    </row>
    <row r="1709" spans="2:14" ht="14.4" customHeight="1" x14ac:dyDescent="0.3">
      <c r="B1709" s="2" t="s">
        <v>1714</v>
      </c>
      <c r="C1709" s="3">
        <v>45201</v>
      </c>
      <c r="D1709" s="2" t="s">
        <v>2012</v>
      </c>
      <c r="E1709" s="2" t="s">
        <v>2076</v>
      </c>
      <c r="F1709" s="4">
        <v>3501.77</v>
      </c>
      <c r="G1709" s="5">
        <v>184.29</v>
      </c>
      <c r="H1709" s="6">
        <v>6</v>
      </c>
      <c r="I1709" s="2" t="s">
        <v>2117</v>
      </c>
      <c r="J1709" s="2" t="str">
        <v>Deliver Extensible Partnerships</v>
      </c>
      <c r="K1709" s="2" t="str">
        <v>Furniture</v>
      </c>
      <c r="L1709" s="2" t="str">
        <v>Martin, Paul and Salazar</v>
      </c>
      <c r="M1709" s="2">
        <v>43.76</v>
      </c>
      <c r="N1709" s="16">
        <f t="shared" si="26"/>
        <v>5.2627671149161705E-2</v>
      </c>
    </row>
    <row r="1710" spans="2:14" ht="14.4" customHeight="1" x14ac:dyDescent="0.3">
      <c r="B1710" s="2" t="s">
        <v>1715</v>
      </c>
      <c r="C1710" s="3">
        <v>44753</v>
      </c>
      <c r="D1710" s="2" t="s">
        <v>2012</v>
      </c>
      <c r="E1710" s="2" t="s">
        <v>2096</v>
      </c>
      <c r="F1710" s="4">
        <v>2985.88</v>
      </c>
      <c r="G1710" s="5">
        <v>390</v>
      </c>
      <c r="H1710" s="6">
        <v>3</v>
      </c>
      <c r="I1710" s="2" t="s">
        <v>2118</v>
      </c>
      <c r="J1710" s="2" t="str">
        <v>Disintermediate Scalable Bandwidth</v>
      </c>
      <c r="K1710" s="2" t="str">
        <v>Electronics</v>
      </c>
      <c r="L1710" s="2" t="str">
        <v>Levy PLC</v>
      </c>
      <c r="M1710" s="2">
        <v>19.86</v>
      </c>
      <c r="N1710" s="16">
        <f t="shared" si="26"/>
        <v>0.13061476013771484</v>
      </c>
    </row>
    <row r="1711" spans="2:14" ht="14.4" customHeight="1" x14ac:dyDescent="0.3">
      <c r="B1711" s="2" t="s">
        <v>1716</v>
      </c>
      <c r="C1711" s="3">
        <v>45298</v>
      </c>
      <c r="D1711" s="2" t="s">
        <v>2012</v>
      </c>
      <c r="E1711" s="2" t="s">
        <v>2081</v>
      </c>
      <c r="F1711" s="4">
        <v>1779.81</v>
      </c>
      <c r="G1711" s="5">
        <v>113.44</v>
      </c>
      <c r="H1711" s="6">
        <v>6</v>
      </c>
      <c r="I1711" s="2" t="s">
        <v>2117</v>
      </c>
      <c r="J1711" s="2" t="str">
        <v>Orchestrate User-Centric Platforms</v>
      </c>
      <c r="K1711" s="2" t="str">
        <v>Furniture</v>
      </c>
      <c r="L1711" s="2" t="str">
        <v>Wells Ltd</v>
      </c>
      <c r="M1711" s="2">
        <v>201.87</v>
      </c>
      <c r="N1711" s="16">
        <f t="shared" si="26"/>
        <v>6.3737140481287327E-2</v>
      </c>
    </row>
    <row r="1712" spans="2:14" ht="14.4" customHeight="1" x14ac:dyDescent="0.3">
      <c r="B1712" s="2" t="s">
        <v>1717</v>
      </c>
      <c r="C1712" s="3">
        <v>44542</v>
      </c>
      <c r="D1712" s="2" t="s">
        <v>2009</v>
      </c>
      <c r="E1712" s="2" t="s">
        <v>2063</v>
      </c>
      <c r="F1712" s="4">
        <v>2139.89</v>
      </c>
      <c r="G1712" s="5">
        <v>125.27</v>
      </c>
      <c r="H1712" s="6">
        <v>7</v>
      </c>
      <c r="I1712" s="2" t="s">
        <v>2118</v>
      </c>
      <c r="J1712" s="2" t="str">
        <v>Unleash End-To-End Web Services</v>
      </c>
      <c r="K1712" s="2" t="str">
        <v>Office Supplies</v>
      </c>
      <c r="L1712" s="2" t="str">
        <v>Jones Ltd</v>
      </c>
      <c r="M1712" s="2">
        <v>188.02</v>
      </c>
      <c r="N1712" s="16">
        <f t="shared" si="26"/>
        <v>5.8540392263153718E-2</v>
      </c>
    </row>
    <row r="1713" spans="2:14" ht="14.4" customHeight="1" x14ac:dyDescent="0.3">
      <c r="B1713" s="2" t="s">
        <v>1718</v>
      </c>
      <c r="C1713" s="3">
        <v>44813</v>
      </c>
      <c r="D1713" s="2" t="s">
        <v>2010</v>
      </c>
      <c r="E1713" s="2" t="s">
        <v>2098</v>
      </c>
      <c r="F1713" s="4">
        <v>4419.8599999999997</v>
      </c>
      <c r="G1713" s="5">
        <v>562.59</v>
      </c>
      <c r="H1713" s="6">
        <v>12</v>
      </c>
      <c r="I1713" s="2" t="s">
        <v>2117</v>
      </c>
      <c r="J1713" s="2" t="str">
        <v>Deliver Viral Channels</v>
      </c>
      <c r="K1713" s="2" t="str">
        <v>Furniture</v>
      </c>
      <c r="L1713" s="2" t="str">
        <v>Parker LLC</v>
      </c>
      <c r="M1713" s="2">
        <v>45.41</v>
      </c>
      <c r="N1713" s="16">
        <f t="shared" si="26"/>
        <v>0.12728683713963793</v>
      </c>
    </row>
    <row r="1714" spans="2:14" ht="14.4" customHeight="1" x14ac:dyDescent="0.3">
      <c r="B1714" s="2" t="s">
        <v>1719</v>
      </c>
      <c r="C1714" s="3">
        <v>44205</v>
      </c>
      <c r="D1714" s="2" t="s">
        <v>2012</v>
      </c>
      <c r="E1714" s="2" t="s">
        <v>2049</v>
      </c>
      <c r="F1714" s="4">
        <v>1231.8699999999999</v>
      </c>
      <c r="G1714" s="5">
        <v>18.649999999999999</v>
      </c>
      <c r="H1714" s="6">
        <v>1</v>
      </c>
      <c r="I1714" s="2" t="s">
        <v>2117</v>
      </c>
      <c r="J1714" s="2" t="str">
        <v>Scale 24/365 Networks</v>
      </c>
      <c r="K1714" s="2" t="str">
        <v>Furniture</v>
      </c>
      <c r="L1714" s="2" t="str">
        <v>Kim-Hamilton</v>
      </c>
      <c r="M1714" s="2">
        <v>157.55000000000001</v>
      </c>
      <c r="N1714" s="16">
        <f t="shared" si="26"/>
        <v>1.513958453408233E-2</v>
      </c>
    </row>
    <row r="1715" spans="2:14" ht="14.4" customHeight="1" x14ac:dyDescent="0.3">
      <c r="B1715" s="2" t="s">
        <v>1720</v>
      </c>
      <c r="C1715" s="3">
        <v>45359</v>
      </c>
      <c r="D1715" s="2" t="s">
        <v>2010</v>
      </c>
      <c r="E1715" s="2" t="s">
        <v>2081</v>
      </c>
      <c r="F1715" s="4">
        <v>998.99</v>
      </c>
      <c r="G1715" s="5">
        <v>331.66</v>
      </c>
      <c r="H1715" s="6">
        <v>16</v>
      </c>
      <c r="I1715" s="2" t="s">
        <v>2118</v>
      </c>
      <c r="J1715" s="2" t="str">
        <v>Orchestrate User-Centric Platforms</v>
      </c>
      <c r="K1715" s="2" t="str">
        <v>Furniture</v>
      </c>
      <c r="L1715" s="2" t="str">
        <v>Wells Ltd</v>
      </c>
      <c r="M1715" s="2">
        <v>201.87</v>
      </c>
      <c r="N1715" s="16">
        <f t="shared" si="26"/>
        <v>0.33199531526842113</v>
      </c>
    </row>
    <row r="1716" spans="2:14" ht="14.4" customHeight="1" x14ac:dyDescent="0.3">
      <c r="B1716" s="2" t="s">
        <v>1721</v>
      </c>
      <c r="C1716" s="3">
        <v>44999</v>
      </c>
      <c r="D1716" s="2" t="s">
        <v>2009</v>
      </c>
      <c r="E1716" s="2" t="s">
        <v>2103</v>
      </c>
      <c r="F1716" s="4">
        <v>2718.02</v>
      </c>
      <c r="G1716" s="5">
        <v>217.75</v>
      </c>
      <c r="H1716" s="6">
        <v>3</v>
      </c>
      <c r="I1716" s="2" t="s">
        <v>2117</v>
      </c>
      <c r="J1716" s="2" t="str">
        <v>Benchmark Cross-Platform Markets</v>
      </c>
      <c r="K1716" s="2" t="str">
        <v>Furniture</v>
      </c>
      <c r="L1716" s="2" t="str">
        <v>Murphy, Mathews and Wilson</v>
      </c>
      <c r="M1716" s="2">
        <v>78.88</v>
      </c>
      <c r="N1716" s="16">
        <f t="shared" si="26"/>
        <v>8.0113464948749463E-2</v>
      </c>
    </row>
    <row r="1717" spans="2:14" ht="14.4" customHeight="1" x14ac:dyDescent="0.3">
      <c r="B1717" s="2" t="s">
        <v>1722</v>
      </c>
      <c r="C1717" s="3">
        <v>45402</v>
      </c>
      <c r="D1717" s="2" t="s">
        <v>2009</v>
      </c>
      <c r="E1717" s="2" t="s">
        <v>2103</v>
      </c>
      <c r="F1717" s="4">
        <v>4880.6000000000004</v>
      </c>
      <c r="G1717" s="5">
        <v>317.56</v>
      </c>
      <c r="H1717" s="6">
        <v>2</v>
      </c>
      <c r="I1717" s="2" t="s">
        <v>2117</v>
      </c>
      <c r="J1717" s="2" t="str">
        <v>Benchmark Cross-Platform Markets</v>
      </c>
      <c r="K1717" s="2" t="str">
        <v>Furniture</v>
      </c>
      <c r="L1717" s="2" t="str">
        <v>Murphy, Mathews and Wilson</v>
      </c>
      <c r="M1717" s="2">
        <v>78.88</v>
      </c>
      <c r="N1717" s="16">
        <f t="shared" si="26"/>
        <v>6.5065770601975159E-2</v>
      </c>
    </row>
    <row r="1718" spans="2:14" ht="14.4" customHeight="1" x14ac:dyDescent="0.3">
      <c r="B1718" s="2" t="s">
        <v>1723</v>
      </c>
      <c r="C1718" s="3">
        <v>44947</v>
      </c>
      <c r="D1718" s="2" t="s">
        <v>2011</v>
      </c>
      <c r="E1718" s="2" t="s">
        <v>2037</v>
      </c>
      <c r="F1718" s="4">
        <v>2648.59</v>
      </c>
      <c r="G1718" s="5">
        <v>820.79</v>
      </c>
      <c r="H1718" s="6">
        <v>17</v>
      </c>
      <c r="I1718" s="2" t="s">
        <v>2116</v>
      </c>
      <c r="J1718" s="2" t="str">
        <v>Utilize Back-End Models</v>
      </c>
      <c r="K1718" s="2" t="str">
        <v>Furniture</v>
      </c>
      <c r="L1718" s="2" t="str">
        <v>Lewis-Holden</v>
      </c>
      <c r="M1718" s="2">
        <v>241.53</v>
      </c>
      <c r="N1718" s="16">
        <f t="shared" si="26"/>
        <v>0.30989696404502015</v>
      </c>
    </row>
    <row r="1719" spans="2:14" ht="14.4" customHeight="1" x14ac:dyDescent="0.3">
      <c r="B1719" s="2" t="s">
        <v>1724</v>
      </c>
      <c r="C1719" s="3">
        <v>44363</v>
      </c>
      <c r="D1719" s="2" t="s">
        <v>2012</v>
      </c>
      <c r="E1719" s="2" t="s">
        <v>2049</v>
      </c>
      <c r="F1719" s="4">
        <v>3371.06</v>
      </c>
      <c r="G1719" s="5">
        <v>219.8</v>
      </c>
      <c r="H1719" s="6">
        <v>8</v>
      </c>
      <c r="I1719" s="2" t="s">
        <v>2117</v>
      </c>
      <c r="J1719" s="2" t="str">
        <v>Scale 24/365 Networks</v>
      </c>
      <c r="K1719" s="2" t="str">
        <v>Furniture</v>
      </c>
      <c r="L1719" s="2" t="str">
        <v>Kim-Hamilton</v>
      </c>
      <c r="M1719" s="2">
        <v>157.55000000000001</v>
      </c>
      <c r="N1719" s="16">
        <f t="shared" si="26"/>
        <v>6.5202043274222354E-2</v>
      </c>
    </row>
    <row r="1720" spans="2:14" ht="14.4" customHeight="1" x14ac:dyDescent="0.3">
      <c r="B1720" s="2" t="s">
        <v>1725</v>
      </c>
      <c r="C1720" s="3">
        <v>43938</v>
      </c>
      <c r="D1720" s="2" t="s">
        <v>2010</v>
      </c>
      <c r="E1720" s="2" t="s">
        <v>2035</v>
      </c>
      <c r="F1720" s="4">
        <v>4831.76</v>
      </c>
      <c r="G1720" s="5">
        <v>786.21</v>
      </c>
      <c r="H1720" s="6">
        <v>1</v>
      </c>
      <c r="I1720" s="2" t="s">
        <v>2116</v>
      </c>
      <c r="J1720" s="2" t="str">
        <v>Optimize 24/365 E-Services</v>
      </c>
      <c r="K1720" s="2" t="str">
        <v>Office Supplies</v>
      </c>
      <c r="L1720" s="2" t="str">
        <v>Chase Ltd</v>
      </c>
      <c r="M1720" s="2">
        <v>100.35</v>
      </c>
      <c r="N1720" s="16">
        <f t="shared" si="26"/>
        <v>0.16271710515422952</v>
      </c>
    </row>
    <row r="1721" spans="2:14" ht="14.4" customHeight="1" x14ac:dyDescent="0.3">
      <c r="B1721" s="2" t="s">
        <v>1726</v>
      </c>
      <c r="C1721" s="3">
        <v>44646</v>
      </c>
      <c r="D1721" s="2" t="s">
        <v>2011</v>
      </c>
      <c r="E1721" s="2" t="s">
        <v>2091</v>
      </c>
      <c r="F1721" s="4">
        <v>65.53</v>
      </c>
      <c r="G1721" s="5">
        <v>430.5</v>
      </c>
      <c r="H1721" s="6">
        <v>6</v>
      </c>
      <c r="I1721" s="2" t="s">
        <v>2118</v>
      </c>
      <c r="J1721" s="2" t="str">
        <v>Synthesize Scalable Portals</v>
      </c>
      <c r="K1721" s="2" t="str">
        <v>Furniture</v>
      </c>
      <c r="L1721" s="2" t="str">
        <v>Singh, Villa and Flynn</v>
      </c>
      <c r="M1721" s="2">
        <v>298.57</v>
      </c>
      <c r="N1721" s="16">
        <f t="shared" si="26"/>
        <v>6.5695101480238058</v>
      </c>
    </row>
    <row r="1722" spans="2:14" ht="14.4" customHeight="1" x14ac:dyDescent="0.3">
      <c r="B1722" s="2" t="s">
        <v>1727</v>
      </c>
      <c r="C1722" s="3">
        <v>44315</v>
      </c>
      <c r="D1722" s="2" t="s">
        <v>2010</v>
      </c>
      <c r="E1722" s="2" t="s">
        <v>2102</v>
      </c>
      <c r="F1722" s="4">
        <v>1701.54</v>
      </c>
      <c r="G1722" s="5">
        <v>170.12</v>
      </c>
      <c r="H1722" s="6">
        <v>1</v>
      </c>
      <c r="I1722" s="2" t="s">
        <v>2118</v>
      </c>
      <c r="J1722" s="2" t="str">
        <v>Re-Contextualize Viral Mindshare</v>
      </c>
      <c r="K1722" s="2" t="str">
        <v>Electronics</v>
      </c>
      <c r="L1722" s="2" t="str">
        <v>Carter-Lane</v>
      </c>
      <c r="M1722" s="2">
        <v>142.25</v>
      </c>
      <c r="N1722" s="16">
        <f t="shared" si="26"/>
        <v>9.9980018101249457E-2</v>
      </c>
    </row>
    <row r="1723" spans="2:14" ht="14.4" customHeight="1" x14ac:dyDescent="0.3">
      <c r="B1723" s="2" t="s">
        <v>1728</v>
      </c>
      <c r="C1723" s="3">
        <v>45369</v>
      </c>
      <c r="D1723" s="2" t="s">
        <v>2009</v>
      </c>
      <c r="E1723" s="2" t="s">
        <v>2067</v>
      </c>
      <c r="F1723" s="4">
        <v>4642.29</v>
      </c>
      <c r="G1723" s="5">
        <v>198.17</v>
      </c>
      <c r="H1723" s="6">
        <v>19</v>
      </c>
      <c r="I1723" s="2" t="s">
        <v>2118</v>
      </c>
      <c r="J1723" s="2" t="str">
        <v>Transition Compelling Web-Readiness</v>
      </c>
      <c r="K1723" s="2" t="str">
        <v>Furniture</v>
      </c>
      <c r="L1723" s="2" t="str">
        <v>Wood-Beck</v>
      </c>
      <c r="M1723" s="2">
        <v>88.34</v>
      </c>
      <c r="N1723" s="16">
        <f t="shared" si="26"/>
        <v>4.2687983732166666E-2</v>
      </c>
    </row>
    <row r="1724" spans="2:14" ht="14.4" customHeight="1" x14ac:dyDescent="0.3">
      <c r="B1724" s="2" t="s">
        <v>1729</v>
      </c>
      <c r="C1724" s="3">
        <v>44939</v>
      </c>
      <c r="D1724" s="2" t="s">
        <v>2010</v>
      </c>
      <c r="E1724" s="2" t="s">
        <v>2029</v>
      </c>
      <c r="F1724" s="4">
        <v>2073.88</v>
      </c>
      <c r="G1724" s="5">
        <v>589.66999999999996</v>
      </c>
      <c r="H1724" s="6">
        <v>20</v>
      </c>
      <c r="I1724" s="2" t="s">
        <v>2116</v>
      </c>
      <c r="J1724" s="2" t="str">
        <v>E-Enable Next-Generation Experiences</v>
      </c>
      <c r="K1724" s="2" t="str">
        <v>Furniture</v>
      </c>
      <c r="L1724" s="2" t="str">
        <v>Sanchez-Quinn</v>
      </c>
      <c r="M1724" s="2">
        <v>266.93</v>
      </c>
      <c r="N1724" s="16">
        <f t="shared" si="26"/>
        <v>0.28433178390263658</v>
      </c>
    </row>
    <row r="1725" spans="2:14" ht="14.4" customHeight="1" x14ac:dyDescent="0.3">
      <c r="B1725" s="2" t="s">
        <v>1730</v>
      </c>
      <c r="C1725" s="3">
        <v>45369</v>
      </c>
      <c r="D1725" s="2" t="s">
        <v>2011</v>
      </c>
      <c r="E1725" s="2" t="s">
        <v>2100</v>
      </c>
      <c r="F1725" s="4">
        <v>2989.8</v>
      </c>
      <c r="G1725" s="5">
        <v>221.48</v>
      </c>
      <c r="H1725" s="6">
        <v>6</v>
      </c>
      <c r="I1725" s="2" t="s">
        <v>2116</v>
      </c>
      <c r="J1725" s="2" t="str">
        <v>Strategize Best-Of-Breed Web-Readiness</v>
      </c>
      <c r="K1725" s="2" t="str">
        <v>Office Supplies</v>
      </c>
      <c r="L1725" s="2" t="str">
        <v>Morris, King and Ayers</v>
      </c>
      <c r="M1725" s="2">
        <v>220.16</v>
      </c>
      <c r="N1725" s="16">
        <f t="shared" si="26"/>
        <v>7.4078533681182682E-2</v>
      </c>
    </row>
    <row r="1726" spans="2:14" ht="14.4" customHeight="1" x14ac:dyDescent="0.3">
      <c r="B1726" s="2" t="s">
        <v>1731</v>
      </c>
      <c r="C1726" s="3">
        <v>45487</v>
      </c>
      <c r="D1726" s="2" t="s">
        <v>2012</v>
      </c>
      <c r="E1726" s="2" t="s">
        <v>2042</v>
      </c>
      <c r="F1726" s="4">
        <v>2368</v>
      </c>
      <c r="G1726" s="5">
        <v>750.05</v>
      </c>
      <c r="H1726" s="6">
        <v>13</v>
      </c>
      <c r="I1726" s="2" t="s">
        <v>2117</v>
      </c>
      <c r="J1726" s="2" t="str">
        <v>Orchestrate E-Business Niches</v>
      </c>
      <c r="K1726" s="2" t="str">
        <v>Furniture</v>
      </c>
      <c r="L1726" s="2" t="str">
        <v>Johnson LLC</v>
      </c>
      <c r="M1726" s="2">
        <v>198.99</v>
      </c>
      <c r="N1726" s="16">
        <f t="shared" si="26"/>
        <v>0.31674408783783781</v>
      </c>
    </row>
    <row r="1727" spans="2:14" ht="14.4" customHeight="1" x14ac:dyDescent="0.3">
      <c r="B1727" s="2" t="s">
        <v>1732</v>
      </c>
      <c r="C1727" s="3">
        <v>44795</v>
      </c>
      <c r="D1727" s="2" t="s">
        <v>2012</v>
      </c>
      <c r="E1727" s="2" t="s">
        <v>2100</v>
      </c>
      <c r="F1727" s="4">
        <v>3257.13</v>
      </c>
      <c r="G1727" s="5">
        <v>803.09</v>
      </c>
      <c r="H1727" s="6">
        <v>19</v>
      </c>
      <c r="I1727" s="2" t="s">
        <v>2118</v>
      </c>
      <c r="J1727" s="2" t="str">
        <v>Strategize Best-Of-Breed Web-Readiness</v>
      </c>
      <c r="K1727" s="2" t="str">
        <v>Office Supplies</v>
      </c>
      <c r="L1727" s="2" t="str">
        <v>Morris, King and Ayers</v>
      </c>
      <c r="M1727" s="2">
        <v>220.16</v>
      </c>
      <c r="N1727" s="16">
        <f t="shared" si="26"/>
        <v>0.24656369257597946</v>
      </c>
    </row>
    <row r="1728" spans="2:14" ht="14.4" customHeight="1" x14ac:dyDescent="0.3">
      <c r="B1728" s="2" t="s">
        <v>1733</v>
      </c>
      <c r="C1728" s="3">
        <v>43974</v>
      </c>
      <c r="D1728" s="2" t="s">
        <v>2011</v>
      </c>
      <c r="E1728" s="2" t="s">
        <v>2069</v>
      </c>
      <c r="F1728" s="4">
        <v>3908.95</v>
      </c>
      <c r="G1728" s="5">
        <v>880.84</v>
      </c>
      <c r="H1728" s="6">
        <v>16</v>
      </c>
      <c r="I1728" s="2" t="s">
        <v>2116</v>
      </c>
      <c r="J1728" s="2" t="str">
        <v>Optimize Transparent E-Markets</v>
      </c>
      <c r="K1728" s="2" t="str">
        <v>Office Supplies</v>
      </c>
      <c r="L1728" s="2" t="str">
        <v>Lee, Tyler and Blevins</v>
      </c>
      <c r="M1728" s="2">
        <v>111.22</v>
      </c>
      <c r="N1728" s="16">
        <f t="shared" si="26"/>
        <v>0.22533928548587218</v>
      </c>
    </row>
    <row r="1729" spans="2:14" ht="14.4" customHeight="1" x14ac:dyDescent="0.3">
      <c r="B1729" s="2" t="s">
        <v>1734</v>
      </c>
      <c r="C1729" s="3">
        <v>44823</v>
      </c>
      <c r="D1729" s="2" t="s">
        <v>2009</v>
      </c>
      <c r="E1729" s="2" t="s">
        <v>2041</v>
      </c>
      <c r="F1729" s="4">
        <v>3433.05</v>
      </c>
      <c r="G1729" s="5">
        <v>660.47</v>
      </c>
      <c r="H1729" s="6">
        <v>15</v>
      </c>
      <c r="I1729" s="2" t="s">
        <v>2117</v>
      </c>
      <c r="J1729" s="2" t="str">
        <v>Expedite Synergistic Web-Readiness</v>
      </c>
      <c r="K1729" s="2" t="str">
        <v>Electronics</v>
      </c>
      <c r="L1729" s="2" t="str">
        <v>Dunlap, Carpenter and Monroe</v>
      </c>
      <c r="M1729" s="2">
        <v>289.66000000000003</v>
      </c>
      <c r="N1729" s="16">
        <f t="shared" si="26"/>
        <v>0.19238577940898036</v>
      </c>
    </row>
    <row r="1730" spans="2:14" ht="14.4" customHeight="1" x14ac:dyDescent="0.3">
      <c r="B1730" s="2" t="s">
        <v>1735</v>
      </c>
      <c r="C1730" s="3">
        <v>45241</v>
      </c>
      <c r="D1730" s="2" t="s">
        <v>2012</v>
      </c>
      <c r="E1730" s="2" t="s">
        <v>2037</v>
      </c>
      <c r="F1730" s="4">
        <v>4532.8999999999996</v>
      </c>
      <c r="G1730" s="5">
        <v>593.87</v>
      </c>
      <c r="H1730" s="6">
        <v>20</v>
      </c>
      <c r="I1730" s="2" t="s">
        <v>2117</v>
      </c>
      <c r="J1730" s="2" t="str">
        <v>Utilize Back-End Models</v>
      </c>
      <c r="K1730" s="2" t="str">
        <v>Furniture</v>
      </c>
      <c r="L1730" s="2" t="str">
        <v>Lewis-Holden</v>
      </c>
      <c r="M1730" s="2">
        <v>241.53</v>
      </c>
      <c r="N1730" s="16">
        <f t="shared" si="26"/>
        <v>0.1310132586203093</v>
      </c>
    </row>
    <row r="1731" spans="2:14" ht="14.4" customHeight="1" x14ac:dyDescent="0.3">
      <c r="B1731" s="2" t="s">
        <v>1736</v>
      </c>
      <c r="C1731" s="3">
        <v>44881</v>
      </c>
      <c r="D1731" s="2" t="s">
        <v>2011</v>
      </c>
      <c r="E1731" s="2" t="s">
        <v>2063</v>
      </c>
      <c r="F1731" s="4">
        <v>4266.01</v>
      </c>
      <c r="G1731" s="5">
        <v>766.26</v>
      </c>
      <c r="H1731" s="6">
        <v>8</v>
      </c>
      <c r="I1731" s="2" t="s">
        <v>2116</v>
      </c>
      <c r="J1731" s="2" t="str">
        <v>Unleash End-To-End Web Services</v>
      </c>
      <c r="K1731" s="2" t="str">
        <v>Office Supplies</v>
      </c>
      <c r="L1731" s="2" t="str">
        <v>Jones Ltd</v>
      </c>
      <c r="M1731" s="2">
        <v>188.02</v>
      </c>
      <c r="N1731" s="16">
        <f t="shared" si="26"/>
        <v>0.17961983211478641</v>
      </c>
    </row>
    <row r="1732" spans="2:14" ht="14.4" customHeight="1" x14ac:dyDescent="0.3">
      <c r="B1732" s="2" t="s">
        <v>1737</v>
      </c>
      <c r="C1732" s="3">
        <v>45453</v>
      </c>
      <c r="D1732" s="2" t="s">
        <v>2011</v>
      </c>
      <c r="E1732" s="2" t="s">
        <v>2096</v>
      </c>
      <c r="F1732" s="4">
        <v>1502.02</v>
      </c>
      <c r="G1732" s="5">
        <v>121</v>
      </c>
      <c r="H1732" s="6">
        <v>19</v>
      </c>
      <c r="I1732" s="2" t="s">
        <v>2117</v>
      </c>
      <c r="J1732" s="2" t="str">
        <v>Disintermediate Scalable Bandwidth</v>
      </c>
      <c r="K1732" s="2" t="str">
        <v>Electronics</v>
      </c>
      <c r="L1732" s="2" t="str">
        <v>Levy PLC</v>
      </c>
      <c r="M1732" s="2">
        <v>19.86</v>
      </c>
      <c r="N1732" s="16">
        <f t="shared" si="26"/>
        <v>8.0558181648713062E-2</v>
      </c>
    </row>
    <row r="1733" spans="2:14" ht="14.4" customHeight="1" x14ac:dyDescent="0.3">
      <c r="B1733" s="2" t="s">
        <v>1738</v>
      </c>
      <c r="C1733" s="3">
        <v>44109</v>
      </c>
      <c r="D1733" s="2" t="s">
        <v>2012</v>
      </c>
      <c r="E1733" s="2" t="s">
        <v>2078</v>
      </c>
      <c r="F1733" s="4">
        <v>4679.42</v>
      </c>
      <c r="G1733" s="5">
        <v>944.95</v>
      </c>
      <c r="H1733" s="6">
        <v>7</v>
      </c>
      <c r="I1733" s="2" t="s">
        <v>2118</v>
      </c>
      <c r="J1733" s="2" t="str">
        <v>Strategize E-Business Content</v>
      </c>
      <c r="K1733" s="2" t="str">
        <v>Electronics</v>
      </c>
      <c r="L1733" s="2" t="str">
        <v>Patterson LLC</v>
      </c>
      <c r="M1733" s="2">
        <v>294.02</v>
      </c>
      <c r="N1733" s="16">
        <f t="shared" ref="N1733:N1796" si="27">(G1733/F1733)</f>
        <v>0.2019374195947361</v>
      </c>
    </row>
    <row r="1734" spans="2:14" ht="14.4" customHeight="1" x14ac:dyDescent="0.3">
      <c r="B1734" s="2" t="s">
        <v>1739</v>
      </c>
      <c r="C1734" s="3">
        <v>45396</v>
      </c>
      <c r="D1734" s="2" t="s">
        <v>2011</v>
      </c>
      <c r="E1734" s="2" t="s">
        <v>2045</v>
      </c>
      <c r="F1734" s="4">
        <v>2435.73</v>
      </c>
      <c r="G1734" s="5">
        <v>808.97</v>
      </c>
      <c r="H1734" s="6">
        <v>5</v>
      </c>
      <c r="I1734" s="2" t="s">
        <v>2117</v>
      </c>
      <c r="J1734" s="2" t="str">
        <v>Leverage Scalable Interfaces</v>
      </c>
      <c r="K1734" s="2" t="str">
        <v>Office Supplies</v>
      </c>
      <c r="L1734" s="2" t="str">
        <v>Kaufman-Jones</v>
      </c>
      <c r="M1734" s="2">
        <v>73.33</v>
      </c>
      <c r="N1734" s="16">
        <f t="shared" si="27"/>
        <v>0.33212630299745866</v>
      </c>
    </row>
    <row r="1735" spans="2:14" ht="14.4" customHeight="1" x14ac:dyDescent="0.3">
      <c r="B1735" s="2" t="s">
        <v>1740</v>
      </c>
      <c r="C1735" s="3">
        <v>45038</v>
      </c>
      <c r="D1735" s="2" t="s">
        <v>2011</v>
      </c>
      <c r="E1735" s="2" t="s">
        <v>2033</v>
      </c>
      <c r="F1735" s="4">
        <v>4860.5</v>
      </c>
      <c r="G1735" s="5">
        <v>737.36</v>
      </c>
      <c r="H1735" s="6">
        <v>15</v>
      </c>
      <c r="I1735" s="2" t="s">
        <v>2117</v>
      </c>
      <c r="J1735" s="2" t="str">
        <v>Leverage Rich Portals</v>
      </c>
      <c r="K1735" s="2" t="str">
        <v>Office Supplies</v>
      </c>
      <c r="L1735" s="2" t="str">
        <v>Wilson PLC</v>
      </c>
      <c r="M1735" s="2">
        <v>46.35</v>
      </c>
      <c r="N1735" s="16">
        <f t="shared" si="27"/>
        <v>0.15170455714432671</v>
      </c>
    </row>
    <row r="1736" spans="2:14" ht="14.4" customHeight="1" x14ac:dyDescent="0.3">
      <c r="B1736" s="2" t="s">
        <v>1741</v>
      </c>
      <c r="C1736" s="3">
        <v>45123</v>
      </c>
      <c r="D1736" s="2" t="s">
        <v>2010</v>
      </c>
      <c r="E1736" s="2" t="s">
        <v>2097</v>
      </c>
      <c r="F1736" s="4">
        <v>2756.17</v>
      </c>
      <c r="G1736" s="5">
        <v>241.62</v>
      </c>
      <c r="H1736" s="6">
        <v>2</v>
      </c>
      <c r="I1736" s="2" t="s">
        <v>2118</v>
      </c>
      <c r="J1736" s="2" t="str">
        <v>Generate End-To-End Functionalities</v>
      </c>
      <c r="K1736" s="2" t="str">
        <v>Electronics</v>
      </c>
      <c r="L1736" s="2" t="str">
        <v>Sanchez-Stewart</v>
      </c>
      <c r="M1736" s="2">
        <v>196.15</v>
      </c>
      <c r="N1736" s="16">
        <f t="shared" si="27"/>
        <v>8.7665129509427939E-2</v>
      </c>
    </row>
    <row r="1737" spans="2:14" ht="14.4" customHeight="1" x14ac:dyDescent="0.3">
      <c r="B1737" s="2" t="s">
        <v>1742</v>
      </c>
      <c r="C1737" s="3">
        <v>44378</v>
      </c>
      <c r="D1737" s="2" t="s">
        <v>2010</v>
      </c>
      <c r="E1737" s="2" t="s">
        <v>2015</v>
      </c>
      <c r="F1737" s="4">
        <v>2356.71</v>
      </c>
      <c r="G1737" s="5">
        <v>587.19000000000005</v>
      </c>
      <c r="H1737" s="6">
        <v>14</v>
      </c>
      <c r="I1737" s="2" t="s">
        <v>2116</v>
      </c>
      <c r="J1737" s="2" t="str">
        <v>Brand Web-Enabled Solutions</v>
      </c>
      <c r="K1737" s="2" t="str">
        <v>Electronics</v>
      </c>
      <c r="L1737" s="2" t="str">
        <v>Russell Group</v>
      </c>
      <c r="M1737" s="2">
        <v>51.67</v>
      </c>
      <c r="N1737" s="16">
        <f t="shared" si="27"/>
        <v>0.24915666331453595</v>
      </c>
    </row>
    <row r="1738" spans="2:14" ht="14.4" customHeight="1" x14ac:dyDescent="0.3">
      <c r="B1738" s="2" t="s">
        <v>1743</v>
      </c>
      <c r="C1738" s="3">
        <v>43975</v>
      </c>
      <c r="D1738" s="2" t="s">
        <v>2011</v>
      </c>
      <c r="E1738" s="2" t="s">
        <v>2080</v>
      </c>
      <c r="F1738" s="4">
        <v>2743.81</v>
      </c>
      <c r="G1738" s="5">
        <v>298.04000000000002</v>
      </c>
      <c r="H1738" s="6">
        <v>16</v>
      </c>
      <c r="I1738" s="2" t="s">
        <v>2118</v>
      </c>
      <c r="J1738" s="2" t="str">
        <v>Scale Vertical Networks</v>
      </c>
      <c r="K1738" s="2" t="str">
        <v>Furniture</v>
      </c>
      <c r="L1738" s="2" t="str">
        <v>Lam, Wood and Jacobs</v>
      </c>
      <c r="M1738" s="2">
        <v>133.24</v>
      </c>
      <c r="N1738" s="16">
        <f t="shared" si="27"/>
        <v>0.10862268159967346</v>
      </c>
    </row>
    <row r="1739" spans="2:14" ht="14.4" customHeight="1" x14ac:dyDescent="0.3">
      <c r="B1739" s="2" t="s">
        <v>1744</v>
      </c>
      <c r="C1739" s="3">
        <v>45491</v>
      </c>
      <c r="D1739" s="2" t="s">
        <v>2010</v>
      </c>
      <c r="E1739" s="2" t="s">
        <v>2013</v>
      </c>
      <c r="F1739" s="4">
        <v>1245.8800000000001</v>
      </c>
      <c r="G1739" s="5">
        <v>353.83</v>
      </c>
      <c r="H1739" s="6">
        <v>19</v>
      </c>
      <c r="I1739" s="2" t="s">
        <v>2116</v>
      </c>
      <c r="J1739" s="2" t="str">
        <v>Re-Intermediate Seamless Applications</v>
      </c>
      <c r="K1739" s="2" t="str">
        <v>Office Supplies</v>
      </c>
      <c r="L1739" s="2" t="str">
        <v>Welch-Reed</v>
      </c>
      <c r="M1739" s="2">
        <v>45.82</v>
      </c>
      <c r="N1739" s="16">
        <f t="shared" si="27"/>
        <v>0.28400006421164153</v>
      </c>
    </row>
    <row r="1740" spans="2:14" ht="14.4" customHeight="1" x14ac:dyDescent="0.3">
      <c r="B1740" s="2" t="s">
        <v>1745</v>
      </c>
      <c r="C1740" s="3">
        <v>45569</v>
      </c>
      <c r="D1740" s="2" t="s">
        <v>2011</v>
      </c>
      <c r="E1740" s="2" t="s">
        <v>2081</v>
      </c>
      <c r="F1740" s="4">
        <v>3429.45</v>
      </c>
      <c r="G1740" s="5">
        <v>508.69</v>
      </c>
      <c r="H1740" s="6">
        <v>8</v>
      </c>
      <c r="I1740" s="2" t="s">
        <v>2117</v>
      </c>
      <c r="J1740" s="2" t="str">
        <v>Orchestrate User-Centric Platforms</v>
      </c>
      <c r="K1740" s="2" t="str">
        <v>Furniture</v>
      </c>
      <c r="L1740" s="2" t="str">
        <v>Wells Ltd</v>
      </c>
      <c r="M1740" s="2">
        <v>201.87</v>
      </c>
      <c r="N1740" s="16">
        <f t="shared" si="27"/>
        <v>0.14832990712796512</v>
      </c>
    </row>
    <row r="1741" spans="2:14" ht="14.4" customHeight="1" x14ac:dyDescent="0.3">
      <c r="B1741" s="2" t="s">
        <v>1746</v>
      </c>
      <c r="C1741" s="3">
        <v>44226</v>
      </c>
      <c r="D1741" s="2" t="s">
        <v>2010</v>
      </c>
      <c r="E1741" s="2" t="s">
        <v>2092</v>
      </c>
      <c r="F1741" s="4">
        <v>1458.51</v>
      </c>
      <c r="G1741" s="5">
        <v>941.69</v>
      </c>
      <c r="H1741" s="6">
        <v>6</v>
      </c>
      <c r="I1741" s="2" t="s">
        <v>2118</v>
      </c>
      <c r="J1741" s="2" t="str">
        <v>Seize Clicks-And-Mortar Platforms</v>
      </c>
      <c r="K1741" s="2" t="str">
        <v>Office Supplies</v>
      </c>
      <c r="L1741" s="2" t="str">
        <v>Owens, Campos and Wood</v>
      </c>
      <c r="M1741" s="2">
        <v>271.16000000000003</v>
      </c>
      <c r="N1741" s="16">
        <f t="shared" si="27"/>
        <v>0.64565206957785692</v>
      </c>
    </row>
    <row r="1742" spans="2:14" ht="14.4" customHeight="1" x14ac:dyDescent="0.3">
      <c r="B1742" s="2" t="s">
        <v>1747</v>
      </c>
      <c r="C1742" s="3">
        <v>43995</v>
      </c>
      <c r="D1742" s="2" t="s">
        <v>2009</v>
      </c>
      <c r="E1742" s="2" t="s">
        <v>2079</v>
      </c>
      <c r="F1742" s="4">
        <v>1563.89</v>
      </c>
      <c r="G1742" s="5">
        <v>904.37</v>
      </c>
      <c r="H1742" s="6">
        <v>3</v>
      </c>
      <c r="I1742" s="2" t="s">
        <v>2117</v>
      </c>
      <c r="J1742" s="2" t="str">
        <v>Iterate Extensible Roi</v>
      </c>
      <c r="K1742" s="2" t="str">
        <v>Office Supplies</v>
      </c>
      <c r="L1742" s="2" t="str">
        <v>Hill-Kelly</v>
      </c>
      <c r="M1742" s="2">
        <v>180</v>
      </c>
      <c r="N1742" s="16">
        <f t="shared" si="27"/>
        <v>0.57828236001253286</v>
      </c>
    </row>
    <row r="1743" spans="2:14" ht="14.4" customHeight="1" x14ac:dyDescent="0.3">
      <c r="B1743" s="2" t="s">
        <v>1748</v>
      </c>
      <c r="C1743" s="3">
        <v>44482</v>
      </c>
      <c r="D1743" s="2" t="s">
        <v>2011</v>
      </c>
      <c r="E1743" s="2" t="s">
        <v>2070</v>
      </c>
      <c r="F1743" s="4">
        <v>227.22</v>
      </c>
      <c r="G1743" s="5">
        <v>686.88</v>
      </c>
      <c r="H1743" s="6">
        <v>20</v>
      </c>
      <c r="I1743" s="2" t="s">
        <v>2117</v>
      </c>
      <c r="J1743" s="2" t="str">
        <v>Seize Plug-And-Play Web-Readiness</v>
      </c>
      <c r="K1743" s="2" t="str">
        <v>Electronics</v>
      </c>
      <c r="L1743" s="2" t="str">
        <v>Joseph, Mayer and Carr</v>
      </c>
      <c r="M1743" s="2">
        <v>102.73</v>
      </c>
      <c r="N1743" s="16">
        <f t="shared" si="27"/>
        <v>3.0229733298125163</v>
      </c>
    </row>
    <row r="1744" spans="2:14" ht="14.4" customHeight="1" x14ac:dyDescent="0.3">
      <c r="B1744" s="2" t="s">
        <v>1749</v>
      </c>
      <c r="C1744" s="3">
        <v>45533</v>
      </c>
      <c r="D1744" s="2" t="s">
        <v>2011</v>
      </c>
      <c r="E1744" s="2" t="s">
        <v>2029</v>
      </c>
      <c r="F1744" s="4">
        <v>326.60000000000002</v>
      </c>
      <c r="G1744" s="5">
        <v>201.85</v>
      </c>
      <c r="H1744" s="6">
        <v>18</v>
      </c>
      <c r="I1744" s="2" t="s">
        <v>2117</v>
      </c>
      <c r="J1744" s="2" t="str">
        <v>E-Enable Next-Generation Experiences</v>
      </c>
      <c r="K1744" s="2" t="str">
        <v>Furniture</v>
      </c>
      <c r="L1744" s="2" t="str">
        <v>Sanchez-Quinn</v>
      </c>
      <c r="M1744" s="2">
        <v>266.93</v>
      </c>
      <c r="N1744" s="16">
        <f t="shared" si="27"/>
        <v>0.61803429271279842</v>
      </c>
    </row>
    <row r="1745" spans="2:14" ht="14.4" customHeight="1" x14ac:dyDescent="0.3">
      <c r="B1745" s="2" t="s">
        <v>1750</v>
      </c>
      <c r="C1745" s="3">
        <v>44476</v>
      </c>
      <c r="D1745" s="2" t="s">
        <v>2009</v>
      </c>
      <c r="E1745" s="2" t="s">
        <v>2084</v>
      </c>
      <c r="F1745" s="4">
        <v>4540.8999999999996</v>
      </c>
      <c r="G1745" s="5">
        <v>195.61</v>
      </c>
      <c r="H1745" s="6">
        <v>14</v>
      </c>
      <c r="I1745" s="2" t="s">
        <v>2118</v>
      </c>
      <c r="J1745" s="2" t="str">
        <v>Grow Synergistic Infrastructures</v>
      </c>
      <c r="K1745" s="2" t="str">
        <v>Furniture</v>
      </c>
      <c r="L1745" s="2" t="str">
        <v>Adams-Carter</v>
      </c>
      <c r="M1745" s="2">
        <v>113.17</v>
      </c>
      <c r="N1745" s="16">
        <f t="shared" si="27"/>
        <v>4.3077363518245287E-2</v>
      </c>
    </row>
    <row r="1746" spans="2:14" ht="14.4" customHeight="1" x14ac:dyDescent="0.3">
      <c r="B1746" s="2" t="s">
        <v>1751</v>
      </c>
      <c r="C1746" s="3">
        <v>45428</v>
      </c>
      <c r="D1746" s="2" t="s">
        <v>2012</v>
      </c>
      <c r="E1746" s="2" t="s">
        <v>2030</v>
      </c>
      <c r="F1746" s="4">
        <v>3642.9</v>
      </c>
      <c r="G1746" s="5">
        <v>479.77</v>
      </c>
      <c r="H1746" s="6">
        <v>11</v>
      </c>
      <c r="I1746" s="2" t="s">
        <v>2116</v>
      </c>
      <c r="J1746" s="2" t="str">
        <v>Engage Rich Web-Readiness</v>
      </c>
      <c r="K1746" s="2" t="str">
        <v>Office Supplies</v>
      </c>
      <c r="L1746" s="2" t="str">
        <v>Turner Inc</v>
      </c>
      <c r="M1746" s="2">
        <v>81.069999999999993</v>
      </c>
      <c r="N1746" s="16">
        <f t="shared" si="27"/>
        <v>0.13170001921546021</v>
      </c>
    </row>
    <row r="1747" spans="2:14" ht="14.4" customHeight="1" x14ac:dyDescent="0.3">
      <c r="B1747" s="2" t="s">
        <v>1752</v>
      </c>
      <c r="C1747" s="3">
        <v>44571</v>
      </c>
      <c r="D1747" s="2" t="s">
        <v>2011</v>
      </c>
      <c r="E1747" s="2" t="s">
        <v>2074</v>
      </c>
      <c r="F1747" s="4">
        <v>1941.46</v>
      </c>
      <c r="G1747" s="5">
        <v>570.03</v>
      </c>
      <c r="H1747" s="6">
        <v>11</v>
      </c>
      <c r="I1747" s="2" t="s">
        <v>2117</v>
      </c>
      <c r="J1747" s="2" t="str">
        <v>Utilize Ubiquitous Synergies</v>
      </c>
      <c r="K1747" s="2" t="str">
        <v>Electronics</v>
      </c>
      <c r="L1747" s="2" t="str">
        <v>Kramer, Huang and Shaw</v>
      </c>
      <c r="M1747" s="2">
        <v>295.89999999999998</v>
      </c>
      <c r="N1747" s="16">
        <f t="shared" si="27"/>
        <v>0.29360893348304884</v>
      </c>
    </row>
    <row r="1748" spans="2:14" ht="14.4" customHeight="1" x14ac:dyDescent="0.3">
      <c r="B1748" s="2" t="s">
        <v>1753</v>
      </c>
      <c r="C1748" s="3">
        <v>45323</v>
      </c>
      <c r="D1748" s="2" t="s">
        <v>2009</v>
      </c>
      <c r="E1748" s="2" t="s">
        <v>2035</v>
      </c>
      <c r="F1748" s="4">
        <v>4188.9799999999996</v>
      </c>
      <c r="G1748" s="5">
        <v>666.02</v>
      </c>
      <c r="H1748" s="6">
        <v>15</v>
      </c>
      <c r="I1748" s="2" t="s">
        <v>2116</v>
      </c>
      <c r="J1748" s="2" t="str">
        <v>Optimize 24/365 E-Services</v>
      </c>
      <c r="K1748" s="2" t="str">
        <v>Office Supplies</v>
      </c>
      <c r="L1748" s="2" t="str">
        <v>Chase Ltd</v>
      </c>
      <c r="M1748" s="2">
        <v>100.35</v>
      </c>
      <c r="N1748" s="16">
        <f t="shared" si="27"/>
        <v>0.15899335876514092</v>
      </c>
    </row>
    <row r="1749" spans="2:14" ht="14.4" customHeight="1" x14ac:dyDescent="0.3">
      <c r="B1749" s="2" t="s">
        <v>1754</v>
      </c>
      <c r="C1749" s="3">
        <v>44015</v>
      </c>
      <c r="D1749" s="2" t="s">
        <v>2010</v>
      </c>
      <c r="E1749" s="2" t="s">
        <v>2039</v>
      </c>
      <c r="F1749" s="4">
        <v>676.6</v>
      </c>
      <c r="G1749" s="5">
        <v>648.82000000000005</v>
      </c>
      <c r="H1749" s="6">
        <v>6</v>
      </c>
      <c r="I1749" s="2" t="s">
        <v>2118</v>
      </c>
      <c r="J1749" s="2" t="str">
        <v>Empower Dot-Com Deliverables</v>
      </c>
      <c r="K1749" s="2" t="str">
        <v>Electronics</v>
      </c>
      <c r="L1749" s="2" t="str">
        <v>Davis LLC</v>
      </c>
      <c r="M1749" s="2">
        <v>250.66</v>
      </c>
      <c r="N1749" s="16">
        <f t="shared" si="27"/>
        <v>0.9589417676618387</v>
      </c>
    </row>
    <row r="1750" spans="2:14" ht="14.4" customHeight="1" x14ac:dyDescent="0.3">
      <c r="B1750" s="2" t="s">
        <v>1755</v>
      </c>
      <c r="C1750" s="3">
        <v>44683</v>
      </c>
      <c r="D1750" s="2" t="s">
        <v>2011</v>
      </c>
      <c r="E1750" s="2" t="s">
        <v>2019</v>
      </c>
      <c r="F1750" s="4">
        <v>783.74</v>
      </c>
      <c r="G1750" s="5">
        <v>490.76</v>
      </c>
      <c r="H1750" s="6">
        <v>2</v>
      </c>
      <c r="I1750" s="2" t="s">
        <v>2116</v>
      </c>
      <c r="J1750" s="2" t="str">
        <v>Implement Clicks-And-Mortar Partnerships</v>
      </c>
      <c r="K1750" s="2" t="str">
        <v>Electronics</v>
      </c>
      <c r="L1750" s="2" t="str">
        <v>Smith Inc</v>
      </c>
      <c r="M1750" s="2">
        <v>195.53</v>
      </c>
      <c r="N1750" s="16">
        <f t="shared" si="27"/>
        <v>0.62617704851098577</v>
      </c>
    </row>
    <row r="1751" spans="2:14" ht="14.4" customHeight="1" x14ac:dyDescent="0.3">
      <c r="B1751" s="2" t="s">
        <v>1756</v>
      </c>
      <c r="C1751" s="3">
        <v>45193</v>
      </c>
      <c r="D1751" s="2" t="s">
        <v>2009</v>
      </c>
      <c r="E1751" s="2" t="s">
        <v>2104</v>
      </c>
      <c r="F1751" s="4">
        <v>3144.31</v>
      </c>
      <c r="G1751" s="5">
        <v>541.48</v>
      </c>
      <c r="H1751" s="6">
        <v>4</v>
      </c>
      <c r="I1751" s="2" t="s">
        <v>2118</v>
      </c>
      <c r="J1751" s="2" t="str">
        <v>Scale Cross-Platform Web Services</v>
      </c>
      <c r="K1751" s="2" t="str">
        <v>Furniture</v>
      </c>
      <c r="L1751" s="2" t="str">
        <v>Morrow, Brock and Lewis</v>
      </c>
      <c r="M1751" s="2">
        <v>115.21</v>
      </c>
      <c r="N1751" s="16">
        <f t="shared" si="27"/>
        <v>0.17220948316164755</v>
      </c>
    </row>
    <row r="1752" spans="2:14" ht="14.4" customHeight="1" x14ac:dyDescent="0.3">
      <c r="B1752" s="2" t="s">
        <v>1757</v>
      </c>
      <c r="C1752" s="3">
        <v>44624</v>
      </c>
      <c r="D1752" s="2" t="s">
        <v>2010</v>
      </c>
      <c r="E1752" s="2" t="s">
        <v>2092</v>
      </c>
      <c r="F1752" s="4">
        <v>3524.13</v>
      </c>
      <c r="G1752" s="5">
        <v>121.93</v>
      </c>
      <c r="H1752" s="6">
        <v>7</v>
      </c>
      <c r="I1752" s="2" t="s">
        <v>2117</v>
      </c>
      <c r="J1752" s="2" t="str">
        <v>Seize Clicks-And-Mortar Platforms</v>
      </c>
      <c r="K1752" s="2" t="str">
        <v>Office Supplies</v>
      </c>
      <c r="L1752" s="2" t="str">
        <v>Owens, Campos and Wood</v>
      </c>
      <c r="M1752" s="2">
        <v>271.16000000000003</v>
      </c>
      <c r="N1752" s="16">
        <f t="shared" si="27"/>
        <v>3.4598610153427939E-2</v>
      </c>
    </row>
    <row r="1753" spans="2:14" ht="14.4" customHeight="1" x14ac:dyDescent="0.3">
      <c r="B1753" s="2" t="s">
        <v>1758</v>
      </c>
      <c r="C1753" s="3">
        <v>45380</v>
      </c>
      <c r="D1753" s="2" t="s">
        <v>2012</v>
      </c>
      <c r="E1753" s="2" t="s">
        <v>2040</v>
      </c>
      <c r="F1753" s="4">
        <v>3539.11</v>
      </c>
      <c r="G1753" s="5">
        <v>307.45999999999998</v>
      </c>
      <c r="H1753" s="6">
        <v>18</v>
      </c>
      <c r="I1753" s="2" t="s">
        <v>2118</v>
      </c>
      <c r="J1753" s="2" t="str">
        <v>Synergize End-To-End Supply-Chains</v>
      </c>
      <c r="K1753" s="2" t="str">
        <v>Office Supplies</v>
      </c>
      <c r="L1753" s="2" t="str">
        <v>Higgins-Espinoza</v>
      </c>
      <c r="M1753" s="2">
        <v>279.8</v>
      </c>
      <c r="N1753" s="16">
        <f t="shared" si="27"/>
        <v>8.6874948786559325E-2</v>
      </c>
    </row>
    <row r="1754" spans="2:14" ht="14.4" customHeight="1" x14ac:dyDescent="0.3">
      <c r="B1754" s="2" t="s">
        <v>1759</v>
      </c>
      <c r="C1754" s="3">
        <v>44495</v>
      </c>
      <c r="D1754" s="2" t="s">
        <v>2011</v>
      </c>
      <c r="E1754" s="2" t="s">
        <v>2015</v>
      </c>
      <c r="F1754" s="4">
        <v>4649.3900000000003</v>
      </c>
      <c r="G1754" s="5">
        <v>757.22</v>
      </c>
      <c r="H1754" s="6">
        <v>4</v>
      </c>
      <c r="I1754" s="2" t="s">
        <v>2118</v>
      </c>
      <c r="J1754" s="2" t="str">
        <v>Brand Web-Enabled Solutions</v>
      </c>
      <c r="K1754" s="2" t="str">
        <v>Electronics</v>
      </c>
      <c r="L1754" s="2" t="str">
        <v>Russell Group</v>
      </c>
      <c r="M1754" s="2">
        <v>51.67</v>
      </c>
      <c r="N1754" s="16">
        <f t="shared" si="27"/>
        <v>0.1628643757568197</v>
      </c>
    </row>
    <row r="1755" spans="2:14" ht="14.4" customHeight="1" x14ac:dyDescent="0.3">
      <c r="B1755" s="2" t="s">
        <v>1760</v>
      </c>
      <c r="C1755" s="3">
        <v>44927</v>
      </c>
      <c r="D1755" s="2" t="s">
        <v>2012</v>
      </c>
      <c r="E1755" s="2" t="s">
        <v>2020</v>
      </c>
      <c r="F1755" s="4">
        <v>2090.59</v>
      </c>
      <c r="G1755" s="5">
        <v>117.88</v>
      </c>
      <c r="H1755" s="6">
        <v>14</v>
      </c>
      <c r="I1755" s="2" t="s">
        <v>2118</v>
      </c>
      <c r="J1755" s="2" t="str">
        <v>Harness Revolutionary Interfaces</v>
      </c>
      <c r="K1755" s="2" t="str">
        <v>Furniture</v>
      </c>
      <c r="L1755" s="2" t="str">
        <v>Davis, Short and Nguyen</v>
      </c>
      <c r="M1755" s="2">
        <v>26.49</v>
      </c>
      <c r="N1755" s="16">
        <f t="shared" si="27"/>
        <v>5.6385996297695862E-2</v>
      </c>
    </row>
    <row r="1756" spans="2:14" ht="14.4" customHeight="1" x14ac:dyDescent="0.3">
      <c r="B1756" s="2" t="s">
        <v>1761</v>
      </c>
      <c r="C1756" s="3">
        <v>45025</v>
      </c>
      <c r="D1756" s="2" t="s">
        <v>2012</v>
      </c>
      <c r="E1756" s="2" t="s">
        <v>2108</v>
      </c>
      <c r="F1756" s="4">
        <v>1101.43</v>
      </c>
      <c r="G1756" s="5">
        <v>747.47</v>
      </c>
      <c r="H1756" s="6">
        <v>18</v>
      </c>
      <c r="I1756" s="2" t="s">
        <v>2116</v>
      </c>
      <c r="J1756" s="2" t="str">
        <v>Whiteboard B2B Content</v>
      </c>
      <c r="K1756" s="2" t="str">
        <v>Office Supplies</v>
      </c>
      <c r="L1756" s="2" t="str">
        <v>Romero PLC</v>
      </c>
      <c r="M1756" s="2">
        <v>93.81</v>
      </c>
      <c r="N1756" s="16">
        <f t="shared" si="27"/>
        <v>0.67863595507658225</v>
      </c>
    </row>
    <row r="1757" spans="2:14" ht="14.4" customHeight="1" x14ac:dyDescent="0.3">
      <c r="B1757" s="2" t="s">
        <v>1762</v>
      </c>
      <c r="C1757" s="3">
        <v>45425</v>
      </c>
      <c r="D1757" s="2" t="s">
        <v>2010</v>
      </c>
      <c r="E1757" s="2" t="s">
        <v>2020</v>
      </c>
      <c r="F1757" s="4">
        <v>4544.6099999999997</v>
      </c>
      <c r="G1757" s="5">
        <v>692.03</v>
      </c>
      <c r="H1757" s="6">
        <v>4</v>
      </c>
      <c r="I1757" s="2" t="s">
        <v>2116</v>
      </c>
      <c r="J1757" s="2" t="str">
        <v>Harness Revolutionary Interfaces</v>
      </c>
      <c r="K1757" s="2" t="str">
        <v>Furniture</v>
      </c>
      <c r="L1757" s="2" t="str">
        <v>Davis, Short and Nguyen</v>
      </c>
      <c r="M1757" s="2">
        <v>26.49</v>
      </c>
      <c r="N1757" s="16">
        <f t="shared" si="27"/>
        <v>0.15227489267505903</v>
      </c>
    </row>
    <row r="1758" spans="2:14" ht="14.4" customHeight="1" x14ac:dyDescent="0.3">
      <c r="B1758" s="2" t="s">
        <v>1763</v>
      </c>
      <c r="C1758" s="3">
        <v>44427</v>
      </c>
      <c r="D1758" s="2" t="s">
        <v>2011</v>
      </c>
      <c r="E1758" s="2" t="s">
        <v>2018</v>
      </c>
      <c r="F1758" s="4">
        <v>3014.19</v>
      </c>
      <c r="G1758" s="5">
        <v>47.4</v>
      </c>
      <c r="H1758" s="6">
        <v>17</v>
      </c>
      <c r="I1758" s="2" t="s">
        <v>2118</v>
      </c>
      <c r="J1758" s="2" t="str">
        <v>Deliver Sticky Networks</v>
      </c>
      <c r="K1758" s="2" t="str">
        <v>Furniture</v>
      </c>
      <c r="L1758" s="2" t="str">
        <v>Massey LLC</v>
      </c>
      <c r="M1758" s="2">
        <v>272.33</v>
      </c>
      <c r="N1758" s="16">
        <f t="shared" si="27"/>
        <v>1.5725617827675096E-2</v>
      </c>
    </row>
    <row r="1759" spans="2:14" ht="14.4" customHeight="1" x14ac:dyDescent="0.3">
      <c r="B1759" s="2" t="s">
        <v>1764</v>
      </c>
      <c r="C1759" s="3">
        <v>44854</v>
      </c>
      <c r="D1759" s="2" t="s">
        <v>2012</v>
      </c>
      <c r="E1759" s="2" t="s">
        <v>2030</v>
      </c>
      <c r="F1759" s="4">
        <v>2707.41</v>
      </c>
      <c r="G1759" s="5">
        <v>391.24</v>
      </c>
      <c r="H1759" s="6">
        <v>14</v>
      </c>
      <c r="I1759" s="2" t="s">
        <v>2117</v>
      </c>
      <c r="J1759" s="2" t="str">
        <v>Engage Rich Web-Readiness</v>
      </c>
      <c r="K1759" s="2" t="str">
        <v>Office Supplies</v>
      </c>
      <c r="L1759" s="2" t="str">
        <v>Turner Inc</v>
      </c>
      <c r="M1759" s="2">
        <v>81.069999999999993</v>
      </c>
      <c r="N1759" s="16">
        <f t="shared" si="27"/>
        <v>0.1445071119630939</v>
      </c>
    </row>
    <row r="1760" spans="2:14" ht="14.4" customHeight="1" x14ac:dyDescent="0.3">
      <c r="B1760" s="2" t="s">
        <v>1765</v>
      </c>
      <c r="C1760" s="3">
        <v>45042</v>
      </c>
      <c r="D1760" s="2" t="s">
        <v>2011</v>
      </c>
      <c r="E1760" s="2" t="s">
        <v>2056</v>
      </c>
      <c r="F1760" s="4">
        <v>3831</v>
      </c>
      <c r="G1760" s="5">
        <v>584.22</v>
      </c>
      <c r="H1760" s="6">
        <v>13</v>
      </c>
      <c r="I1760" s="2" t="s">
        <v>2116</v>
      </c>
      <c r="J1760" s="2" t="str">
        <v>Mesh Intuitive Supply-Chains</v>
      </c>
      <c r="K1760" s="2" t="str">
        <v>Electronics</v>
      </c>
      <c r="L1760" s="2" t="str">
        <v>Soto, Barnett and Heath</v>
      </c>
      <c r="M1760" s="2">
        <v>281</v>
      </c>
      <c r="N1760" s="16">
        <f t="shared" si="27"/>
        <v>0.15249804228660924</v>
      </c>
    </row>
    <row r="1761" spans="2:14" ht="14.4" customHeight="1" x14ac:dyDescent="0.3">
      <c r="B1761" s="2" t="s">
        <v>1766</v>
      </c>
      <c r="C1761" s="3">
        <v>43948</v>
      </c>
      <c r="D1761" s="2" t="s">
        <v>2012</v>
      </c>
      <c r="E1761" s="2" t="s">
        <v>2033</v>
      </c>
      <c r="F1761" s="4">
        <v>855.79</v>
      </c>
      <c r="G1761" s="5">
        <v>775.41</v>
      </c>
      <c r="H1761" s="6">
        <v>6</v>
      </c>
      <c r="I1761" s="2" t="s">
        <v>2118</v>
      </c>
      <c r="J1761" s="2" t="str">
        <v>Leverage Rich Portals</v>
      </c>
      <c r="K1761" s="2" t="str">
        <v>Office Supplies</v>
      </c>
      <c r="L1761" s="2" t="str">
        <v>Wilson PLC</v>
      </c>
      <c r="M1761" s="2">
        <v>46.35</v>
      </c>
      <c r="N1761" s="16">
        <f t="shared" si="27"/>
        <v>0.90607508851470575</v>
      </c>
    </row>
    <row r="1762" spans="2:14" ht="14.4" customHeight="1" x14ac:dyDescent="0.3">
      <c r="B1762" s="2" t="s">
        <v>1767</v>
      </c>
      <c r="C1762" s="3">
        <v>44806</v>
      </c>
      <c r="D1762" s="2" t="s">
        <v>2009</v>
      </c>
      <c r="E1762" s="2" t="s">
        <v>2069</v>
      </c>
      <c r="F1762" s="4">
        <v>3323.41</v>
      </c>
      <c r="G1762" s="5">
        <v>190.06</v>
      </c>
      <c r="H1762" s="6">
        <v>14</v>
      </c>
      <c r="I1762" s="2" t="s">
        <v>2116</v>
      </c>
      <c r="J1762" s="2" t="str">
        <v>Optimize Transparent E-Markets</v>
      </c>
      <c r="K1762" s="2" t="str">
        <v>Office Supplies</v>
      </c>
      <c r="L1762" s="2" t="str">
        <v>Lee, Tyler and Blevins</v>
      </c>
      <c r="M1762" s="2">
        <v>111.22</v>
      </c>
      <c r="N1762" s="16">
        <f t="shared" si="27"/>
        <v>5.7188249418518931E-2</v>
      </c>
    </row>
    <row r="1763" spans="2:14" ht="14.4" customHeight="1" x14ac:dyDescent="0.3">
      <c r="B1763" s="2" t="s">
        <v>1768</v>
      </c>
      <c r="C1763" s="3">
        <v>43955</v>
      </c>
      <c r="D1763" s="2" t="s">
        <v>2011</v>
      </c>
      <c r="E1763" s="2" t="s">
        <v>2040</v>
      </c>
      <c r="F1763" s="4">
        <v>4770.3500000000004</v>
      </c>
      <c r="G1763" s="5">
        <v>611.58000000000004</v>
      </c>
      <c r="H1763" s="6">
        <v>7</v>
      </c>
      <c r="I1763" s="2" t="s">
        <v>2118</v>
      </c>
      <c r="J1763" s="2" t="str">
        <v>Synergize End-To-End Supply-Chains</v>
      </c>
      <c r="K1763" s="2" t="str">
        <v>Office Supplies</v>
      </c>
      <c r="L1763" s="2" t="str">
        <v>Higgins-Espinoza</v>
      </c>
      <c r="M1763" s="2">
        <v>279.8</v>
      </c>
      <c r="N1763" s="16">
        <f t="shared" si="27"/>
        <v>0.1282044294443804</v>
      </c>
    </row>
    <row r="1764" spans="2:14" ht="14.4" customHeight="1" x14ac:dyDescent="0.3">
      <c r="B1764" s="2" t="s">
        <v>1769</v>
      </c>
      <c r="C1764" s="3">
        <v>44346</v>
      </c>
      <c r="D1764" s="2" t="s">
        <v>2011</v>
      </c>
      <c r="E1764" s="2" t="s">
        <v>2018</v>
      </c>
      <c r="F1764" s="4">
        <v>4279.1099999999997</v>
      </c>
      <c r="G1764" s="5">
        <v>640.98</v>
      </c>
      <c r="H1764" s="6">
        <v>9</v>
      </c>
      <c r="I1764" s="2" t="s">
        <v>2116</v>
      </c>
      <c r="J1764" s="2" t="str">
        <v>Deliver Sticky Networks</v>
      </c>
      <c r="K1764" s="2" t="str">
        <v>Furniture</v>
      </c>
      <c r="L1764" s="2" t="str">
        <v>Massey LLC</v>
      </c>
      <c r="M1764" s="2">
        <v>272.33</v>
      </c>
      <c r="N1764" s="16">
        <f t="shared" si="27"/>
        <v>0.14979283075218913</v>
      </c>
    </row>
    <row r="1765" spans="2:14" ht="14.4" customHeight="1" x14ac:dyDescent="0.3">
      <c r="B1765" s="2" t="s">
        <v>1770</v>
      </c>
      <c r="C1765" s="3">
        <v>45215</v>
      </c>
      <c r="D1765" s="2" t="s">
        <v>2010</v>
      </c>
      <c r="E1765" s="2" t="s">
        <v>2049</v>
      </c>
      <c r="F1765" s="4">
        <v>2342.0700000000002</v>
      </c>
      <c r="G1765" s="5">
        <v>644.73</v>
      </c>
      <c r="H1765" s="6">
        <v>14</v>
      </c>
      <c r="I1765" s="2" t="s">
        <v>2116</v>
      </c>
      <c r="J1765" s="2" t="str">
        <v>Scale 24/365 Networks</v>
      </c>
      <c r="K1765" s="2" t="str">
        <v>Furniture</v>
      </c>
      <c r="L1765" s="2" t="str">
        <v>Kim-Hamilton</v>
      </c>
      <c r="M1765" s="2">
        <v>157.55000000000001</v>
      </c>
      <c r="N1765" s="16">
        <f t="shared" si="27"/>
        <v>0.27528212222521103</v>
      </c>
    </row>
    <row r="1766" spans="2:14" ht="14.4" customHeight="1" x14ac:dyDescent="0.3">
      <c r="B1766" s="2" t="s">
        <v>1771</v>
      </c>
      <c r="C1766" s="3">
        <v>44669</v>
      </c>
      <c r="D1766" s="2" t="s">
        <v>2009</v>
      </c>
      <c r="E1766" s="2" t="s">
        <v>2061</v>
      </c>
      <c r="F1766" s="4">
        <v>3913.87</v>
      </c>
      <c r="G1766" s="5">
        <v>457.99</v>
      </c>
      <c r="H1766" s="6">
        <v>19</v>
      </c>
      <c r="I1766" s="2" t="s">
        <v>2117</v>
      </c>
      <c r="J1766" s="2" t="str">
        <v>Optimize Collaborative Initiatives</v>
      </c>
      <c r="K1766" s="2" t="str">
        <v>Electronics</v>
      </c>
      <c r="L1766" s="2" t="str">
        <v>Adkins Ltd</v>
      </c>
      <c r="M1766" s="2">
        <v>34.46</v>
      </c>
      <c r="N1766" s="16">
        <f t="shared" si="27"/>
        <v>0.11701717226172562</v>
      </c>
    </row>
    <row r="1767" spans="2:14" ht="14.4" customHeight="1" x14ac:dyDescent="0.3">
      <c r="B1767" s="2" t="s">
        <v>1772</v>
      </c>
      <c r="C1767" s="3">
        <v>43996</v>
      </c>
      <c r="D1767" s="2" t="s">
        <v>2011</v>
      </c>
      <c r="E1767" s="2" t="s">
        <v>2096</v>
      </c>
      <c r="F1767" s="4">
        <v>4052.73</v>
      </c>
      <c r="G1767" s="5">
        <v>322.06</v>
      </c>
      <c r="H1767" s="6">
        <v>10</v>
      </c>
      <c r="I1767" s="2" t="s">
        <v>2118</v>
      </c>
      <c r="J1767" s="2" t="str">
        <v>Disintermediate Scalable Bandwidth</v>
      </c>
      <c r="K1767" s="2" t="str">
        <v>Electronics</v>
      </c>
      <c r="L1767" s="2" t="str">
        <v>Levy PLC</v>
      </c>
      <c r="M1767" s="2">
        <v>19.86</v>
      </c>
      <c r="N1767" s="16">
        <f t="shared" si="27"/>
        <v>7.946742072627587E-2</v>
      </c>
    </row>
    <row r="1768" spans="2:14" ht="14.4" customHeight="1" x14ac:dyDescent="0.3">
      <c r="B1768" s="2" t="s">
        <v>1773</v>
      </c>
      <c r="C1768" s="3">
        <v>43900</v>
      </c>
      <c r="D1768" s="2" t="s">
        <v>2011</v>
      </c>
      <c r="E1768" s="2" t="s">
        <v>2041</v>
      </c>
      <c r="F1768" s="4">
        <v>1161.8900000000001</v>
      </c>
      <c r="G1768" s="5">
        <v>952.79</v>
      </c>
      <c r="H1768" s="6">
        <v>17</v>
      </c>
      <c r="I1768" s="2" t="s">
        <v>2116</v>
      </c>
      <c r="J1768" s="2" t="str">
        <v>Expedite Synergistic Web-Readiness</v>
      </c>
      <c r="K1768" s="2" t="str">
        <v>Electronics</v>
      </c>
      <c r="L1768" s="2" t="str">
        <v>Dunlap, Carpenter and Monroe</v>
      </c>
      <c r="M1768" s="2">
        <v>289.66000000000003</v>
      </c>
      <c r="N1768" s="16">
        <f t="shared" si="27"/>
        <v>0.82003459880023055</v>
      </c>
    </row>
    <row r="1769" spans="2:14" ht="14.4" customHeight="1" x14ac:dyDescent="0.3">
      <c r="B1769" s="2" t="s">
        <v>1774</v>
      </c>
      <c r="C1769" s="3">
        <v>44824</v>
      </c>
      <c r="D1769" s="2" t="s">
        <v>2010</v>
      </c>
      <c r="E1769" s="2" t="s">
        <v>2061</v>
      </c>
      <c r="F1769" s="4">
        <v>1780.87</v>
      </c>
      <c r="G1769" s="5">
        <v>612.16999999999996</v>
      </c>
      <c r="H1769" s="6">
        <v>16</v>
      </c>
      <c r="I1769" s="2" t="s">
        <v>2117</v>
      </c>
      <c r="J1769" s="2" t="str">
        <v>Optimize Collaborative Initiatives</v>
      </c>
      <c r="K1769" s="2" t="str">
        <v>Electronics</v>
      </c>
      <c r="L1769" s="2" t="str">
        <v>Adkins Ltd</v>
      </c>
      <c r="M1769" s="2">
        <v>34.46</v>
      </c>
      <c r="N1769" s="16">
        <f t="shared" si="27"/>
        <v>0.34374771881159211</v>
      </c>
    </row>
    <row r="1770" spans="2:14" ht="14.4" customHeight="1" x14ac:dyDescent="0.3">
      <c r="B1770" s="2" t="s">
        <v>1775</v>
      </c>
      <c r="C1770" s="3">
        <v>45105</v>
      </c>
      <c r="D1770" s="2" t="s">
        <v>2012</v>
      </c>
      <c r="E1770" s="2" t="s">
        <v>2023</v>
      </c>
      <c r="F1770" s="4">
        <v>3797.54</v>
      </c>
      <c r="G1770" s="5">
        <v>419.23</v>
      </c>
      <c r="H1770" s="6">
        <v>8</v>
      </c>
      <c r="I1770" s="2" t="s">
        <v>2118</v>
      </c>
      <c r="J1770" s="2" t="str">
        <v>Leverage Cutting-Edge Vortals</v>
      </c>
      <c r="K1770" s="2" t="str">
        <v>Electronics</v>
      </c>
      <c r="L1770" s="2" t="str">
        <v>Robinson, Garrett and Chavez</v>
      </c>
      <c r="M1770" s="2">
        <v>117.3</v>
      </c>
      <c r="N1770" s="16">
        <f t="shared" si="27"/>
        <v>0.11039515054482639</v>
      </c>
    </row>
    <row r="1771" spans="2:14" ht="14.4" customHeight="1" x14ac:dyDescent="0.3">
      <c r="B1771" s="2" t="s">
        <v>1776</v>
      </c>
      <c r="C1771" s="3">
        <v>45234</v>
      </c>
      <c r="D1771" s="2" t="s">
        <v>2009</v>
      </c>
      <c r="E1771" s="2" t="s">
        <v>2067</v>
      </c>
      <c r="F1771" s="4">
        <v>393.2</v>
      </c>
      <c r="G1771" s="5">
        <v>884.21</v>
      </c>
      <c r="H1771" s="6">
        <v>13</v>
      </c>
      <c r="I1771" s="2" t="s">
        <v>2117</v>
      </c>
      <c r="J1771" s="2" t="str">
        <v>Transition Compelling Web-Readiness</v>
      </c>
      <c r="K1771" s="2" t="str">
        <v>Furniture</v>
      </c>
      <c r="L1771" s="2" t="str">
        <v>Wood-Beck</v>
      </c>
      <c r="M1771" s="2">
        <v>88.34</v>
      </c>
      <c r="N1771" s="16">
        <f t="shared" si="27"/>
        <v>2.2487538148524924</v>
      </c>
    </row>
    <row r="1772" spans="2:14" ht="14.4" customHeight="1" x14ac:dyDescent="0.3">
      <c r="B1772" s="2" t="s">
        <v>1777</v>
      </c>
      <c r="C1772" s="3">
        <v>45178</v>
      </c>
      <c r="D1772" s="2" t="s">
        <v>2011</v>
      </c>
      <c r="E1772" s="2" t="s">
        <v>2051</v>
      </c>
      <c r="F1772" s="4">
        <v>2365.12</v>
      </c>
      <c r="G1772" s="5">
        <v>150.97</v>
      </c>
      <c r="H1772" s="6">
        <v>19</v>
      </c>
      <c r="I1772" s="2" t="s">
        <v>2118</v>
      </c>
      <c r="J1772" s="2" t="str">
        <v>Generate Front-End Functionalities</v>
      </c>
      <c r="K1772" s="2" t="str">
        <v>Office Supplies</v>
      </c>
      <c r="L1772" s="2" t="str">
        <v>Morales-Brown</v>
      </c>
      <c r="M1772" s="2">
        <v>299.77</v>
      </c>
      <c r="N1772" s="16">
        <f t="shared" si="27"/>
        <v>6.3831856311730481E-2</v>
      </c>
    </row>
    <row r="1773" spans="2:14" ht="14.4" customHeight="1" x14ac:dyDescent="0.3">
      <c r="B1773" s="2" t="s">
        <v>1778</v>
      </c>
      <c r="C1773" s="3">
        <v>45326</v>
      </c>
      <c r="D1773" s="2" t="s">
        <v>2012</v>
      </c>
      <c r="E1773" s="2" t="s">
        <v>2019</v>
      </c>
      <c r="F1773" s="4">
        <v>96.66</v>
      </c>
      <c r="G1773" s="5">
        <v>75.63</v>
      </c>
      <c r="H1773" s="6">
        <v>3</v>
      </c>
      <c r="I1773" s="2" t="s">
        <v>2118</v>
      </c>
      <c r="J1773" s="2" t="str">
        <v>Implement Clicks-And-Mortar Partnerships</v>
      </c>
      <c r="K1773" s="2" t="str">
        <v>Electronics</v>
      </c>
      <c r="L1773" s="2" t="str">
        <v>Smith Inc</v>
      </c>
      <c r="M1773" s="2">
        <v>195.53</v>
      </c>
      <c r="N1773" s="16">
        <f t="shared" si="27"/>
        <v>0.78243327126008688</v>
      </c>
    </row>
    <row r="1774" spans="2:14" ht="14.4" customHeight="1" x14ac:dyDescent="0.3">
      <c r="B1774" s="2" t="s">
        <v>1779</v>
      </c>
      <c r="C1774" s="3">
        <v>43880</v>
      </c>
      <c r="D1774" s="2" t="s">
        <v>2011</v>
      </c>
      <c r="E1774" s="2" t="s">
        <v>2049</v>
      </c>
      <c r="F1774" s="4">
        <v>3804.46</v>
      </c>
      <c r="G1774" s="5">
        <v>463.42</v>
      </c>
      <c r="H1774" s="6">
        <v>18</v>
      </c>
      <c r="I1774" s="2" t="s">
        <v>2118</v>
      </c>
      <c r="J1774" s="2" t="str">
        <v>Scale 24/365 Networks</v>
      </c>
      <c r="K1774" s="2" t="str">
        <v>Furniture</v>
      </c>
      <c r="L1774" s="2" t="str">
        <v>Kim-Hamilton</v>
      </c>
      <c r="M1774" s="2">
        <v>157.55000000000001</v>
      </c>
      <c r="N1774" s="16">
        <f t="shared" si="27"/>
        <v>0.12180966549786304</v>
      </c>
    </row>
    <row r="1775" spans="2:14" ht="14.4" customHeight="1" x14ac:dyDescent="0.3">
      <c r="B1775" s="2" t="s">
        <v>1780</v>
      </c>
      <c r="C1775" s="3">
        <v>44774</v>
      </c>
      <c r="D1775" s="2" t="s">
        <v>2012</v>
      </c>
      <c r="E1775" s="2" t="s">
        <v>2087</v>
      </c>
      <c r="F1775" s="4">
        <v>2834</v>
      </c>
      <c r="G1775" s="5">
        <v>358.9</v>
      </c>
      <c r="H1775" s="6">
        <v>8</v>
      </c>
      <c r="I1775" s="2" t="s">
        <v>2116</v>
      </c>
      <c r="J1775" s="2" t="str">
        <v>Empower Seamless Roi</v>
      </c>
      <c r="K1775" s="2" t="str">
        <v>Office Supplies</v>
      </c>
      <c r="L1775" s="2" t="str">
        <v>Proctor Group</v>
      </c>
      <c r="M1775" s="2">
        <v>266.64999999999998</v>
      </c>
      <c r="N1775" s="16">
        <f t="shared" si="27"/>
        <v>0.12664079040225829</v>
      </c>
    </row>
    <row r="1776" spans="2:14" ht="14.4" customHeight="1" x14ac:dyDescent="0.3">
      <c r="B1776" s="2" t="s">
        <v>1781</v>
      </c>
      <c r="C1776" s="3">
        <v>45430</v>
      </c>
      <c r="D1776" s="2" t="s">
        <v>2010</v>
      </c>
      <c r="E1776" s="2" t="s">
        <v>2085</v>
      </c>
      <c r="F1776" s="4">
        <v>4812.7299999999996</v>
      </c>
      <c r="G1776" s="5">
        <v>631.33000000000004</v>
      </c>
      <c r="H1776" s="6">
        <v>15</v>
      </c>
      <c r="I1776" s="2" t="s">
        <v>2118</v>
      </c>
      <c r="J1776" s="2" t="str">
        <v>Incentivize User-Centric Mindshare</v>
      </c>
      <c r="K1776" s="2" t="str">
        <v>Electronics</v>
      </c>
      <c r="L1776" s="2" t="str">
        <v>Becker, Wright and Wong</v>
      </c>
      <c r="M1776" s="2">
        <v>38.51</v>
      </c>
      <c r="N1776" s="16">
        <f t="shared" si="27"/>
        <v>0.13117918520257735</v>
      </c>
    </row>
    <row r="1777" spans="2:14" ht="14.4" customHeight="1" x14ac:dyDescent="0.3">
      <c r="B1777" s="2" t="s">
        <v>1782</v>
      </c>
      <c r="C1777" s="3">
        <v>45332</v>
      </c>
      <c r="D1777" s="2" t="s">
        <v>2010</v>
      </c>
      <c r="E1777" s="2" t="s">
        <v>2086</v>
      </c>
      <c r="F1777" s="4">
        <v>1891.95</v>
      </c>
      <c r="G1777" s="5">
        <v>282.39</v>
      </c>
      <c r="H1777" s="6">
        <v>7</v>
      </c>
      <c r="I1777" s="2" t="s">
        <v>2117</v>
      </c>
      <c r="J1777" s="2" t="str">
        <v>Harness Proactive Eyeballs</v>
      </c>
      <c r="K1777" s="2" t="str">
        <v>Electronics</v>
      </c>
      <c r="L1777" s="2" t="str">
        <v>Moran and Sons</v>
      </c>
      <c r="M1777" s="2">
        <v>58.01</v>
      </c>
      <c r="N1777" s="16">
        <f t="shared" si="27"/>
        <v>0.14925870133988742</v>
      </c>
    </row>
    <row r="1778" spans="2:14" ht="14.4" customHeight="1" x14ac:dyDescent="0.3">
      <c r="B1778" s="2" t="s">
        <v>1783</v>
      </c>
      <c r="C1778" s="3">
        <v>45056</v>
      </c>
      <c r="D1778" s="2" t="s">
        <v>2011</v>
      </c>
      <c r="E1778" s="2" t="s">
        <v>2021</v>
      </c>
      <c r="F1778" s="4">
        <v>1445.59</v>
      </c>
      <c r="G1778" s="5">
        <v>140.6</v>
      </c>
      <c r="H1778" s="6">
        <v>13</v>
      </c>
      <c r="I1778" s="2" t="s">
        <v>2118</v>
      </c>
      <c r="J1778" s="2" t="str">
        <v>Whiteboard Compelling Experiences</v>
      </c>
      <c r="K1778" s="2" t="str">
        <v>Furniture</v>
      </c>
      <c r="L1778" s="2" t="str">
        <v>Carrillo, Carr and Ball</v>
      </c>
      <c r="M1778" s="2">
        <v>206.54</v>
      </c>
      <c r="N1778" s="16">
        <f t="shared" si="27"/>
        <v>9.7261325825441516E-2</v>
      </c>
    </row>
    <row r="1779" spans="2:14" ht="14.4" customHeight="1" x14ac:dyDescent="0.3">
      <c r="B1779" s="2" t="s">
        <v>1784</v>
      </c>
      <c r="C1779" s="3">
        <v>44590</v>
      </c>
      <c r="D1779" s="2" t="s">
        <v>2012</v>
      </c>
      <c r="E1779" s="2" t="s">
        <v>2048</v>
      </c>
      <c r="F1779" s="4">
        <v>1981.19</v>
      </c>
      <c r="G1779" s="5">
        <v>36.39</v>
      </c>
      <c r="H1779" s="6">
        <v>11</v>
      </c>
      <c r="I1779" s="2" t="s">
        <v>2117</v>
      </c>
      <c r="J1779" s="2" t="str">
        <v>Drive Compelling E-Services</v>
      </c>
      <c r="K1779" s="2" t="str">
        <v>Office Supplies</v>
      </c>
      <c r="L1779" s="2" t="str">
        <v>Morris-Villanueva</v>
      </c>
      <c r="M1779" s="2">
        <v>27.22</v>
      </c>
      <c r="N1779" s="16">
        <f t="shared" si="27"/>
        <v>1.8367748676300606E-2</v>
      </c>
    </row>
    <row r="1780" spans="2:14" ht="14.4" customHeight="1" x14ac:dyDescent="0.3">
      <c r="B1780" s="2" t="s">
        <v>1785</v>
      </c>
      <c r="C1780" s="3">
        <v>44842</v>
      </c>
      <c r="D1780" s="2" t="s">
        <v>2011</v>
      </c>
      <c r="E1780" s="2" t="s">
        <v>2033</v>
      </c>
      <c r="F1780" s="4">
        <v>4231.82</v>
      </c>
      <c r="G1780" s="5">
        <v>743.04</v>
      </c>
      <c r="H1780" s="6">
        <v>13</v>
      </c>
      <c r="I1780" s="2" t="s">
        <v>2118</v>
      </c>
      <c r="J1780" s="2" t="str">
        <v>Leverage Rich Portals</v>
      </c>
      <c r="K1780" s="2" t="str">
        <v>Office Supplies</v>
      </c>
      <c r="L1780" s="2" t="str">
        <v>Wilson PLC</v>
      </c>
      <c r="M1780" s="2">
        <v>46.35</v>
      </c>
      <c r="N1780" s="16">
        <f t="shared" si="27"/>
        <v>0.17558402767603537</v>
      </c>
    </row>
    <row r="1781" spans="2:14" ht="14.4" customHeight="1" x14ac:dyDescent="0.3">
      <c r="B1781" s="2" t="s">
        <v>1786</v>
      </c>
      <c r="C1781" s="3">
        <v>45379</v>
      </c>
      <c r="D1781" s="2" t="s">
        <v>2012</v>
      </c>
      <c r="E1781" s="2" t="s">
        <v>2089</v>
      </c>
      <c r="F1781" s="4">
        <v>889.47</v>
      </c>
      <c r="G1781" s="5">
        <v>612.52</v>
      </c>
      <c r="H1781" s="6">
        <v>10</v>
      </c>
      <c r="I1781" s="2" t="s">
        <v>2116</v>
      </c>
      <c r="J1781" s="2" t="str">
        <v>Morph World-Class Synergies</v>
      </c>
      <c r="K1781" s="2" t="str">
        <v>Electronics</v>
      </c>
      <c r="L1781" s="2" t="str">
        <v>Bryant Ltd</v>
      </c>
      <c r="M1781" s="2">
        <v>20.69</v>
      </c>
      <c r="N1781" s="16">
        <f t="shared" si="27"/>
        <v>0.68863480499623364</v>
      </c>
    </row>
    <row r="1782" spans="2:14" ht="14.4" customHeight="1" x14ac:dyDescent="0.3">
      <c r="B1782" s="2" t="s">
        <v>1787</v>
      </c>
      <c r="C1782" s="3">
        <v>45091</v>
      </c>
      <c r="D1782" s="2" t="s">
        <v>2012</v>
      </c>
      <c r="E1782" s="2" t="s">
        <v>2082</v>
      </c>
      <c r="F1782" s="4">
        <v>4019.33</v>
      </c>
      <c r="G1782" s="5">
        <v>389.25</v>
      </c>
      <c r="H1782" s="6">
        <v>11</v>
      </c>
      <c r="I1782" s="2" t="s">
        <v>2118</v>
      </c>
      <c r="J1782" s="2" t="str">
        <v>Re-Contextualize Viral Markets</v>
      </c>
      <c r="K1782" s="2" t="str">
        <v>Electronics</v>
      </c>
      <c r="L1782" s="2" t="str">
        <v>Meadows-Barber</v>
      </c>
      <c r="M1782" s="2">
        <v>177.52</v>
      </c>
      <c r="N1782" s="16">
        <f t="shared" si="27"/>
        <v>9.6844498958781694E-2</v>
      </c>
    </row>
    <row r="1783" spans="2:14" ht="14.4" customHeight="1" x14ac:dyDescent="0.3">
      <c r="B1783" s="2" t="s">
        <v>1788</v>
      </c>
      <c r="C1783" s="3">
        <v>44399</v>
      </c>
      <c r="D1783" s="2" t="s">
        <v>2010</v>
      </c>
      <c r="E1783" s="2" t="s">
        <v>2026</v>
      </c>
      <c r="F1783" s="4">
        <v>1643.26</v>
      </c>
      <c r="G1783" s="5">
        <v>337.67</v>
      </c>
      <c r="H1783" s="6">
        <v>1</v>
      </c>
      <c r="I1783" s="2" t="s">
        <v>2118</v>
      </c>
      <c r="J1783" s="2" t="str">
        <v>Monetize Wireless Functionalities</v>
      </c>
      <c r="K1783" s="2" t="str">
        <v>Furniture</v>
      </c>
      <c r="L1783" s="2" t="str">
        <v>Robinson, Rodriguez and Hernandez</v>
      </c>
      <c r="M1783" s="2">
        <v>162.22</v>
      </c>
      <c r="N1783" s="16">
        <f t="shared" si="27"/>
        <v>0.2054878716697297</v>
      </c>
    </row>
    <row r="1784" spans="2:14" ht="14.4" customHeight="1" x14ac:dyDescent="0.3">
      <c r="B1784" s="2" t="s">
        <v>1789</v>
      </c>
      <c r="C1784" s="3">
        <v>45410</v>
      </c>
      <c r="D1784" s="2" t="s">
        <v>2009</v>
      </c>
      <c r="E1784" s="2" t="s">
        <v>2090</v>
      </c>
      <c r="F1784" s="4">
        <v>2555.06</v>
      </c>
      <c r="G1784" s="5">
        <v>435.44</v>
      </c>
      <c r="H1784" s="6">
        <v>13</v>
      </c>
      <c r="I1784" s="2" t="s">
        <v>2118</v>
      </c>
      <c r="J1784" s="2" t="str">
        <v>Empower Bleeding-Edge Action-Items</v>
      </c>
      <c r="K1784" s="2" t="str">
        <v>Furniture</v>
      </c>
      <c r="L1784" s="2" t="str">
        <v>Gray, Hayes and Banks</v>
      </c>
      <c r="M1784" s="2">
        <v>204.26</v>
      </c>
      <c r="N1784" s="16">
        <f t="shared" si="27"/>
        <v>0.17042261238483636</v>
      </c>
    </row>
    <row r="1785" spans="2:14" ht="14.4" customHeight="1" x14ac:dyDescent="0.3">
      <c r="B1785" s="2" t="s">
        <v>1790</v>
      </c>
      <c r="C1785" s="3">
        <v>45407</v>
      </c>
      <c r="D1785" s="2" t="s">
        <v>2010</v>
      </c>
      <c r="E1785" s="2" t="s">
        <v>2038</v>
      </c>
      <c r="F1785" s="4">
        <v>2700.72</v>
      </c>
      <c r="G1785" s="5">
        <v>985.4</v>
      </c>
      <c r="H1785" s="6">
        <v>3</v>
      </c>
      <c r="I1785" s="2" t="s">
        <v>2117</v>
      </c>
      <c r="J1785" s="2" t="str">
        <v>Reinvent Mission-Critical Markets</v>
      </c>
      <c r="K1785" s="2" t="str">
        <v>Furniture</v>
      </c>
      <c r="L1785" s="2" t="str">
        <v>Gilbert-Sanders</v>
      </c>
      <c r="M1785" s="2">
        <v>154.21</v>
      </c>
      <c r="N1785" s="16">
        <f t="shared" si="27"/>
        <v>0.36486566545217575</v>
      </c>
    </row>
    <row r="1786" spans="2:14" ht="14.4" customHeight="1" x14ac:dyDescent="0.3">
      <c r="B1786" s="2" t="s">
        <v>1791</v>
      </c>
      <c r="C1786" s="3">
        <v>45388</v>
      </c>
      <c r="D1786" s="2" t="s">
        <v>2010</v>
      </c>
      <c r="E1786" s="2" t="s">
        <v>2055</v>
      </c>
      <c r="F1786" s="4">
        <v>3131.73</v>
      </c>
      <c r="G1786" s="5">
        <v>81.33</v>
      </c>
      <c r="H1786" s="6">
        <v>3</v>
      </c>
      <c r="I1786" s="2" t="s">
        <v>2118</v>
      </c>
      <c r="J1786" s="2" t="str">
        <v>Engineer Real-Time Architectures</v>
      </c>
      <c r="K1786" s="2" t="str">
        <v>Furniture</v>
      </c>
      <c r="L1786" s="2" t="str">
        <v>James and Sons</v>
      </c>
      <c r="M1786" s="2">
        <v>127.23</v>
      </c>
      <c r="N1786" s="16">
        <f t="shared" si="27"/>
        <v>2.5969671714994588E-2</v>
      </c>
    </row>
    <row r="1787" spans="2:14" ht="14.4" customHeight="1" x14ac:dyDescent="0.3">
      <c r="B1787" s="2" t="s">
        <v>1792</v>
      </c>
      <c r="C1787" s="3">
        <v>43954</v>
      </c>
      <c r="D1787" s="2" t="s">
        <v>2010</v>
      </c>
      <c r="E1787" s="2" t="s">
        <v>2060</v>
      </c>
      <c r="F1787" s="4">
        <v>2875.73</v>
      </c>
      <c r="G1787" s="5">
        <v>287.58</v>
      </c>
      <c r="H1787" s="6">
        <v>7</v>
      </c>
      <c r="I1787" s="2" t="s">
        <v>2117</v>
      </c>
      <c r="J1787" s="2" t="str">
        <v>Synergize End-To-End Roi</v>
      </c>
      <c r="K1787" s="2" t="str">
        <v>Electronics</v>
      </c>
      <c r="L1787" s="2" t="str">
        <v>Evans-Smith</v>
      </c>
      <c r="M1787" s="2">
        <v>159.85</v>
      </c>
      <c r="N1787" s="16">
        <f t="shared" si="27"/>
        <v>0.10000243416454256</v>
      </c>
    </row>
    <row r="1788" spans="2:14" ht="14.4" customHeight="1" x14ac:dyDescent="0.3">
      <c r="B1788" s="2" t="s">
        <v>1793</v>
      </c>
      <c r="C1788" s="3">
        <v>44772</v>
      </c>
      <c r="D1788" s="2" t="s">
        <v>2011</v>
      </c>
      <c r="E1788" s="2" t="s">
        <v>2030</v>
      </c>
      <c r="F1788" s="4">
        <v>4347.08</v>
      </c>
      <c r="G1788" s="5">
        <v>538.94000000000005</v>
      </c>
      <c r="H1788" s="6">
        <v>14</v>
      </c>
      <c r="I1788" s="2" t="s">
        <v>2118</v>
      </c>
      <c r="J1788" s="2" t="str">
        <v>Engage Rich Web-Readiness</v>
      </c>
      <c r="K1788" s="2" t="str">
        <v>Office Supplies</v>
      </c>
      <c r="L1788" s="2" t="str">
        <v>Turner Inc</v>
      </c>
      <c r="M1788" s="2">
        <v>81.069999999999993</v>
      </c>
      <c r="N1788" s="16">
        <f t="shared" si="27"/>
        <v>0.12397747453463016</v>
      </c>
    </row>
    <row r="1789" spans="2:14" ht="14.4" customHeight="1" x14ac:dyDescent="0.3">
      <c r="B1789" s="2" t="s">
        <v>1794</v>
      </c>
      <c r="C1789" s="3">
        <v>44613</v>
      </c>
      <c r="D1789" s="2" t="s">
        <v>2010</v>
      </c>
      <c r="E1789" s="2" t="s">
        <v>2099</v>
      </c>
      <c r="F1789" s="4">
        <v>4503.2700000000004</v>
      </c>
      <c r="G1789" s="5">
        <v>528.16999999999996</v>
      </c>
      <c r="H1789" s="6">
        <v>13</v>
      </c>
      <c r="I1789" s="2" t="s">
        <v>2117</v>
      </c>
      <c r="J1789" s="2" t="str">
        <v>Synergize Cross-Platform Vortals</v>
      </c>
      <c r="K1789" s="2" t="str">
        <v>Furniture</v>
      </c>
      <c r="L1789" s="2" t="str">
        <v>Edwards Group</v>
      </c>
      <c r="M1789" s="2">
        <v>87.18</v>
      </c>
      <c r="N1789" s="16">
        <f t="shared" si="27"/>
        <v>0.11728588336919614</v>
      </c>
    </row>
    <row r="1790" spans="2:14" ht="14.4" customHeight="1" x14ac:dyDescent="0.3">
      <c r="B1790" s="2" t="s">
        <v>1795</v>
      </c>
      <c r="C1790" s="3">
        <v>44945</v>
      </c>
      <c r="D1790" s="2" t="s">
        <v>2010</v>
      </c>
      <c r="E1790" s="2" t="s">
        <v>2109</v>
      </c>
      <c r="F1790" s="4">
        <v>1022.64</v>
      </c>
      <c r="G1790" s="5">
        <v>949.41</v>
      </c>
      <c r="H1790" s="6">
        <v>7</v>
      </c>
      <c r="I1790" s="2" t="s">
        <v>2118</v>
      </c>
      <c r="J1790" s="2" t="str">
        <v>Deliver Viral Eyeballs</v>
      </c>
      <c r="K1790" s="2" t="str">
        <v>Office Supplies</v>
      </c>
      <c r="L1790" s="2" t="str">
        <v>Estes, Chan and Thomas</v>
      </c>
      <c r="M1790" s="2">
        <v>16.89</v>
      </c>
      <c r="N1790" s="16">
        <f t="shared" si="27"/>
        <v>0.92839122271767194</v>
      </c>
    </row>
    <row r="1791" spans="2:14" ht="14.4" customHeight="1" x14ac:dyDescent="0.3">
      <c r="B1791" s="2" t="s">
        <v>1796</v>
      </c>
      <c r="C1791" s="3">
        <v>44667</v>
      </c>
      <c r="D1791" s="2" t="s">
        <v>2010</v>
      </c>
      <c r="E1791" s="2" t="s">
        <v>2066</v>
      </c>
      <c r="F1791" s="4">
        <v>1183.22</v>
      </c>
      <c r="G1791" s="5">
        <v>534.4</v>
      </c>
      <c r="H1791" s="6">
        <v>16</v>
      </c>
      <c r="I1791" s="2" t="s">
        <v>2117</v>
      </c>
      <c r="J1791" s="2" t="str">
        <v>Facilitate Integrated E-Business</v>
      </c>
      <c r="K1791" s="2" t="str">
        <v>Office Supplies</v>
      </c>
      <c r="L1791" s="2" t="str">
        <v>Chang-Vargas</v>
      </c>
      <c r="M1791" s="2">
        <v>130.33000000000001</v>
      </c>
      <c r="N1791" s="16">
        <f t="shared" si="27"/>
        <v>0.4516488903162556</v>
      </c>
    </row>
    <row r="1792" spans="2:14" ht="14.4" customHeight="1" x14ac:dyDescent="0.3">
      <c r="B1792" s="2" t="s">
        <v>1797</v>
      </c>
      <c r="C1792" s="3">
        <v>45556</v>
      </c>
      <c r="D1792" s="2" t="s">
        <v>2011</v>
      </c>
      <c r="E1792" s="2" t="s">
        <v>2109</v>
      </c>
      <c r="F1792" s="4">
        <v>3653.58</v>
      </c>
      <c r="G1792" s="5">
        <v>332.95</v>
      </c>
      <c r="H1792" s="6">
        <v>19</v>
      </c>
      <c r="I1792" s="2" t="s">
        <v>2118</v>
      </c>
      <c r="J1792" s="2" t="str">
        <v>Deliver Viral Eyeballs</v>
      </c>
      <c r="K1792" s="2" t="str">
        <v>Office Supplies</v>
      </c>
      <c r="L1792" s="2" t="str">
        <v>Estes, Chan and Thomas</v>
      </c>
      <c r="M1792" s="2">
        <v>16.89</v>
      </c>
      <c r="N1792" s="16">
        <f t="shared" si="27"/>
        <v>9.1129795980928296E-2</v>
      </c>
    </row>
    <row r="1793" spans="2:14" ht="14.4" customHeight="1" x14ac:dyDescent="0.3">
      <c r="B1793" s="2" t="s">
        <v>1798</v>
      </c>
      <c r="C1793" s="3">
        <v>44606</v>
      </c>
      <c r="D1793" s="2" t="s">
        <v>2010</v>
      </c>
      <c r="E1793" s="2" t="s">
        <v>2043</v>
      </c>
      <c r="F1793" s="4">
        <v>3156.9</v>
      </c>
      <c r="G1793" s="5">
        <v>903.63</v>
      </c>
      <c r="H1793" s="6">
        <v>20</v>
      </c>
      <c r="I1793" s="2" t="s">
        <v>2116</v>
      </c>
      <c r="J1793" s="2" t="str">
        <v>Brand Distributed Info-Mediaries</v>
      </c>
      <c r="K1793" s="2" t="str">
        <v>Furniture</v>
      </c>
      <c r="L1793" s="2" t="str">
        <v>Garcia Ltd</v>
      </c>
      <c r="M1793" s="2">
        <v>114.48</v>
      </c>
      <c r="N1793" s="16">
        <f t="shared" si="27"/>
        <v>0.28623966549463081</v>
      </c>
    </row>
    <row r="1794" spans="2:14" ht="14.4" customHeight="1" x14ac:dyDescent="0.3">
      <c r="B1794" s="2" t="s">
        <v>1799</v>
      </c>
      <c r="C1794" s="3">
        <v>44154</v>
      </c>
      <c r="D1794" s="2" t="s">
        <v>2010</v>
      </c>
      <c r="E1794" s="2" t="s">
        <v>2091</v>
      </c>
      <c r="F1794" s="4">
        <v>4217.9399999999996</v>
      </c>
      <c r="G1794" s="5">
        <v>569.85</v>
      </c>
      <c r="H1794" s="6">
        <v>1</v>
      </c>
      <c r="I1794" s="2" t="s">
        <v>2117</v>
      </c>
      <c r="J1794" s="2" t="str">
        <v>Synthesize Scalable Portals</v>
      </c>
      <c r="K1794" s="2" t="str">
        <v>Furniture</v>
      </c>
      <c r="L1794" s="2" t="str">
        <v>Singh, Villa and Flynn</v>
      </c>
      <c r="M1794" s="2">
        <v>298.57</v>
      </c>
      <c r="N1794" s="16">
        <f t="shared" si="27"/>
        <v>0.13510149504260374</v>
      </c>
    </row>
    <row r="1795" spans="2:14" ht="14.4" customHeight="1" x14ac:dyDescent="0.3">
      <c r="B1795" s="2" t="s">
        <v>1800</v>
      </c>
      <c r="C1795" s="3">
        <v>44022</v>
      </c>
      <c r="D1795" s="2" t="s">
        <v>2011</v>
      </c>
      <c r="E1795" s="2" t="s">
        <v>2018</v>
      </c>
      <c r="F1795" s="4">
        <v>4941.1899999999996</v>
      </c>
      <c r="G1795" s="5">
        <v>253</v>
      </c>
      <c r="H1795" s="6">
        <v>15</v>
      </c>
      <c r="I1795" s="2" t="s">
        <v>2116</v>
      </c>
      <c r="J1795" s="2" t="str">
        <v>Deliver Sticky Networks</v>
      </c>
      <c r="K1795" s="2" t="str">
        <v>Furniture</v>
      </c>
      <c r="L1795" s="2" t="str">
        <v>Massey LLC</v>
      </c>
      <c r="M1795" s="2">
        <v>272.33</v>
      </c>
      <c r="N1795" s="16">
        <f t="shared" si="27"/>
        <v>5.1202240755769367E-2</v>
      </c>
    </row>
    <row r="1796" spans="2:14" ht="14.4" customHeight="1" x14ac:dyDescent="0.3">
      <c r="B1796" s="2" t="s">
        <v>1801</v>
      </c>
      <c r="C1796" s="3">
        <v>45270</v>
      </c>
      <c r="D1796" s="2" t="s">
        <v>2009</v>
      </c>
      <c r="E1796" s="2" t="s">
        <v>2046</v>
      </c>
      <c r="F1796" s="4">
        <v>4020.81</v>
      </c>
      <c r="G1796" s="5">
        <v>758.92</v>
      </c>
      <c r="H1796" s="6">
        <v>5</v>
      </c>
      <c r="I1796" s="2" t="s">
        <v>2117</v>
      </c>
      <c r="J1796" s="2" t="str">
        <v>Facilitate End-To-End Experiences</v>
      </c>
      <c r="K1796" s="2" t="str">
        <v>Office Supplies</v>
      </c>
      <c r="L1796" s="2" t="str">
        <v>Pierce-Goodwin</v>
      </c>
      <c r="M1796" s="2">
        <v>260.52999999999997</v>
      </c>
      <c r="N1796" s="16">
        <f t="shared" si="27"/>
        <v>0.18874803833058512</v>
      </c>
    </row>
    <row r="1797" spans="2:14" ht="14.4" customHeight="1" x14ac:dyDescent="0.3">
      <c r="B1797" s="2" t="s">
        <v>1802</v>
      </c>
      <c r="C1797" s="3">
        <v>44170</v>
      </c>
      <c r="D1797" s="2" t="s">
        <v>2011</v>
      </c>
      <c r="E1797" s="2" t="s">
        <v>2040</v>
      </c>
      <c r="F1797" s="4">
        <v>4450.84</v>
      </c>
      <c r="G1797" s="5">
        <v>588.79</v>
      </c>
      <c r="H1797" s="6">
        <v>17</v>
      </c>
      <c r="I1797" s="2" t="s">
        <v>2116</v>
      </c>
      <c r="J1797" s="2" t="str">
        <v>Synergize End-To-End Supply-Chains</v>
      </c>
      <c r="K1797" s="2" t="str">
        <v>Office Supplies</v>
      </c>
      <c r="L1797" s="2" t="str">
        <v>Higgins-Espinoza</v>
      </c>
      <c r="M1797" s="2">
        <v>279.8</v>
      </c>
      <c r="N1797" s="16">
        <f t="shared" ref="N1797:N1860" si="28">(G1797/F1797)</f>
        <v>0.13228738844802329</v>
      </c>
    </row>
    <row r="1798" spans="2:14" ht="14.4" customHeight="1" x14ac:dyDescent="0.3">
      <c r="B1798" s="2" t="s">
        <v>1803</v>
      </c>
      <c r="C1798" s="3">
        <v>45135</v>
      </c>
      <c r="D1798" s="2" t="s">
        <v>2012</v>
      </c>
      <c r="E1798" s="2" t="s">
        <v>2047</v>
      </c>
      <c r="F1798" s="4">
        <v>4925.8599999999997</v>
      </c>
      <c r="G1798" s="5">
        <v>14.41</v>
      </c>
      <c r="H1798" s="6">
        <v>19</v>
      </c>
      <c r="I1798" s="2" t="s">
        <v>2116</v>
      </c>
      <c r="J1798" s="2" t="str">
        <v>Transform Holistic Functionalities</v>
      </c>
      <c r="K1798" s="2" t="str">
        <v>Office Supplies</v>
      </c>
      <c r="L1798" s="2" t="str">
        <v>Ruiz Ltd</v>
      </c>
      <c r="M1798" s="2">
        <v>179.27</v>
      </c>
      <c r="N1798" s="16">
        <f t="shared" si="28"/>
        <v>2.9253774975334258E-3</v>
      </c>
    </row>
    <row r="1799" spans="2:14" ht="14.4" customHeight="1" x14ac:dyDescent="0.3">
      <c r="B1799" s="2" t="s">
        <v>1804</v>
      </c>
      <c r="C1799" s="3">
        <v>45273</v>
      </c>
      <c r="D1799" s="2" t="s">
        <v>2011</v>
      </c>
      <c r="E1799" s="2" t="s">
        <v>2023</v>
      </c>
      <c r="F1799" s="4">
        <v>2448.12</v>
      </c>
      <c r="G1799" s="5">
        <v>258.3</v>
      </c>
      <c r="H1799" s="6">
        <v>18</v>
      </c>
      <c r="I1799" s="2" t="s">
        <v>2118</v>
      </c>
      <c r="J1799" s="2" t="str">
        <v>Leverage Cutting-Edge Vortals</v>
      </c>
      <c r="K1799" s="2" t="str">
        <v>Electronics</v>
      </c>
      <c r="L1799" s="2" t="str">
        <v>Robinson, Garrett and Chavez</v>
      </c>
      <c r="M1799" s="2">
        <v>117.3</v>
      </c>
      <c r="N1799" s="16">
        <f t="shared" si="28"/>
        <v>0.10550953384638009</v>
      </c>
    </row>
    <row r="1800" spans="2:14" ht="14.4" customHeight="1" x14ac:dyDescent="0.3">
      <c r="B1800" s="2" t="s">
        <v>1805</v>
      </c>
      <c r="C1800" s="3">
        <v>45014</v>
      </c>
      <c r="D1800" s="2" t="s">
        <v>2010</v>
      </c>
      <c r="E1800" s="2" t="s">
        <v>2102</v>
      </c>
      <c r="F1800" s="4">
        <v>707.44</v>
      </c>
      <c r="G1800" s="5">
        <v>99.74</v>
      </c>
      <c r="H1800" s="6">
        <v>16</v>
      </c>
      <c r="I1800" s="2" t="s">
        <v>2118</v>
      </c>
      <c r="J1800" s="2" t="str">
        <v>Re-Contextualize Viral Mindshare</v>
      </c>
      <c r="K1800" s="2" t="str">
        <v>Electronics</v>
      </c>
      <c r="L1800" s="2" t="str">
        <v>Carter-Lane</v>
      </c>
      <c r="M1800" s="2">
        <v>142.25</v>
      </c>
      <c r="N1800" s="16">
        <f t="shared" si="28"/>
        <v>0.14098722153115456</v>
      </c>
    </row>
    <row r="1801" spans="2:14" ht="14.4" customHeight="1" x14ac:dyDescent="0.3">
      <c r="B1801" s="2" t="s">
        <v>1806</v>
      </c>
      <c r="C1801" s="3">
        <v>45453</v>
      </c>
      <c r="D1801" s="2" t="s">
        <v>2009</v>
      </c>
      <c r="E1801" s="2" t="s">
        <v>2046</v>
      </c>
      <c r="F1801" s="4">
        <v>1066.25</v>
      </c>
      <c r="G1801" s="5">
        <v>56.6</v>
      </c>
      <c r="H1801" s="6">
        <v>15</v>
      </c>
      <c r="I1801" s="2" t="s">
        <v>2117</v>
      </c>
      <c r="J1801" s="2" t="str">
        <v>Facilitate End-To-End Experiences</v>
      </c>
      <c r="K1801" s="2" t="str">
        <v>Office Supplies</v>
      </c>
      <c r="L1801" s="2" t="str">
        <v>Pierce-Goodwin</v>
      </c>
      <c r="M1801" s="2">
        <v>260.52999999999997</v>
      </c>
      <c r="N1801" s="16">
        <f t="shared" si="28"/>
        <v>5.3083235638921457E-2</v>
      </c>
    </row>
    <row r="1802" spans="2:14" ht="14.4" customHeight="1" x14ac:dyDescent="0.3">
      <c r="B1802" s="2" t="s">
        <v>1807</v>
      </c>
      <c r="C1802" s="3">
        <v>43894</v>
      </c>
      <c r="D1802" s="2" t="s">
        <v>2010</v>
      </c>
      <c r="E1802" s="2" t="s">
        <v>2027</v>
      </c>
      <c r="F1802" s="4">
        <v>4180.13</v>
      </c>
      <c r="G1802" s="5">
        <v>418.87</v>
      </c>
      <c r="H1802" s="6">
        <v>4</v>
      </c>
      <c r="I1802" s="2" t="s">
        <v>2117</v>
      </c>
      <c r="J1802" s="2" t="str">
        <v>Monetize Value-Added Niches</v>
      </c>
      <c r="K1802" s="2" t="str">
        <v>Office Supplies</v>
      </c>
      <c r="L1802" s="2" t="str">
        <v>Foster, Velazquez and Lee</v>
      </c>
      <c r="M1802" s="2">
        <v>171.51</v>
      </c>
      <c r="N1802" s="16">
        <f t="shared" si="28"/>
        <v>0.10020501754730116</v>
      </c>
    </row>
    <row r="1803" spans="2:14" ht="14.4" customHeight="1" x14ac:dyDescent="0.3">
      <c r="B1803" s="2" t="s">
        <v>1808</v>
      </c>
      <c r="C1803" s="3">
        <v>43893</v>
      </c>
      <c r="D1803" s="2" t="s">
        <v>2009</v>
      </c>
      <c r="E1803" s="2" t="s">
        <v>2080</v>
      </c>
      <c r="F1803" s="4">
        <v>2964.22</v>
      </c>
      <c r="G1803" s="5">
        <v>975.28</v>
      </c>
      <c r="H1803" s="6">
        <v>4</v>
      </c>
      <c r="I1803" s="2" t="s">
        <v>2118</v>
      </c>
      <c r="J1803" s="2" t="str">
        <v>Scale Vertical Networks</v>
      </c>
      <c r="K1803" s="2" t="str">
        <v>Furniture</v>
      </c>
      <c r="L1803" s="2" t="str">
        <v>Lam, Wood and Jacobs</v>
      </c>
      <c r="M1803" s="2">
        <v>133.24</v>
      </c>
      <c r="N1803" s="16">
        <f t="shared" si="28"/>
        <v>0.32901741436195697</v>
      </c>
    </row>
    <row r="1804" spans="2:14" ht="14.4" customHeight="1" x14ac:dyDescent="0.3">
      <c r="B1804" s="2" t="s">
        <v>1809</v>
      </c>
      <c r="C1804" s="3">
        <v>44470</v>
      </c>
      <c r="D1804" s="2" t="s">
        <v>2010</v>
      </c>
      <c r="E1804" s="2" t="s">
        <v>2031</v>
      </c>
      <c r="F1804" s="4">
        <v>1600.71</v>
      </c>
      <c r="G1804" s="5">
        <v>274.22000000000003</v>
      </c>
      <c r="H1804" s="6">
        <v>6</v>
      </c>
      <c r="I1804" s="2" t="s">
        <v>2117</v>
      </c>
      <c r="J1804" s="2" t="str">
        <v>Embrace 24/365 Functionalities</v>
      </c>
      <c r="K1804" s="2" t="str">
        <v>Office Supplies</v>
      </c>
      <c r="L1804" s="2" t="str">
        <v>Smith LLC</v>
      </c>
      <c r="M1804" s="2">
        <v>204.04</v>
      </c>
      <c r="N1804" s="16">
        <f t="shared" si="28"/>
        <v>0.17131148053051459</v>
      </c>
    </row>
    <row r="1805" spans="2:14" ht="14.4" customHeight="1" x14ac:dyDescent="0.3">
      <c r="B1805" s="2" t="s">
        <v>1810</v>
      </c>
      <c r="C1805" s="3">
        <v>44825</v>
      </c>
      <c r="D1805" s="2" t="s">
        <v>2011</v>
      </c>
      <c r="E1805" s="2" t="s">
        <v>2083</v>
      </c>
      <c r="F1805" s="4">
        <v>3299.85</v>
      </c>
      <c r="G1805" s="5">
        <v>467.91</v>
      </c>
      <c r="H1805" s="6">
        <v>12</v>
      </c>
      <c r="I1805" s="2" t="s">
        <v>2117</v>
      </c>
      <c r="J1805" s="2" t="str">
        <v>Whiteboard Sticky Content</v>
      </c>
      <c r="K1805" s="2" t="str">
        <v>Furniture</v>
      </c>
      <c r="L1805" s="2" t="str">
        <v>Wolfe Group</v>
      </c>
      <c r="M1805" s="2">
        <v>82.16</v>
      </c>
      <c r="N1805" s="16">
        <f t="shared" si="28"/>
        <v>0.14179735442520117</v>
      </c>
    </row>
    <row r="1806" spans="2:14" ht="14.4" customHeight="1" x14ac:dyDescent="0.3">
      <c r="B1806" s="2" t="s">
        <v>1811</v>
      </c>
      <c r="C1806" s="3">
        <v>45469</v>
      </c>
      <c r="D1806" s="2" t="s">
        <v>2010</v>
      </c>
      <c r="E1806" s="2" t="s">
        <v>2046</v>
      </c>
      <c r="F1806" s="4">
        <v>659.18</v>
      </c>
      <c r="G1806" s="5">
        <v>639.9</v>
      </c>
      <c r="H1806" s="6">
        <v>6</v>
      </c>
      <c r="I1806" s="2" t="s">
        <v>2117</v>
      </c>
      <c r="J1806" s="2" t="str">
        <v>Facilitate End-To-End Experiences</v>
      </c>
      <c r="K1806" s="2" t="str">
        <v>Office Supplies</v>
      </c>
      <c r="L1806" s="2" t="str">
        <v>Pierce-Goodwin</v>
      </c>
      <c r="M1806" s="2">
        <v>260.52999999999997</v>
      </c>
      <c r="N1806" s="16">
        <f t="shared" si="28"/>
        <v>0.97075153979186268</v>
      </c>
    </row>
    <row r="1807" spans="2:14" ht="14.4" customHeight="1" x14ac:dyDescent="0.3">
      <c r="B1807" s="2" t="s">
        <v>1812</v>
      </c>
      <c r="C1807" s="3">
        <v>43841</v>
      </c>
      <c r="D1807" s="2" t="s">
        <v>2011</v>
      </c>
      <c r="E1807" s="2" t="s">
        <v>2073</v>
      </c>
      <c r="F1807" s="4">
        <v>2923.28</v>
      </c>
      <c r="G1807" s="5">
        <v>558.9</v>
      </c>
      <c r="H1807" s="6">
        <v>18</v>
      </c>
      <c r="I1807" s="2" t="s">
        <v>2118</v>
      </c>
      <c r="J1807" s="2" t="str">
        <v>Visualize Dynamic E-Commerce</v>
      </c>
      <c r="K1807" s="2" t="str">
        <v>Furniture</v>
      </c>
      <c r="L1807" s="2" t="str">
        <v>Jones LLC</v>
      </c>
      <c r="M1807" s="2">
        <v>92.61</v>
      </c>
      <c r="N1807" s="16">
        <f t="shared" si="28"/>
        <v>0.19118934895049394</v>
      </c>
    </row>
    <row r="1808" spans="2:14" ht="14.4" customHeight="1" x14ac:dyDescent="0.3">
      <c r="B1808" s="2" t="s">
        <v>1813</v>
      </c>
      <c r="C1808" s="3">
        <v>45129</v>
      </c>
      <c r="D1808" s="2" t="s">
        <v>2012</v>
      </c>
      <c r="E1808" s="2" t="s">
        <v>2054</v>
      </c>
      <c r="F1808" s="4">
        <v>3206.96</v>
      </c>
      <c r="G1808" s="5">
        <v>992.19</v>
      </c>
      <c r="H1808" s="6">
        <v>1</v>
      </c>
      <c r="I1808" s="2" t="s">
        <v>2116</v>
      </c>
      <c r="J1808" s="2" t="str">
        <v>Empower Killer Info-Mediaries</v>
      </c>
      <c r="K1808" s="2" t="str">
        <v>Furniture</v>
      </c>
      <c r="L1808" s="2" t="str">
        <v>Jones Ltd</v>
      </c>
      <c r="M1808" s="2">
        <v>213.24</v>
      </c>
      <c r="N1808" s="16">
        <f t="shared" si="28"/>
        <v>0.30938645945069476</v>
      </c>
    </row>
    <row r="1809" spans="2:14" ht="14.4" customHeight="1" x14ac:dyDescent="0.3">
      <c r="B1809" s="2" t="s">
        <v>1814</v>
      </c>
      <c r="C1809" s="3">
        <v>43872</v>
      </c>
      <c r="D1809" s="2" t="s">
        <v>2009</v>
      </c>
      <c r="E1809" s="2" t="s">
        <v>2102</v>
      </c>
      <c r="F1809" s="4">
        <v>3638.53</v>
      </c>
      <c r="G1809" s="5">
        <v>401.01</v>
      </c>
      <c r="H1809" s="6">
        <v>7</v>
      </c>
      <c r="I1809" s="2" t="s">
        <v>2118</v>
      </c>
      <c r="J1809" s="2" t="str">
        <v>Re-Contextualize Viral Mindshare</v>
      </c>
      <c r="K1809" s="2" t="str">
        <v>Electronics</v>
      </c>
      <c r="L1809" s="2" t="str">
        <v>Carter-Lane</v>
      </c>
      <c r="M1809" s="2">
        <v>142.25</v>
      </c>
      <c r="N1809" s="16">
        <f t="shared" si="28"/>
        <v>0.11021209114669935</v>
      </c>
    </row>
    <row r="1810" spans="2:14" ht="14.4" customHeight="1" x14ac:dyDescent="0.3">
      <c r="B1810" s="2" t="s">
        <v>1815</v>
      </c>
      <c r="C1810" s="3">
        <v>44017</v>
      </c>
      <c r="D1810" s="2" t="s">
        <v>2010</v>
      </c>
      <c r="E1810" s="2" t="s">
        <v>2054</v>
      </c>
      <c r="F1810" s="4">
        <v>3071.59</v>
      </c>
      <c r="G1810" s="5">
        <v>763.83</v>
      </c>
      <c r="H1810" s="6">
        <v>2</v>
      </c>
      <c r="I1810" s="2" t="s">
        <v>2118</v>
      </c>
      <c r="J1810" s="2" t="str">
        <v>Empower Killer Info-Mediaries</v>
      </c>
      <c r="K1810" s="2" t="str">
        <v>Furniture</v>
      </c>
      <c r="L1810" s="2" t="str">
        <v>Jones Ltd</v>
      </c>
      <c r="M1810" s="2">
        <v>213.24</v>
      </c>
      <c r="N1810" s="16">
        <f t="shared" si="28"/>
        <v>0.248675767273627</v>
      </c>
    </row>
    <row r="1811" spans="2:14" ht="14.4" customHeight="1" x14ac:dyDescent="0.3">
      <c r="B1811" s="2" t="s">
        <v>1816</v>
      </c>
      <c r="C1811" s="3">
        <v>45268</v>
      </c>
      <c r="D1811" s="2" t="s">
        <v>2009</v>
      </c>
      <c r="E1811" s="2" t="s">
        <v>2019</v>
      </c>
      <c r="F1811" s="4">
        <v>4794.3500000000004</v>
      </c>
      <c r="G1811" s="5">
        <v>836.18</v>
      </c>
      <c r="H1811" s="6">
        <v>1</v>
      </c>
      <c r="I1811" s="2" t="s">
        <v>2116</v>
      </c>
      <c r="J1811" s="2" t="str">
        <v>Implement Clicks-And-Mortar Partnerships</v>
      </c>
      <c r="K1811" s="2" t="str">
        <v>Electronics</v>
      </c>
      <c r="L1811" s="2" t="str">
        <v>Smith Inc</v>
      </c>
      <c r="M1811" s="2">
        <v>195.53</v>
      </c>
      <c r="N1811" s="16">
        <f t="shared" si="28"/>
        <v>0.17440946113654612</v>
      </c>
    </row>
    <row r="1812" spans="2:14" ht="14.4" customHeight="1" x14ac:dyDescent="0.3">
      <c r="B1812" s="2" t="s">
        <v>1817</v>
      </c>
      <c r="C1812" s="3">
        <v>44840</v>
      </c>
      <c r="D1812" s="2" t="s">
        <v>2011</v>
      </c>
      <c r="E1812" s="2" t="s">
        <v>2111</v>
      </c>
      <c r="F1812" s="4">
        <v>537.89</v>
      </c>
      <c r="G1812" s="5">
        <v>663.63</v>
      </c>
      <c r="H1812" s="6">
        <v>6</v>
      </c>
      <c r="I1812" s="2" t="s">
        <v>2118</v>
      </c>
      <c r="J1812" s="2" t="str">
        <v>Evolve Intuitive Bandwidth</v>
      </c>
      <c r="K1812" s="2" t="str">
        <v>Office Supplies</v>
      </c>
      <c r="L1812" s="2" t="str">
        <v>Rogers Group</v>
      </c>
      <c r="M1812" s="2">
        <v>131.63</v>
      </c>
      <c r="N1812" s="16">
        <f t="shared" si="28"/>
        <v>1.2337652679915969</v>
      </c>
    </row>
    <row r="1813" spans="2:14" ht="14.4" customHeight="1" x14ac:dyDescent="0.3">
      <c r="B1813" s="2" t="s">
        <v>1818</v>
      </c>
      <c r="C1813" s="3">
        <v>43847</v>
      </c>
      <c r="D1813" s="2" t="s">
        <v>2012</v>
      </c>
      <c r="E1813" s="2" t="s">
        <v>2061</v>
      </c>
      <c r="F1813" s="4">
        <v>4469.6499999999996</v>
      </c>
      <c r="G1813" s="5">
        <v>244.77</v>
      </c>
      <c r="H1813" s="6">
        <v>20</v>
      </c>
      <c r="I1813" s="2" t="s">
        <v>2118</v>
      </c>
      <c r="J1813" s="2" t="str">
        <v>Optimize Collaborative Initiatives</v>
      </c>
      <c r="K1813" s="2" t="str">
        <v>Electronics</v>
      </c>
      <c r="L1813" s="2" t="str">
        <v>Adkins Ltd</v>
      </c>
      <c r="M1813" s="2">
        <v>34.46</v>
      </c>
      <c r="N1813" s="16">
        <f t="shared" si="28"/>
        <v>5.4762677167115997E-2</v>
      </c>
    </row>
    <row r="1814" spans="2:14" ht="14.4" customHeight="1" x14ac:dyDescent="0.3">
      <c r="B1814" s="2" t="s">
        <v>1819</v>
      </c>
      <c r="C1814" s="3">
        <v>45393</v>
      </c>
      <c r="D1814" s="2" t="s">
        <v>2010</v>
      </c>
      <c r="E1814" s="2" t="s">
        <v>2040</v>
      </c>
      <c r="F1814" s="4">
        <v>4060.98</v>
      </c>
      <c r="G1814" s="5">
        <v>825.62</v>
      </c>
      <c r="H1814" s="6">
        <v>14</v>
      </c>
      <c r="I1814" s="2" t="s">
        <v>2118</v>
      </c>
      <c r="J1814" s="2" t="str">
        <v>Synergize End-To-End Supply-Chains</v>
      </c>
      <c r="K1814" s="2" t="str">
        <v>Office Supplies</v>
      </c>
      <c r="L1814" s="2" t="str">
        <v>Higgins-Espinoza</v>
      </c>
      <c r="M1814" s="2">
        <v>279.8</v>
      </c>
      <c r="N1814" s="16">
        <f t="shared" si="28"/>
        <v>0.20330560603598147</v>
      </c>
    </row>
    <row r="1815" spans="2:14" ht="14.4" customHeight="1" x14ac:dyDescent="0.3">
      <c r="B1815" s="2" t="s">
        <v>1820</v>
      </c>
      <c r="C1815" s="3">
        <v>43957</v>
      </c>
      <c r="D1815" s="2" t="s">
        <v>2011</v>
      </c>
      <c r="E1815" s="2" t="s">
        <v>2075</v>
      </c>
      <c r="F1815" s="4">
        <v>3945.56</v>
      </c>
      <c r="G1815" s="5">
        <v>320.31</v>
      </c>
      <c r="H1815" s="6">
        <v>3</v>
      </c>
      <c r="I1815" s="2" t="s">
        <v>2116</v>
      </c>
      <c r="J1815" s="2" t="str">
        <v>Reinvent Visionary Niches</v>
      </c>
      <c r="K1815" s="2" t="str">
        <v>Furniture</v>
      </c>
      <c r="L1815" s="2" t="str">
        <v>Huber-Richmond</v>
      </c>
      <c r="M1815" s="2">
        <v>219.81</v>
      </c>
      <c r="N1815" s="16">
        <f t="shared" si="28"/>
        <v>8.1182392360019867E-2</v>
      </c>
    </row>
    <row r="1816" spans="2:14" ht="14.4" customHeight="1" x14ac:dyDescent="0.3">
      <c r="B1816" s="2" t="s">
        <v>1821</v>
      </c>
      <c r="C1816" s="3">
        <v>45549</v>
      </c>
      <c r="D1816" s="2" t="s">
        <v>2009</v>
      </c>
      <c r="E1816" s="2" t="s">
        <v>2099</v>
      </c>
      <c r="F1816" s="4">
        <v>3189.26</v>
      </c>
      <c r="G1816" s="5">
        <v>431.62</v>
      </c>
      <c r="H1816" s="6">
        <v>2</v>
      </c>
      <c r="I1816" s="2" t="s">
        <v>2117</v>
      </c>
      <c r="J1816" s="2" t="str">
        <v>Synergize Cross-Platform Vortals</v>
      </c>
      <c r="K1816" s="2" t="str">
        <v>Furniture</v>
      </c>
      <c r="L1816" s="2" t="str">
        <v>Edwards Group</v>
      </c>
      <c r="M1816" s="2">
        <v>87.18</v>
      </c>
      <c r="N1816" s="16">
        <f t="shared" si="28"/>
        <v>0.1353354696700802</v>
      </c>
    </row>
    <row r="1817" spans="2:14" ht="14.4" customHeight="1" x14ac:dyDescent="0.3">
      <c r="B1817" s="2" t="s">
        <v>1822</v>
      </c>
      <c r="C1817" s="3">
        <v>44268</v>
      </c>
      <c r="D1817" s="2" t="s">
        <v>2010</v>
      </c>
      <c r="E1817" s="2" t="s">
        <v>2031</v>
      </c>
      <c r="F1817" s="4">
        <v>1600.06</v>
      </c>
      <c r="G1817" s="5">
        <v>797.56</v>
      </c>
      <c r="H1817" s="6">
        <v>7</v>
      </c>
      <c r="I1817" s="2" t="s">
        <v>2116</v>
      </c>
      <c r="J1817" s="2" t="str">
        <v>Embrace 24/365 Functionalities</v>
      </c>
      <c r="K1817" s="2" t="str">
        <v>Office Supplies</v>
      </c>
      <c r="L1817" s="2" t="str">
        <v>Smith LLC</v>
      </c>
      <c r="M1817" s="2">
        <v>204.04</v>
      </c>
      <c r="N1817" s="16">
        <f t="shared" si="28"/>
        <v>0.49845630788845419</v>
      </c>
    </row>
    <row r="1818" spans="2:14" ht="14.4" customHeight="1" x14ac:dyDescent="0.3">
      <c r="B1818" s="2" t="s">
        <v>1823</v>
      </c>
      <c r="C1818" s="3">
        <v>44895</v>
      </c>
      <c r="D1818" s="2" t="s">
        <v>2011</v>
      </c>
      <c r="E1818" s="2" t="s">
        <v>2087</v>
      </c>
      <c r="F1818" s="4">
        <v>4611.1099999999997</v>
      </c>
      <c r="G1818" s="5">
        <v>628.63</v>
      </c>
      <c r="H1818" s="6">
        <v>20</v>
      </c>
      <c r="I1818" s="2" t="s">
        <v>2118</v>
      </c>
      <c r="J1818" s="2" t="str">
        <v>Empower Seamless Roi</v>
      </c>
      <c r="K1818" s="2" t="str">
        <v>Office Supplies</v>
      </c>
      <c r="L1818" s="2" t="str">
        <v>Proctor Group</v>
      </c>
      <c r="M1818" s="2">
        <v>266.64999999999998</v>
      </c>
      <c r="N1818" s="16">
        <f t="shared" si="28"/>
        <v>0.13632943044082663</v>
      </c>
    </row>
    <row r="1819" spans="2:14" ht="14.4" customHeight="1" x14ac:dyDescent="0.3">
      <c r="B1819" s="2" t="s">
        <v>1824</v>
      </c>
      <c r="C1819" s="3">
        <v>44885</v>
      </c>
      <c r="D1819" s="2" t="s">
        <v>2010</v>
      </c>
      <c r="E1819" s="2" t="s">
        <v>2056</v>
      </c>
      <c r="F1819" s="4">
        <v>889.89</v>
      </c>
      <c r="G1819" s="5">
        <v>757.14</v>
      </c>
      <c r="H1819" s="6">
        <v>12</v>
      </c>
      <c r="I1819" s="2" t="s">
        <v>2117</v>
      </c>
      <c r="J1819" s="2" t="str">
        <v>Mesh Intuitive Supply-Chains</v>
      </c>
      <c r="K1819" s="2" t="str">
        <v>Electronics</v>
      </c>
      <c r="L1819" s="2" t="str">
        <v>Soto, Barnett and Heath</v>
      </c>
      <c r="M1819" s="2">
        <v>281</v>
      </c>
      <c r="N1819" s="16">
        <f t="shared" si="28"/>
        <v>0.85082425917810067</v>
      </c>
    </row>
    <row r="1820" spans="2:14" ht="14.4" customHeight="1" x14ac:dyDescent="0.3">
      <c r="B1820" s="2" t="s">
        <v>1825</v>
      </c>
      <c r="C1820" s="3">
        <v>43981</v>
      </c>
      <c r="D1820" s="2" t="s">
        <v>2011</v>
      </c>
      <c r="E1820" s="2" t="s">
        <v>2076</v>
      </c>
      <c r="F1820" s="4">
        <v>2980.32</v>
      </c>
      <c r="G1820" s="5">
        <v>72.37</v>
      </c>
      <c r="H1820" s="6">
        <v>4</v>
      </c>
      <c r="I1820" s="2" t="s">
        <v>2116</v>
      </c>
      <c r="J1820" s="2" t="str">
        <v>Deliver Extensible Partnerships</v>
      </c>
      <c r="K1820" s="2" t="str">
        <v>Furniture</v>
      </c>
      <c r="L1820" s="2" t="str">
        <v>Martin, Paul and Salazar</v>
      </c>
      <c r="M1820" s="2">
        <v>43.76</v>
      </c>
      <c r="N1820" s="16">
        <f t="shared" si="28"/>
        <v>2.4282627368873141E-2</v>
      </c>
    </row>
    <row r="1821" spans="2:14" ht="14.4" customHeight="1" x14ac:dyDescent="0.3">
      <c r="B1821" s="2" t="s">
        <v>1826</v>
      </c>
      <c r="C1821" s="3">
        <v>44194</v>
      </c>
      <c r="D1821" s="2" t="s">
        <v>2010</v>
      </c>
      <c r="E1821" s="2" t="s">
        <v>2048</v>
      </c>
      <c r="F1821" s="4">
        <v>3183.97</v>
      </c>
      <c r="G1821" s="5">
        <v>150.97</v>
      </c>
      <c r="H1821" s="6">
        <v>17</v>
      </c>
      <c r="I1821" s="2" t="s">
        <v>2118</v>
      </c>
      <c r="J1821" s="2" t="str">
        <v>Drive Compelling E-Services</v>
      </c>
      <c r="K1821" s="2" t="str">
        <v>Office Supplies</v>
      </c>
      <c r="L1821" s="2" t="str">
        <v>Morris-Villanueva</v>
      </c>
      <c r="M1821" s="2">
        <v>27.22</v>
      </c>
      <c r="N1821" s="16">
        <f t="shared" si="28"/>
        <v>4.7415647760500258E-2</v>
      </c>
    </row>
    <row r="1822" spans="2:14" ht="14.4" customHeight="1" x14ac:dyDescent="0.3">
      <c r="B1822" s="2" t="s">
        <v>1827</v>
      </c>
      <c r="C1822" s="3">
        <v>44817</v>
      </c>
      <c r="D1822" s="2" t="s">
        <v>2012</v>
      </c>
      <c r="E1822" s="2" t="s">
        <v>2101</v>
      </c>
      <c r="F1822" s="4">
        <v>2809.11</v>
      </c>
      <c r="G1822" s="5">
        <v>764.44</v>
      </c>
      <c r="H1822" s="6">
        <v>20</v>
      </c>
      <c r="I1822" s="2" t="s">
        <v>2116</v>
      </c>
      <c r="J1822" s="2" t="str">
        <v>Deploy Granular Channels</v>
      </c>
      <c r="K1822" s="2" t="str">
        <v>Furniture</v>
      </c>
      <c r="L1822" s="2" t="str">
        <v>Barnes Ltd</v>
      </c>
      <c r="M1822" s="2">
        <v>288.99</v>
      </c>
      <c r="N1822" s="16">
        <f t="shared" si="28"/>
        <v>0.2721288949168954</v>
      </c>
    </row>
    <row r="1823" spans="2:14" ht="14.4" customHeight="1" x14ac:dyDescent="0.3">
      <c r="B1823" s="2" t="s">
        <v>1828</v>
      </c>
      <c r="C1823" s="3">
        <v>44909</v>
      </c>
      <c r="D1823" s="2" t="s">
        <v>2009</v>
      </c>
      <c r="E1823" s="2" t="s">
        <v>2013</v>
      </c>
      <c r="F1823" s="4">
        <v>2428.87</v>
      </c>
      <c r="G1823" s="5">
        <v>224.14</v>
      </c>
      <c r="H1823" s="6">
        <v>15</v>
      </c>
      <c r="I1823" s="2" t="s">
        <v>2117</v>
      </c>
      <c r="J1823" s="2" t="str">
        <v>Re-Intermediate Seamless Applications</v>
      </c>
      <c r="K1823" s="2" t="str">
        <v>Office Supplies</v>
      </c>
      <c r="L1823" s="2" t="str">
        <v>Welch-Reed</v>
      </c>
      <c r="M1823" s="2">
        <v>45.82</v>
      </c>
      <c r="N1823" s="16">
        <f t="shared" si="28"/>
        <v>9.2281595968495639E-2</v>
      </c>
    </row>
    <row r="1824" spans="2:14" ht="14.4" customHeight="1" x14ac:dyDescent="0.3">
      <c r="B1824" s="2" t="s">
        <v>1829</v>
      </c>
      <c r="C1824" s="3">
        <v>45102</v>
      </c>
      <c r="D1824" s="2" t="s">
        <v>2012</v>
      </c>
      <c r="E1824" s="2" t="s">
        <v>2099</v>
      </c>
      <c r="F1824" s="4">
        <v>3140.74</v>
      </c>
      <c r="G1824" s="5">
        <v>704.35</v>
      </c>
      <c r="H1824" s="6">
        <v>11</v>
      </c>
      <c r="I1824" s="2" t="s">
        <v>2117</v>
      </c>
      <c r="J1824" s="2" t="str">
        <v>Synergize Cross-Platform Vortals</v>
      </c>
      <c r="K1824" s="2" t="str">
        <v>Furniture</v>
      </c>
      <c r="L1824" s="2" t="str">
        <v>Edwards Group</v>
      </c>
      <c r="M1824" s="2">
        <v>87.18</v>
      </c>
      <c r="N1824" s="16">
        <f t="shared" si="28"/>
        <v>0.22426243496755544</v>
      </c>
    </row>
    <row r="1825" spans="2:14" ht="14.4" customHeight="1" x14ac:dyDescent="0.3">
      <c r="B1825" s="2" t="s">
        <v>1830</v>
      </c>
      <c r="C1825" s="3">
        <v>44505</v>
      </c>
      <c r="D1825" s="2" t="s">
        <v>2011</v>
      </c>
      <c r="E1825" s="2" t="s">
        <v>2020</v>
      </c>
      <c r="F1825" s="4">
        <v>1410.99</v>
      </c>
      <c r="G1825" s="5">
        <v>37.18</v>
      </c>
      <c r="H1825" s="6">
        <v>15</v>
      </c>
      <c r="I1825" s="2" t="s">
        <v>2118</v>
      </c>
      <c r="J1825" s="2" t="str">
        <v>Harness Revolutionary Interfaces</v>
      </c>
      <c r="K1825" s="2" t="str">
        <v>Furniture</v>
      </c>
      <c r="L1825" s="2" t="str">
        <v>Davis, Short and Nguyen</v>
      </c>
      <c r="M1825" s="2">
        <v>26.49</v>
      </c>
      <c r="N1825" s="16">
        <f t="shared" si="28"/>
        <v>2.6350293056648169E-2</v>
      </c>
    </row>
    <row r="1826" spans="2:14" ht="14.4" customHeight="1" x14ac:dyDescent="0.3">
      <c r="B1826" s="2" t="s">
        <v>1831</v>
      </c>
      <c r="C1826" s="3">
        <v>44876</v>
      </c>
      <c r="D1826" s="2" t="s">
        <v>2010</v>
      </c>
      <c r="E1826" s="2" t="s">
        <v>2053</v>
      </c>
      <c r="F1826" s="4">
        <v>1078.1199999999999</v>
      </c>
      <c r="G1826" s="5">
        <v>583.45000000000005</v>
      </c>
      <c r="H1826" s="6">
        <v>8</v>
      </c>
      <c r="I1826" s="2" t="s">
        <v>2117</v>
      </c>
      <c r="J1826" s="2" t="str">
        <v>Transition Mission-Critical Interfaces</v>
      </c>
      <c r="K1826" s="2" t="str">
        <v>Office Supplies</v>
      </c>
      <c r="L1826" s="2" t="str">
        <v>Weaver Ltd</v>
      </c>
      <c r="M1826" s="2">
        <v>34.64</v>
      </c>
      <c r="N1826" s="16">
        <f t="shared" si="28"/>
        <v>0.54117352428301124</v>
      </c>
    </row>
    <row r="1827" spans="2:14" ht="14.4" customHeight="1" x14ac:dyDescent="0.3">
      <c r="B1827" s="2" t="s">
        <v>1832</v>
      </c>
      <c r="C1827" s="3">
        <v>44260</v>
      </c>
      <c r="D1827" s="2" t="s">
        <v>2011</v>
      </c>
      <c r="E1827" s="2" t="s">
        <v>2021</v>
      </c>
      <c r="F1827" s="4">
        <v>3064.26</v>
      </c>
      <c r="G1827" s="5">
        <v>955.36</v>
      </c>
      <c r="H1827" s="6">
        <v>11</v>
      </c>
      <c r="I1827" s="2" t="s">
        <v>2118</v>
      </c>
      <c r="J1827" s="2" t="str">
        <v>Whiteboard Compelling Experiences</v>
      </c>
      <c r="K1827" s="2" t="str">
        <v>Furniture</v>
      </c>
      <c r="L1827" s="2" t="str">
        <v>Carrillo, Carr and Ball</v>
      </c>
      <c r="M1827" s="2">
        <v>206.54</v>
      </c>
      <c r="N1827" s="16">
        <f t="shared" si="28"/>
        <v>0.31177511046712747</v>
      </c>
    </row>
    <row r="1828" spans="2:14" ht="14.4" customHeight="1" x14ac:dyDescent="0.3">
      <c r="B1828" s="2" t="s">
        <v>1833</v>
      </c>
      <c r="C1828" s="3">
        <v>44538</v>
      </c>
      <c r="D1828" s="2" t="s">
        <v>2009</v>
      </c>
      <c r="E1828" s="2" t="s">
        <v>2095</v>
      </c>
      <c r="F1828" s="4">
        <v>4747.28</v>
      </c>
      <c r="G1828" s="5">
        <v>649.02</v>
      </c>
      <c r="H1828" s="6">
        <v>18</v>
      </c>
      <c r="I1828" s="2" t="s">
        <v>2116</v>
      </c>
      <c r="J1828" s="2" t="str">
        <v>Envisioneer B2B Users</v>
      </c>
      <c r="K1828" s="2" t="str">
        <v>Office Supplies</v>
      </c>
      <c r="L1828" s="2" t="str">
        <v>Rogers Group</v>
      </c>
      <c r="M1828" s="2">
        <v>239.16</v>
      </c>
      <c r="N1828" s="16">
        <f t="shared" si="28"/>
        <v>0.13671407627104362</v>
      </c>
    </row>
    <row r="1829" spans="2:14" ht="14.4" customHeight="1" x14ac:dyDescent="0.3">
      <c r="B1829" s="2" t="s">
        <v>1834</v>
      </c>
      <c r="C1829" s="3">
        <v>45428</v>
      </c>
      <c r="D1829" s="2" t="s">
        <v>2011</v>
      </c>
      <c r="E1829" s="2" t="s">
        <v>2061</v>
      </c>
      <c r="F1829" s="4">
        <v>2467.5100000000002</v>
      </c>
      <c r="G1829" s="5">
        <v>297.25</v>
      </c>
      <c r="H1829" s="6">
        <v>3</v>
      </c>
      <c r="I1829" s="2" t="s">
        <v>2118</v>
      </c>
      <c r="J1829" s="2" t="str">
        <v>Optimize Collaborative Initiatives</v>
      </c>
      <c r="K1829" s="2" t="str">
        <v>Electronics</v>
      </c>
      <c r="L1829" s="2" t="str">
        <v>Adkins Ltd</v>
      </c>
      <c r="M1829" s="2">
        <v>34.46</v>
      </c>
      <c r="N1829" s="16">
        <f t="shared" si="28"/>
        <v>0.12046557055493189</v>
      </c>
    </row>
    <row r="1830" spans="2:14" ht="14.4" customHeight="1" x14ac:dyDescent="0.3">
      <c r="B1830" s="2" t="s">
        <v>1835</v>
      </c>
      <c r="C1830" s="3">
        <v>44696</v>
      </c>
      <c r="D1830" s="2" t="s">
        <v>2011</v>
      </c>
      <c r="E1830" s="2" t="s">
        <v>2090</v>
      </c>
      <c r="F1830" s="4">
        <v>4675.03</v>
      </c>
      <c r="G1830" s="5">
        <v>25.8</v>
      </c>
      <c r="H1830" s="6">
        <v>18</v>
      </c>
      <c r="I1830" s="2" t="s">
        <v>2117</v>
      </c>
      <c r="J1830" s="2" t="str">
        <v>Empower Bleeding-Edge Action-Items</v>
      </c>
      <c r="K1830" s="2" t="str">
        <v>Furniture</v>
      </c>
      <c r="L1830" s="2" t="str">
        <v>Gray, Hayes and Banks</v>
      </c>
      <c r="M1830" s="2">
        <v>204.26</v>
      </c>
      <c r="N1830" s="16">
        <f t="shared" si="28"/>
        <v>5.5186811635433361E-3</v>
      </c>
    </row>
    <row r="1831" spans="2:14" ht="14.4" customHeight="1" x14ac:dyDescent="0.3">
      <c r="B1831" s="2" t="s">
        <v>1836</v>
      </c>
      <c r="C1831" s="3">
        <v>45472</v>
      </c>
      <c r="D1831" s="2" t="s">
        <v>2009</v>
      </c>
      <c r="E1831" s="2" t="s">
        <v>2013</v>
      </c>
      <c r="F1831" s="4">
        <v>2462.86</v>
      </c>
      <c r="G1831" s="5">
        <v>863.51</v>
      </c>
      <c r="H1831" s="6">
        <v>16</v>
      </c>
      <c r="I1831" s="2" t="s">
        <v>2117</v>
      </c>
      <c r="J1831" s="2" t="str">
        <v>Re-Intermediate Seamless Applications</v>
      </c>
      <c r="K1831" s="2" t="str">
        <v>Office Supplies</v>
      </c>
      <c r="L1831" s="2" t="str">
        <v>Welch-Reed</v>
      </c>
      <c r="M1831" s="2">
        <v>45.82</v>
      </c>
      <c r="N1831" s="16">
        <f t="shared" si="28"/>
        <v>0.35061270230544972</v>
      </c>
    </row>
    <row r="1832" spans="2:14" ht="14.4" customHeight="1" x14ac:dyDescent="0.3">
      <c r="B1832" s="2" t="s">
        <v>1837</v>
      </c>
      <c r="C1832" s="3">
        <v>44339</v>
      </c>
      <c r="D1832" s="2" t="s">
        <v>2011</v>
      </c>
      <c r="E1832" s="2" t="s">
        <v>2087</v>
      </c>
      <c r="F1832" s="4">
        <v>3768.17</v>
      </c>
      <c r="G1832" s="5">
        <v>459.07</v>
      </c>
      <c r="H1832" s="6">
        <v>15</v>
      </c>
      <c r="I1832" s="2" t="s">
        <v>2117</v>
      </c>
      <c r="J1832" s="2" t="str">
        <v>Empower Seamless Roi</v>
      </c>
      <c r="K1832" s="2" t="str">
        <v>Office Supplies</v>
      </c>
      <c r="L1832" s="2" t="str">
        <v>Proctor Group</v>
      </c>
      <c r="M1832" s="2">
        <v>266.64999999999998</v>
      </c>
      <c r="N1832" s="16">
        <f t="shared" si="28"/>
        <v>0.12182836761611074</v>
      </c>
    </row>
    <row r="1833" spans="2:14" ht="14.4" customHeight="1" x14ac:dyDescent="0.3">
      <c r="B1833" s="2" t="s">
        <v>1838</v>
      </c>
      <c r="C1833" s="3">
        <v>45123</v>
      </c>
      <c r="D1833" s="2" t="s">
        <v>2012</v>
      </c>
      <c r="E1833" s="2" t="s">
        <v>2040</v>
      </c>
      <c r="F1833" s="4">
        <v>2093.63</v>
      </c>
      <c r="G1833" s="5">
        <v>524.30999999999995</v>
      </c>
      <c r="H1833" s="6">
        <v>8</v>
      </c>
      <c r="I1833" s="2" t="s">
        <v>2116</v>
      </c>
      <c r="J1833" s="2" t="str">
        <v>Synergize End-To-End Supply-Chains</v>
      </c>
      <c r="K1833" s="2" t="str">
        <v>Office Supplies</v>
      </c>
      <c r="L1833" s="2" t="str">
        <v>Higgins-Espinoza</v>
      </c>
      <c r="M1833" s="2">
        <v>279.8</v>
      </c>
      <c r="N1833" s="16">
        <f t="shared" si="28"/>
        <v>0.25043106948219118</v>
      </c>
    </row>
    <row r="1834" spans="2:14" ht="14.4" customHeight="1" x14ac:dyDescent="0.3">
      <c r="B1834" s="2" t="s">
        <v>1839</v>
      </c>
      <c r="C1834" s="3">
        <v>45579</v>
      </c>
      <c r="D1834" s="2" t="s">
        <v>2011</v>
      </c>
      <c r="E1834" s="2" t="s">
        <v>2073</v>
      </c>
      <c r="F1834" s="4">
        <v>4408.28</v>
      </c>
      <c r="G1834" s="5">
        <v>862.94</v>
      </c>
      <c r="H1834" s="6">
        <v>1</v>
      </c>
      <c r="I1834" s="2" t="s">
        <v>2117</v>
      </c>
      <c r="J1834" s="2" t="str">
        <v>Visualize Dynamic E-Commerce</v>
      </c>
      <c r="K1834" s="2" t="str">
        <v>Furniture</v>
      </c>
      <c r="L1834" s="2" t="str">
        <v>Jones LLC</v>
      </c>
      <c r="M1834" s="2">
        <v>92.61</v>
      </c>
      <c r="N1834" s="16">
        <f t="shared" si="28"/>
        <v>0.19575435317175863</v>
      </c>
    </row>
    <row r="1835" spans="2:14" ht="14.4" customHeight="1" x14ac:dyDescent="0.3">
      <c r="B1835" s="2" t="s">
        <v>1840</v>
      </c>
      <c r="C1835" s="3">
        <v>45513</v>
      </c>
      <c r="D1835" s="2" t="s">
        <v>2012</v>
      </c>
      <c r="E1835" s="2" t="s">
        <v>2052</v>
      </c>
      <c r="F1835" s="4">
        <v>328.21</v>
      </c>
      <c r="G1835" s="5">
        <v>837.79</v>
      </c>
      <c r="H1835" s="6">
        <v>12</v>
      </c>
      <c r="I1835" s="2" t="s">
        <v>2116</v>
      </c>
      <c r="J1835" s="2" t="str">
        <v>Innovate Sticky Web Services</v>
      </c>
      <c r="K1835" s="2" t="str">
        <v>Electronics</v>
      </c>
      <c r="L1835" s="2" t="str">
        <v>Friedman, Sanders and Adams</v>
      </c>
      <c r="M1835" s="2">
        <v>125.85</v>
      </c>
      <c r="N1835" s="16">
        <f t="shared" si="28"/>
        <v>2.5526035160415588</v>
      </c>
    </row>
    <row r="1836" spans="2:14" ht="14.4" customHeight="1" x14ac:dyDescent="0.3">
      <c r="B1836" s="2" t="s">
        <v>1841</v>
      </c>
      <c r="C1836" s="3">
        <v>44820</v>
      </c>
      <c r="D1836" s="2" t="s">
        <v>2010</v>
      </c>
      <c r="E1836" s="2" t="s">
        <v>2099</v>
      </c>
      <c r="F1836" s="4">
        <v>1797.91</v>
      </c>
      <c r="G1836" s="5">
        <v>339.13</v>
      </c>
      <c r="H1836" s="6">
        <v>19</v>
      </c>
      <c r="I1836" s="2" t="s">
        <v>2116</v>
      </c>
      <c r="J1836" s="2" t="str">
        <v>Synergize Cross-Platform Vortals</v>
      </c>
      <c r="K1836" s="2" t="str">
        <v>Furniture</v>
      </c>
      <c r="L1836" s="2" t="str">
        <v>Edwards Group</v>
      </c>
      <c r="M1836" s="2">
        <v>87.18</v>
      </c>
      <c r="N1836" s="16">
        <f t="shared" si="28"/>
        <v>0.18862456963919216</v>
      </c>
    </row>
    <row r="1837" spans="2:14" ht="14.4" customHeight="1" x14ac:dyDescent="0.3">
      <c r="B1837" s="2" t="s">
        <v>1842</v>
      </c>
      <c r="C1837" s="3">
        <v>44361</v>
      </c>
      <c r="D1837" s="2" t="s">
        <v>2009</v>
      </c>
      <c r="E1837" s="2" t="s">
        <v>2089</v>
      </c>
      <c r="F1837" s="4">
        <v>4100.82</v>
      </c>
      <c r="G1837" s="5">
        <v>961.25</v>
      </c>
      <c r="H1837" s="6">
        <v>9</v>
      </c>
      <c r="I1837" s="2" t="s">
        <v>2118</v>
      </c>
      <c r="J1837" s="2" t="str">
        <v>Morph World-Class Synergies</v>
      </c>
      <c r="K1837" s="2" t="str">
        <v>Electronics</v>
      </c>
      <c r="L1837" s="2" t="str">
        <v>Bryant Ltd</v>
      </c>
      <c r="M1837" s="2">
        <v>20.69</v>
      </c>
      <c r="N1837" s="16">
        <f t="shared" si="28"/>
        <v>0.23440433864446625</v>
      </c>
    </row>
    <row r="1838" spans="2:14" ht="14.4" customHeight="1" x14ac:dyDescent="0.3">
      <c r="B1838" s="2" t="s">
        <v>1843</v>
      </c>
      <c r="C1838" s="3">
        <v>44434</v>
      </c>
      <c r="D1838" s="2" t="s">
        <v>2010</v>
      </c>
      <c r="E1838" s="2" t="s">
        <v>2108</v>
      </c>
      <c r="F1838" s="4">
        <v>4589.1099999999997</v>
      </c>
      <c r="G1838" s="5">
        <v>71.73</v>
      </c>
      <c r="H1838" s="6">
        <v>2</v>
      </c>
      <c r="I1838" s="2" t="s">
        <v>2118</v>
      </c>
      <c r="J1838" s="2" t="str">
        <v>Whiteboard B2B Content</v>
      </c>
      <c r="K1838" s="2" t="str">
        <v>Office Supplies</v>
      </c>
      <c r="L1838" s="2" t="str">
        <v>Romero PLC</v>
      </c>
      <c r="M1838" s="2">
        <v>93.81</v>
      </c>
      <c r="N1838" s="16">
        <f t="shared" si="28"/>
        <v>1.5630481727393768E-2</v>
      </c>
    </row>
    <row r="1839" spans="2:14" ht="14.4" customHeight="1" x14ac:dyDescent="0.3">
      <c r="B1839" s="2" t="s">
        <v>1844</v>
      </c>
      <c r="C1839" s="3">
        <v>44676</v>
      </c>
      <c r="D1839" s="2" t="s">
        <v>2009</v>
      </c>
      <c r="E1839" s="2" t="s">
        <v>2077</v>
      </c>
      <c r="F1839" s="4">
        <v>4655.37</v>
      </c>
      <c r="G1839" s="5">
        <v>895.65</v>
      </c>
      <c r="H1839" s="6">
        <v>15</v>
      </c>
      <c r="I1839" s="2" t="s">
        <v>2117</v>
      </c>
      <c r="J1839" s="2" t="str">
        <v>Synthesize Wireless Initiatives</v>
      </c>
      <c r="K1839" s="2" t="str">
        <v>Electronics</v>
      </c>
      <c r="L1839" s="2" t="str">
        <v>Mosley Ltd</v>
      </c>
      <c r="M1839" s="2">
        <v>162.69999999999999</v>
      </c>
      <c r="N1839" s="16">
        <f t="shared" si="28"/>
        <v>0.19239072297153609</v>
      </c>
    </row>
    <row r="1840" spans="2:14" ht="14.4" customHeight="1" x14ac:dyDescent="0.3">
      <c r="B1840" s="2" t="s">
        <v>1845</v>
      </c>
      <c r="C1840" s="3">
        <v>44263</v>
      </c>
      <c r="D1840" s="2" t="s">
        <v>2011</v>
      </c>
      <c r="E1840" s="2" t="s">
        <v>2029</v>
      </c>
      <c r="F1840" s="4">
        <v>1739.85</v>
      </c>
      <c r="G1840" s="5">
        <v>713.77</v>
      </c>
      <c r="H1840" s="6">
        <v>9</v>
      </c>
      <c r="I1840" s="2" t="s">
        <v>2118</v>
      </c>
      <c r="J1840" s="2" t="str">
        <v>E-Enable Next-Generation Experiences</v>
      </c>
      <c r="K1840" s="2" t="str">
        <v>Furniture</v>
      </c>
      <c r="L1840" s="2" t="str">
        <v>Sanchez-Quinn</v>
      </c>
      <c r="M1840" s="2">
        <v>266.93</v>
      </c>
      <c r="N1840" s="16">
        <f t="shared" si="28"/>
        <v>0.4102480098859097</v>
      </c>
    </row>
    <row r="1841" spans="2:14" ht="14.4" customHeight="1" x14ac:dyDescent="0.3">
      <c r="B1841" s="2" t="s">
        <v>1846</v>
      </c>
      <c r="C1841" s="3">
        <v>44649</v>
      </c>
      <c r="D1841" s="2" t="s">
        <v>2011</v>
      </c>
      <c r="E1841" s="2" t="s">
        <v>2032</v>
      </c>
      <c r="F1841" s="4">
        <v>582.08000000000004</v>
      </c>
      <c r="G1841" s="5">
        <v>547.04999999999995</v>
      </c>
      <c r="H1841" s="6">
        <v>6</v>
      </c>
      <c r="I1841" s="2" t="s">
        <v>2116</v>
      </c>
      <c r="J1841" s="2" t="str">
        <v>Reinvent Frictionless Roi</v>
      </c>
      <c r="K1841" s="2" t="str">
        <v>Furniture</v>
      </c>
      <c r="L1841" s="2" t="str">
        <v>Bridges, Castillo and Rodriguez</v>
      </c>
      <c r="M1841" s="2">
        <v>253.89</v>
      </c>
      <c r="N1841" s="16">
        <f t="shared" si="28"/>
        <v>0.93981926882902678</v>
      </c>
    </row>
    <row r="1842" spans="2:14" ht="14.4" customHeight="1" x14ac:dyDescent="0.3">
      <c r="B1842" s="2" t="s">
        <v>1847</v>
      </c>
      <c r="C1842" s="3">
        <v>45345</v>
      </c>
      <c r="D1842" s="2" t="s">
        <v>2009</v>
      </c>
      <c r="E1842" s="2" t="s">
        <v>2098</v>
      </c>
      <c r="F1842" s="4">
        <v>2699.34</v>
      </c>
      <c r="G1842" s="5">
        <v>156.54</v>
      </c>
      <c r="H1842" s="6">
        <v>2</v>
      </c>
      <c r="I1842" s="2" t="s">
        <v>2117</v>
      </c>
      <c r="J1842" s="2" t="str">
        <v>Deliver Viral Channels</v>
      </c>
      <c r="K1842" s="2" t="str">
        <v>Furniture</v>
      </c>
      <c r="L1842" s="2" t="str">
        <v>Parker LLC</v>
      </c>
      <c r="M1842" s="2">
        <v>45.41</v>
      </c>
      <c r="N1842" s="16">
        <f t="shared" si="28"/>
        <v>5.7991953588654999E-2</v>
      </c>
    </row>
    <row r="1843" spans="2:14" ht="14.4" customHeight="1" x14ac:dyDescent="0.3">
      <c r="B1843" s="2" t="s">
        <v>1848</v>
      </c>
      <c r="C1843" s="3">
        <v>44145</v>
      </c>
      <c r="D1843" s="2" t="s">
        <v>2012</v>
      </c>
      <c r="E1843" s="2" t="s">
        <v>2014</v>
      </c>
      <c r="F1843" s="4">
        <v>2573.94</v>
      </c>
      <c r="G1843" s="5">
        <v>34.32</v>
      </c>
      <c r="H1843" s="6">
        <v>14</v>
      </c>
      <c r="I1843" s="2" t="s">
        <v>2118</v>
      </c>
      <c r="J1843" s="2" t="str">
        <v>E-Enable Synergistic Vortals</v>
      </c>
      <c r="K1843" s="2" t="str">
        <v>Electronics</v>
      </c>
      <c r="L1843" s="2" t="str">
        <v>Guzman Group</v>
      </c>
      <c r="M1843" s="2">
        <v>278.43</v>
      </c>
      <c r="N1843" s="16">
        <f t="shared" si="28"/>
        <v>1.3333644140889065E-2</v>
      </c>
    </row>
    <row r="1844" spans="2:14" ht="14.4" customHeight="1" x14ac:dyDescent="0.3">
      <c r="B1844" s="2" t="s">
        <v>1849</v>
      </c>
      <c r="C1844" s="3">
        <v>44680</v>
      </c>
      <c r="D1844" s="2" t="s">
        <v>2011</v>
      </c>
      <c r="E1844" s="2" t="s">
        <v>2014</v>
      </c>
      <c r="F1844" s="4">
        <v>1712.23</v>
      </c>
      <c r="G1844" s="5">
        <v>880.42</v>
      </c>
      <c r="H1844" s="6">
        <v>2</v>
      </c>
      <c r="I1844" s="2" t="s">
        <v>2116</v>
      </c>
      <c r="J1844" s="2" t="str">
        <v>E-Enable Synergistic Vortals</v>
      </c>
      <c r="K1844" s="2" t="str">
        <v>Electronics</v>
      </c>
      <c r="L1844" s="2" t="str">
        <v>Guzman Group</v>
      </c>
      <c r="M1844" s="2">
        <v>278.43</v>
      </c>
      <c r="N1844" s="16">
        <f t="shared" si="28"/>
        <v>0.51419493876406785</v>
      </c>
    </row>
    <row r="1845" spans="2:14" ht="14.4" customHeight="1" x14ac:dyDescent="0.3">
      <c r="B1845" s="2" t="s">
        <v>1850</v>
      </c>
      <c r="C1845" s="3">
        <v>44181</v>
      </c>
      <c r="D1845" s="2" t="s">
        <v>2009</v>
      </c>
      <c r="E1845" s="2" t="s">
        <v>2037</v>
      </c>
      <c r="F1845" s="4">
        <v>146.31</v>
      </c>
      <c r="G1845" s="5">
        <v>124.36</v>
      </c>
      <c r="H1845" s="6">
        <v>15</v>
      </c>
      <c r="I1845" s="2" t="s">
        <v>2116</v>
      </c>
      <c r="J1845" s="2" t="str">
        <v>Utilize Back-End Models</v>
      </c>
      <c r="K1845" s="2" t="str">
        <v>Furniture</v>
      </c>
      <c r="L1845" s="2" t="str">
        <v>Lewis-Holden</v>
      </c>
      <c r="M1845" s="2">
        <v>241.53</v>
      </c>
      <c r="N1845" s="16">
        <f t="shared" si="28"/>
        <v>0.8499760781901442</v>
      </c>
    </row>
    <row r="1846" spans="2:14" ht="14.4" customHeight="1" x14ac:dyDescent="0.3">
      <c r="B1846" s="2" t="s">
        <v>1851</v>
      </c>
      <c r="C1846" s="3">
        <v>45348</v>
      </c>
      <c r="D1846" s="2" t="s">
        <v>2011</v>
      </c>
      <c r="E1846" s="2" t="s">
        <v>2061</v>
      </c>
      <c r="F1846" s="4">
        <v>1672.93</v>
      </c>
      <c r="G1846" s="5">
        <v>222.09</v>
      </c>
      <c r="H1846" s="6">
        <v>8</v>
      </c>
      <c r="I1846" s="2" t="s">
        <v>2116</v>
      </c>
      <c r="J1846" s="2" t="str">
        <v>Optimize Collaborative Initiatives</v>
      </c>
      <c r="K1846" s="2" t="str">
        <v>Electronics</v>
      </c>
      <c r="L1846" s="2" t="str">
        <v>Adkins Ltd</v>
      </c>
      <c r="M1846" s="2">
        <v>34.46</v>
      </c>
      <c r="N1846" s="16">
        <f t="shared" si="28"/>
        <v>0.1327551063104852</v>
      </c>
    </row>
    <row r="1847" spans="2:14" ht="14.4" customHeight="1" x14ac:dyDescent="0.3">
      <c r="B1847" s="2" t="s">
        <v>1852</v>
      </c>
      <c r="C1847" s="3">
        <v>45071</v>
      </c>
      <c r="D1847" s="2" t="s">
        <v>2009</v>
      </c>
      <c r="E1847" s="2" t="s">
        <v>2016</v>
      </c>
      <c r="F1847" s="4">
        <v>1475.54</v>
      </c>
      <c r="G1847" s="5">
        <v>69.09</v>
      </c>
      <c r="H1847" s="6">
        <v>12</v>
      </c>
      <c r="I1847" s="2" t="s">
        <v>2116</v>
      </c>
      <c r="J1847" s="2" t="str">
        <v>Revolutionize Efficient Niches</v>
      </c>
      <c r="K1847" s="2" t="str">
        <v>Electronics</v>
      </c>
      <c r="L1847" s="2" t="str">
        <v>Lopez-Torres</v>
      </c>
      <c r="M1847" s="2">
        <v>23.02</v>
      </c>
      <c r="N1847" s="16">
        <f t="shared" si="28"/>
        <v>4.6823535790286946E-2</v>
      </c>
    </row>
    <row r="1848" spans="2:14" ht="14.4" customHeight="1" x14ac:dyDescent="0.3">
      <c r="B1848" s="2" t="s">
        <v>1853</v>
      </c>
      <c r="C1848" s="3">
        <v>43979</v>
      </c>
      <c r="D1848" s="2" t="s">
        <v>2010</v>
      </c>
      <c r="E1848" s="2" t="s">
        <v>2086</v>
      </c>
      <c r="F1848" s="4">
        <v>3469.63</v>
      </c>
      <c r="G1848" s="5">
        <v>870.71</v>
      </c>
      <c r="H1848" s="6">
        <v>9</v>
      </c>
      <c r="I1848" s="2" t="s">
        <v>2118</v>
      </c>
      <c r="J1848" s="2" t="str">
        <v>Harness Proactive Eyeballs</v>
      </c>
      <c r="K1848" s="2" t="str">
        <v>Electronics</v>
      </c>
      <c r="L1848" s="2" t="str">
        <v>Moran and Sons</v>
      </c>
      <c r="M1848" s="2">
        <v>58.01</v>
      </c>
      <c r="N1848" s="16">
        <f t="shared" si="28"/>
        <v>0.25095183059865173</v>
      </c>
    </row>
    <row r="1849" spans="2:14" ht="14.4" customHeight="1" x14ac:dyDescent="0.3">
      <c r="B1849" s="2" t="s">
        <v>1854</v>
      </c>
      <c r="C1849" s="3">
        <v>44276</v>
      </c>
      <c r="D1849" s="2" t="s">
        <v>2009</v>
      </c>
      <c r="E1849" s="2" t="s">
        <v>2031</v>
      </c>
      <c r="F1849" s="4">
        <v>3198.73</v>
      </c>
      <c r="G1849" s="5">
        <v>709.45</v>
      </c>
      <c r="H1849" s="6">
        <v>8</v>
      </c>
      <c r="I1849" s="2" t="s">
        <v>2118</v>
      </c>
      <c r="J1849" s="2" t="str">
        <v>Embrace 24/365 Functionalities</v>
      </c>
      <c r="K1849" s="2" t="str">
        <v>Office Supplies</v>
      </c>
      <c r="L1849" s="2" t="str">
        <v>Smith LLC</v>
      </c>
      <c r="M1849" s="2">
        <v>204.04</v>
      </c>
      <c r="N1849" s="16">
        <f t="shared" si="28"/>
        <v>0.2217911483620062</v>
      </c>
    </row>
    <row r="1850" spans="2:14" ht="14.4" customHeight="1" x14ac:dyDescent="0.3">
      <c r="B1850" s="2" t="s">
        <v>1855</v>
      </c>
      <c r="C1850" s="3">
        <v>44793</v>
      </c>
      <c r="D1850" s="2" t="s">
        <v>2012</v>
      </c>
      <c r="E1850" s="2" t="s">
        <v>2092</v>
      </c>
      <c r="F1850" s="4">
        <v>2764.3</v>
      </c>
      <c r="G1850" s="5">
        <v>633.59</v>
      </c>
      <c r="H1850" s="6">
        <v>20</v>
      </c>
      <c r="I1850" s="2" t="s">
        <v>2117</v>
      </c>
      <c r="J1850" s="2" t="str">
        <v>Seize Clicks-And-Mortar Platforms</v>
      </c>
      <c r="K1850" s="2" t="str">
        <v>Office Supplies</v>
      </c>
      <c r="L1850" s="2" t="str">
        <v>Owens, Campos and Wood</v>
      </c>
      <c r="M1850" s="2">
        <v>271.16000000000003</v>
      </c>
      <c r="N1850" s="16">
        <f t="shared" si="28"/>
        <v>0.22920450023514091</v>
      </c>
    </row>
    <row r="1851" spans="2:14" ht="14.4" customHeight="1" x14ac:dyDescent="0.3">
      <c r="B1851" s="2" t="s">
        <v>1856</v>
      </c>
      <c r="C1851" s="3">
        <v>44725</v>
      </c>
      <c r="D1851" s="2" t="s">
        <v>2010</v>
      </c>
      <c r="E1851" s="2" t="s">
        <v>2070</v>
      </c>
      <c r="F1851" s="4">
        <v>421.17</v>
      </c>
      <c r="G1851" s="5">
        <v>724.74</v>
      </c>
      <c r="H1851" s="6">
        <v>20</v>
      </c>
      <c r="I1851" s="2" t="s">
        <v>2117</v>
      </c>
      <c r="J1851" s="2" t="str">
        <v>Seize Plug-And-Play Web-Readiness</v>
      </c>
      <c r="K1851" s="2" t="str">
        <v>Electronics</v>
      </c>
      <c r="L1851" s="2" t="str">
        <v>Joseph, Mayer and Carr</v>
      </c>
      <c r="M1851" s="2">
        <v>102.73</v>
      </c>
      <c r="N1851" s="16">
        <f t="shared" si="28"/>
        <v>1.7207778331790013</v>
      </c>
    </row>
    <row r="1852" spans="2:14" ht="14.4" customHeight="1" x14ac:dyDescent="0.3">
      <c r="B1852" s="2" t="s">
        <v>1857</v>
      </c>
      <c r="C1852" s="3">
        <v>44646</v>
      </c>
      <c r="D1852" s="2" t="s">
        <v>2009</v>
      </c>
      <c r="E1852" s="2" t="s">
        <v>2078</v>
      </c>
      <c r="F1852" s="4">
        <v>3903.64</v>
      </c>
      <c r="G1852" s="5">
        <v>898.03</v>
      </c>
      <c r="H1852" s="6">
        <v>11</v>
      </c>
      <c r="I1852" s="2" t="s">
        <v>2117</v>
      </c>
      <c r="J1852" s="2" t="str">
        <v>Strategize E-Business Content</v>
      </c>
      <c r="K1852" s="2" t="str">
        <v>Electronics</v>
      </c>
      <c r="L1852" s="2" t="str">
        <v>Patterson LLC</v>
      </c>
      <c r="M1852" s="2">
        <v>294.02</v>
      </c>
      <c r="N1852" s="16">
        <f t="shared" si="28"/>
        <v>0.23004938980028897</v>
      </c>
    </row>
    <row r="1853" spans="2:14" ht="14.4" customHeight="1" x14ac:dyDescent="0.3">
      <c r="B1853" s="2" t="s">
        <v>1858</v>
      </c>
      <c r="C1853" s="3">
        <v>43894</v>
      </c>
      <c r="D1853" s="2" t="s">
        <v>2012</v>
      </c>
      <c r="E1853" s="2" t="s">
        <v>2016</v>
      </c>
      <c r="F1853" s="4">
        <v>2878.83</v>
      </c>
      <c r="G1853" s="5">
        <v>475.88</v>
      </c>
      <c r="H1853" s="6">
        <v>12</v>
      </c>
      <c r="I1853" s="2" t="s">
        <v>2116</v>
      </c>
      <c r="J1853" s="2" t="str">
        <v>Revolutionize Efficient Niches</v>
      </c>
      <c r="K1853" s="2" t="str">
        <v>Electronics</v>
      </c>
      <c r="L1853" s="2" t="str">
        <v>Lopez-Torres</v>
      </c>
      <c r="M1853" s="2">
        <v>23.02</v>
      </c>
      <c r="N1853" s="16">
        <f t="shared" si="28"/>
        <v>0.16530326556274597</v>
      </c>
    </row>
    <row r="1854" spans="2:14" ht="14.4" customHeight="1" x14ac:dyDescent="0.3">
      <c r="B1854" s="2" t="s">
        <v>1859</v>
      </c>
      <c r="C1854" s="3">
        <v>44544</v>
      </c>
      <c r="D1854" s="2" t="s">
        <v>2011</v>
      </c>
      <c r="E1854" s="2" t="s">
        <v>2104</v>
      </c>
      <c r="F1854" s="4">
        <v>3470.41</v>
      </c>
      <c r="G1854" s="5">
        <v>856.48</v>
      </c>
      <c r="H1854" s="6">
        <v>13</v>
      </c>
      <c r="I1854" s="2" t="s">
        <v>2116</v>
      </c>
      <c r="J1854" s="2" t="str">
        <v>Scale Cross-Platform Web Services</v>
      </c>
      <c r="K1854" s="2" t="str">
        <v>Furniture</v>
      </c>
      <c r="L1854" s="2" t="str">
        <v>Morrow, Brock and Lewis</v>
      </c>
      <c r="M1854" s="2">
        <v>115.21</v>
      </c>
      <c r="N1854" s="16">
        <f t="shared" si="28"/>
        <v>0.24679504727107174</v>
      </c>
    </row>
    <row r="1855" spans="2:14" ht="14.4" customHeight="1" x14ac:dyDescent="0.3">
      <c r="B1855" s="2" t="s">
        <v>1860</v>
      </c>
      <c r="C1855" s="3">
        <v>45080</v>
      </c>
      <c r="D1855" s="2" t="s">
        <v>2012</v>
      </c>
      <c r="E1855" s="2" t="s">
        <v>2068</v>
      </c>
      <c r="F1855" s="4">
        <v>4019.74</v>
      </c>
      <c r="G1855" s="5">
        <v>115.52</v>
      </c>
      <c r="H1855" s="6">
        <v>17</v>
      </c>
      <c r="I1855" s="2" t="s">
        <v>2116</v>
      </c>
      <c r="J1855" s="2" t="str">
        <v>E-Enable Virtual Methodologies</v>
      </c>
      <c r="K1855" s="2" t="str">
        <v>Office Supplies</v>
      </c>
      <c r="L1855" s="2" t="str">
        <v>Floyd-Love</v>
      </c>
      <c r="M1855" s="2">
        <v>283.64999999999998</v>
      </c>
      <c r="N1855" s="16">
        <f t="shared" si="28"/>
        <v>2.8738177096031086E-2</v>
      </c>
    </row>
    <row r="1856" spans="2:14" ht="14.4" customHeight="1" x14ac:dyDescent="0.3">
      <c r="B1856" s="2" t="s">
        <v>1861</v>
      </c>
      <c r="C1856" s="3">
        <v>44525</v>
      </c>
      <c r="D1856" s="2" t="s">
        <v>2011</v>
      </c>
      <c r="E1856" s="2" t="s">
        <v>2100</v>
      </c>
      <c r="F1856" s="4">
        <v>3228.31</v>
      </c>
      <c r="G1856" s="5">
        <v>675.83</v>
      </c>
      <c r="H1856" s="6">
        <v>20</v>
      </c>
      <c r="I1856" s="2" t="s">
        <v>2117</v>
      </c>
      <c r="J1856" s="2" t="str">
        <v>Strategize Best-Of-Breed Web-Readiness</v>
      </c>
      <c r="K1856" s="2" t="str">
        <v>Office Supplies</v>
      </c>
      <c r="L1856" s="2" t="str">
        <v>Morris, King and Ayers</v>
      </c>
      <c r="M1856" s="2">
        <v>220.16</v>
      </c>
      <c r="N1856" s="16">
        <f t="shared" si="28"/>
        <v>0.20934482747939326</v>
      </c>
    </row>
    <row r="1857" spans="2:14" ht="14.4" customHeight="1" x14ac:dyDescent="0.3">
      <c r="B1857" s="2" t="s">
        <v>1862</v>
      </c>
      <c r="C1857" s="3">
        <v>43945</v>
      </c>
      <c r="D1857" s="2" t="s">
        <v>2009</v>
      </c>
      <c r="E1857" s="2" t="s">
        <v>2047</v>
      </c>
      <c r="F1857" s="4">
        <v>3503.73</v>
      </c>
      <c r="G1857" s="5">
        <v>408.46</v>
      </c>
      <c r="H1857" s="6">
        <v>17</v>
      </c>
      <c r="I1857" s="2" t="s">
        <v>2117</v>
      </c>
      <c r="J1857" s="2" t="str">
        <v>Transform Holistic Functionalities</v>
      </c>
      <c r="K1857" s="2" t="str">
        <v>Office Supplies</v>
      </c>
      <c r="L1857" s="2" t="str">
        <v>Ruiz Ltd</v>
      </c>
      <c r="M1857" s="2">
        <v>179.27</v>
      </c>
      <c r="N1857" s="16">
        <f t="shared" si="28"/>
        <v>0.11657861764462443</v>
      </c>
    </row>
    <row r="1858" spans="2:14" ht="14.4" customHeight="1" x14ac:dyDescent="0.3">
      <c r="B1858" s="2" t="s">
        <v>1863</v>
      </c>
      <c r="C1858" s="3">
        <v>44096</v>
      </c>
      <c r="D1858" s="2" t="s">
        <v>2011</v>
      </c>
      <c r="E1858" s="2" t="s">
        <v>2067</v>
      </c>
      <c r="F1858" s="4">
        <v>4294.7700000000004</v>
      </c>
      <c r="G1858" s="5">
        <v>327.16000000000003</v>
      </c>
      <c r="H1858" s="6">
        <v>13</v>
      </c>
      <c r="I1858" s="2" t="s">
        <v>2118</v>
      </c>
      <c r="J1858" s="2" t="str">
        <v>Transition Compelling Web-Readiness</v>
      </c>
      <c r="K1858" s="2" t="str">
        <v>Furniture</v>
      </c>
      <c r="L1858" s="2" t="str">
        <v>Wood-Beck</v>
      </c>
      <c r="M1858" s="2">
        <v>88.34</v>
      </c>
      <c r="N1858" s="16">
        <f t="shared" si="28"/>
        <v>7.6176372657907179E-2</v>
      </c>
    </row>
    <row r="1859" spans="2:14" ht="14.4" customHeight="1" x14ac:dyDescent="0.3">
      <c r="B1859" s="2" t="s">
        <v>1864</v>
      </c>
      <c r="C1859" s="3">
        <v>44172</v>
      </c>
      <c r="D1859" s="2" t="s">
        <v>2011</v>
      </c>
      <c r="E1859" s="2" t="s">
        <v>2092</v>
      </c>
      <c r="F1859" s="4">
        <v>2671.69</v>
      </c>
      <c r="G1859" s="5">
        <v>897.08</v>
      </c>
      <c r="H1859" s="6">
        <v>11</v>
      </c>
      <c r="I1859" s="2" t="s">
        <v>2116</v>
      </c>
      <c r="J1859" s="2" t="str">
        <v>Seize Clicks-And-Mortar Platforms</v>
      </c>
      <c r="K1859" s="2" t="str">
        <v>Office Supplies</v>
      </c>
      <c r="L1859" s="2" t="str">
        <v>Owens, Campos and Wood</v>
      </c>
      <c r="M1859" s="2">
        <v>271.16000000000003</v>
      </c>
      <c r="N1859" s="16">
        <f t="shared" si="28"/>
        <v>0.33577248857464753</v>
      </c>
    </row>
    <row r="1860" spans="2:14" ht="14.4" customHeight="1" x14ac:dyDescent="0.3">
      <c r="B1860" s="2" t="s">
        <v>1865</v>
      </c>
      <c r="C1860" s="3">
        <v>44133</v>
      </c>
      <c r="D1860" s="2" t="s">
        <v>2011</v>
      </c>
      <c r="E1860" s="2" t="s">
        <v>2022</v>
      </c>
      <c r="F1860" s="4">
        <v>3299.82</v>
      </c>
      <c r="G1860" s="5">
        <v>668.39</v>
      </c>
      <c r="H1860" s="6">
        <v>6</v>
      </c>
      <c r="I1860" s="2" t="s">
        <v>2118</v>
      </c>
      <c r="J1860" s="2" t="str">
        <v>Monetize Collaborative Metrics</v>
      </c>
      <c r="K1860" s="2" t="str">
        <v>Electronics</v>
      </c>
      <c r="L1860" s="2" t="str">
        <v>Ramirez-Brown</v>
      </c>
      <c r="M1860" s="2">
        <v>286.04000000000002</v>
      </c>
      <c r="N1860" s="16">
        <f t="shared" si="28"/>
        <v>0.20255347261365769</v>
      </c>
    </row>
    <row r="1861" spans="2:14" ht="14.4" customHeight="1" x14ac:dyDescent="0.3">
      <c r="B1861" s="2" t="s">
        <v>1866</v>
      </c>
      <c r="C1861" s="3">
        <v>45570</v>
      </c>
      <c r="D1861" s="2" t="s">
        <v>2010</v>
      </c>
      <c r="E1861" s="2" t="s">
        <v>2066</v>
      </c>
      <c r="F1861" s="4">
        <v>4038.5</v>
      </c>
      <c r="G1861" s="5">
        <v>957.43</v>
      </c>
      <c r="H1861" s="6">
        <v>20</v>
      </c>
      <c r="I1861" s="2" t="s">
        <v>2118</v>
      </c>
      <c r="J1861" s="2" t="str">
        <v>Facilitate Integrated E-Business</v>
      </c>
      <c r="K1861" s="2" t="str">
        <v>Office Supplies</v>
      </c>
      <c r="L1861" s="2" t="str">
        <v>Chang-Vargas</v>
      </c>
      <c r="M1861" s="2">
        <v>130.33000000000001</v>
      </c>
      <c r="N1861" s="16">
        <f t="shared" ref="N1861:N1924" si="29">(G1861/F1861)</f>
        <v>0.23707564689860094</v>
      </c>
    </row>
    <row r="1862" spans="2:14" ht="14.4" customHeight="1" x14ac:dyDescent="0.3">
      <c r="B1862" s="2" t="s">
        <v>1867</v>
      </c>
      <c r="C1862" s="3">
        <v>43919</v>
      </c>
      <c r="D1862" s="2" t="s">
        <v>2011</v>
      </c>
      <c r="E1862" s="2" t="s">
        <v>2048</v>
      </c>
      <c r="F1862" s="4">
        <v>1947.91</v>
      </c>
      <c r="G1862" s="5">
        <v>989.42</v>
      </c>
      <c r="H1862" s="6">
        <v>3</v>
      </c>
      <c r="I1862" s="2" t="s">
        <v>2117</v>
      </c>
      <c r="J1862" s="2" t="str">
        <v>Drive Compelling E-Services</v>
      </c>
      <c r="K1862" s="2" t="str">
        <v>Office Supplies</v>
      </c>
      <c r="L1862" s="2" t="str">
        <v>Morris-Villanueva</v>
      </c>
      <c r="M1862" s="2">
        <v>27.22</v>
      </c>
      <c r="N1862" s="16">
        <f t="shared" si="29"/>
        <v>0.50793927850876064</v>
      </c>
    </row>
    <row r="1863" spans="2:14" ht="14.4" customHeight="1" x14ac:dyDescent="0.3">
      <c r="B1863" s="2" t="s">
        <v>1868</v>
      </c>
      <c r="C1863" s="3">
        <v>44038</v>
      </c>
      <c r="D1863" s="2" t="s">
        <v>2010</v>
      </c>
      <c r="E1863" s="2" t="s">
        <v>2109</v>
      </c>
      <c r="F1863" s="4">
        <v>1316.69</v>
      </c>
      <c r="G1863" s="5">
        <v>252.66</v>
      </c>
      <c r="H1863" s="6">
        <v>13</v>
      </c>
      <c r="I1863" s="2" t="s">
        <v>2117</v>
      </c>
      <c r="J1863" s="2" t="str">
        <v>Deliver Viral Eyeballs</v>
      </c>
      <c r="K1863" s="2" t="str">
        <v>Office Supplies</v>
      </c>
      <c r="L1863" s="2" t="str">
        <v>Estes, Chan and Thomas</v>
      </c>
      <c r="M1863" s="2">
        <v>16.89</v>
      </c>
      <c r="N1863" s="16">
        <f t="shared" si="29"/>
        <v>0.19189027029900735</v>
      </c>
    </row>
    <row r="1864" spans="2:14" ht="14.4" customHeight="1" x14ac:dyDescent="0.3">
      <c r="B1864" s="2" t="s">
        <v>1869</v>
      </c>
      <c r="C1864" s="3">
        <v>43844</v>
      </c>
      <c r="D1864" s="2" t="s">
        <v>2009</v>
      </c>
      <c r="E1864" s="2" t="s">
        <v>2054</v>
      </c>
      <c r="F1864" s="4">
        <v>1936.05</v>
      </c>
      <c r="G1864" s="5">
        <v>386.8</v>
      </c>
      <c r="H1864" s="6">
        <v>8</v>
      </c>
      <c r="I1864" s="2" t="s">
        <v>2116</v>
      </c>
      <c r="J1864" s="2" t="str">
        <v>Empower Killer Info-Mediaries</v>
      </c>
      <c r="K1864" s="2" t="str">
        <v>Furniture</v>
      </c>
      <c r="L1864" s="2" t="str">
        <v>Jones Ltd</v>
      </c>
      <c r="M1864" s="2">
        <v>213.24</v>
      </c>
      <c r="N1864" s="16">
        <f t="shared" si="29"/>
        <v>0.19978822860979831</v>
      </c>
    </row>
    <row r="1865" spans="2:14" ht="14.4" customHeight="1" x14ac:dyDescent="0.3">
      <c r="B1865" s="2" t="s">
        <v>1870</v>
      </c>
      <c r="C1865" s="3">
        <v>44670</v>
      </c>
      <c r="D1865" s="2" t="s">
        <v>2011</v>
      </c>
      <c r="E1865" s="2" t="s">
        <v>2111</v>
      </c>
      <c r="F1865" s="4">
        <v>1119.47</v>
      </c>
      <c r="G1865" s="5">
        <v>289.98</v>
      </c>
      <c r="H1865" s="6">
        <v>9</v>
      </c>
      <c r="I1865" s="2" t="s">
        <v>2116</v>
      </c>
      <c r="J1865" s="2" t="str">
        <v>Evolve Intuitive Bandwidth</v>
      </c>
      <c r="K1865" s="2" t="str">
        <v>Office Supplies</v>
      </c>
      <c r="L1865" s="2" t="str">
        <v>Rogers Group</v>
      </c>
      <c r="M1865" s="2">
        <v>131.63</v>
      </c>
      <c r="N1865" s="16">
        <f t="shared" si="29"/>
        <v>0.25903329254021995</v>
      </c>
    </row>
    <row r="1866" spans="2:14" ht="14.4" customHeight="1" x14ac:dyDescent="0.3">
      <c r="B1866" s="2" t="s">
        <v>1871</v>
      </c>
      <c r="C1866" s="3">
        <v>44391</v>
      </c>
      <c r="D1866" s="2" t="s">
        <v>2009</v>
      </c>
      <c r="E1866" s="2" t="s">
        <v>2105</v>
      </c>
      <c r="F1866" s="4">
        <v>1278.28</v>
      </c>
      <c r="G1866" s="5">
        <v>117.47</v>
      </c>
      <c r="H1866" s="6">
        <v>2</v>
      </c>
      <c r="I1866" s="2" t="s">
        <v>2118</v>
      </c>
      <c r="J1866" s="2" t="str">
        <v>Brand B2C Info-Mediaries</v>
      </c>
      <c r="K1866" s="2" t="str">
        <v>Office Supplies</v>
      </c>
      <c r="L1866" s="2" t="str">
        <v>Preston Ltd</v>
      </c>
      <c r="M1866" s="2">
        <v>13.46</v>
      </c>
      <c r="N1866" s="16">
        <f t="shared" si="29"/>
        <v>9.1896923991613727E-2</v>
      </c>
    </row>
    <row r="1867" spans="2:14" ht="14.4" customHeight="1" x14ac:dyDescent="0.3">
      <c r="B1867" s="2" t="s">
        <v>1872</v>
      </c>
      <c r="C1867" s="3">
        <v>44300</v>
      </c>
      <c r="D1867" s="2" t="s">
        <v>2012</v>
      </c>
      <c r="E1867" s="2" t="s">
        <v>2043</v>
      </c>
      <c r="F1867" s="4">
        <v>1814.21</v>
      </c>
      <c r="G1867" s="5">
        <v>832.58</v>
      </c>
      <c r="H1867" s="6">
        <v>11</v>
      </c>
      <c r="I1867" s="2" t="s">
        <v>2116</v>
      </c>
      <c r="J1867" s="2" t="str">
        <v>Brand Distributed Info-Mediaries</v>
      </c>
      <c r="K1867" s="2" t="str">
        <v>Furniture</v>
      </c>
      <c r="L1867" s="2" t="str">
        <v>Garcia Ltd</v>
      </c>
      <c r="M1867" s="2">
        <v>114.48</v>
      </c>
      <c r="N1867" s="16">
        <f t="shared" si="29"/>
        <v>0.45892151404743664</v>
      </c>
    </row>
    <row r="1868" spans="2:14" ht="14.4" customHeight="1" x14ac:dyDescent="0.3">
      <c r="B1868" s="2" t="s">
        <v>1873</v>
      </c>
      <c r="C1868" s="3">
        <v>44108</v>
      </c>
      <c r="D1868" s="2" t="s">
        <v>2011</v>
      </c>
      <c r="E1868" s="2" t="s">
        <v>2063</v>
      </c>
      <c r="F1868" s="4">
        <v>79.83</v>
      </c>
      <c r="G1868" s="5">
        <v>112.67</v>
      </c>
      <c r="H1868" s="6">
        <v>11</v>
      </c>
      <c r="I1868" s="2" t="s">
        <v>2116</v>
      </c>
      <c r="J1868" s="2" t="str">
        <v>Unleash End-To-End Web Services</v>
      </c>
      <c r="K1868" s="2" t="str">
        <v>Office Supplies</v>
      </c>
      <c r="L1868" s="2" t="str">
        <v>Jones Ltd</v>
      </c>
      <c r="M1868" s="2">
        <v>188.02</v>
      </c>
      <c r="N1868" s="16">
        <f t="shared" si="29"/>
        <v>1.411374170111487</v>
      </c>
    </row>
    <row r="1869" spans="2:14" ht="14.4" customHeight="1" x14ac:dyDescent="0.3">
      <c r="B1869" s="2" t="s">
        <v>1874</v>
      </c>
      <c r="C1869" s="3">
        <v>44500</v>
      </c>
      <c r="D1869" s="2" t="s">
        <v>2012</v>
      </c>
      <c r="E1869" s="2" t="s">
        <v>2044</v>
      </c>
      <c r="F1869" s="4">
        <v>3093.7</v>
      </c>
      <c r="G1869" s="5">
        <v>379.87</v>
      </c>
      <c r="H1869" s="6">
        <v>18</v>
      </c>
      <c r="I1869" s="2" t="s">
        <v>2118</v>
      </c>
      <c r="J1869" s="2" t="str">
        <v>Grow Back-End Supply-Chains</v>
      </c>
      <c r="K1869" s="2" t="str">
        <v>Electronics</v>
      </c>
      <c r="L1869" s="2" t="str">
        <v>Green LLC</v>
      </c>
      <c r="M1869" s="2">
        <v>140.08000000000001</v>
      </c>
      <c r="N1869" s="16">
        <f t="shared" si="29"/>
        <v>0.12278824708278115</v>
      </c>
    </row>
    <row r="1870" spans="2:14" ht="14.4" customHeight="1" x14ac:dyDescent="0.3">
      <c r="B1870" s="2" t="s">
        <v>1875</v>
      </c>
      <c r="C1870" s="3">
        <v>44856</v>
      </c>
      <c r="D1870" s="2" t="s">
        <v>2009</v>
      </c>
      <c r="E1870" s="2" t="s">
        <v>2040</v>
      </c>
      <c r="F1870" s="4">
        <v>4593.71</v>
      </c>
      <c r="G1870" s="5">
        <v>58.14</v>
      </c>
      <c r="H1870" s="6">
        <v>8</v>
      </c>
      <c r="I1870" s="2" t="s">
        <v>2118</v>
      </c>
      <c r="J1870" s="2" t="str">
        <v>Synergize End-To-End Supply-Chains</v>
      </c>
      <c r="K1870" s="2" t="str">
        <v>Office Supplies</v>
      </c>
      <c r="L1870" s="2" t="str">
        <v>Higgins-Espinoza</v>
      </c>
      <c r="M1870" s="2">
        <v>279.8</v>
      </c>
      <c r="N1870" s="16">
        <f t="shared" si="29"/>
        <v>1.265643673631988E-2</v>
      </c>
    </row>
    <row r="1871" spans="2:14" ht="14.4" customHeight="1" x14ac:dyDescent="0.3">
      <c r="B1871" s="2" t="s">
        <v>1876</v>
      </c>
      <c r="C1871" s="3">
        <v>44955</v>
      </c>
      <c r="D1871" s="2" t="s">
        <v>2009</v>
      </c>
      <c r="E1871" s="2" t="s">
        <v>2067</v>
      </c>
      <c r="F1871" s="4">
        <v>1427.37</v>
      </c>
      <c r="G1871" s="5">
        <v>415.94</v>
      </c>
      <c r="H1871" s="6">
        <v>3</v>
      </c>
      <c r="I1871" s="2" t="s">
        <v>2117</v>
      </c>
      <c r="J1871" s="2" t="str">
        <v>Transition Compelling Web-Readiness</v>
      </c>
      <c r="K1871" s="2" t="str">
        <v>Furniture</v>
      </c>
      <c r="L1871" s="2" t="str">
        <v>Wood-Beck</v>
      </c>
      <c r="M1871" s="2">
        <v>88.34</v>
      </c>
      <c r="N1871" s="16">
        <f t="shared" si="29"/>
        <v>0.29140306998185478</v>
      </c>
    </row>
    <row r="1872" spans="2:14" ht="14.4" customHeight="1" x14ac:dyDescent="0.3">
      <c r="B1872" s="2" t="s">
        <v>1877</v>
      </c>
      <c r="C1872" s="3">
        <v>45409</v>
      </c>
      <c r="D1872" s="2" t="s">
        <v>2012</v>
      </c>
      <c r="E1872" s="2" t="s">
        <v>2099</v>
      </c>
      <c r="F1872" s="4">
        <v>2050.88</v>
      </c>
      <c r="G1872" s="5">
        <v>255.39</v>
      </c>
      <c r="H1872" s="6">
        <v>16</v>
      </c>
      <c r="I1872" s="2" t="s">
        <v>2117</v>
      </c>
      <c r="J1872" s="2" t="str">
        <v>Synergize Cross-Platform Vortals</v>
      </c>
      <c r="K1872" s="2" t="str">
        <v>Furniture</v>
      </c>
      <c r="L1872" s="2" t="str">
        <v>Edwards Group</v>
      </c>
      <c r="M1872" s="2">
        <v>87.18</v>
      </c>
      <c r="N1872" s="16">
        <f t="shared" si="29"/>
        <v>0.12452703229833045</v>
      </c>
    </row>
    <row r="1873" spans="2:14" ht="14.4" customHeight="1" x14ac:dyDescent="0.3">
      <c r="B1873" s="2" t="s">
        <v>1878</v>
      </c>
      <c r="C1873" s="3">
        <v>45091</v>
      </c>
      <c r="D1873" s="2" t="s">
        <v>2011</v>
      </c>
      <c r="E1873" s="2" t="s">
        <v>2029</v>
      </c>
      <c r="F1873" s="4">
        <v>3327.05</v>
      </c>
      <c r="G1873" s="5">
        <v>279.52999999999997</v>
      </c>
      <c r="H1873" s="6">
        <v>9</v>
      </c>
      <c r="I1873" s="2" t="s">
        <v>2118</v>
      </c>
      <c r="J1873" s="2" t="str">
        <v>E-Enable Next-Generation Experiences</v>
      </c>
      <c r="K1873" s="2" t="str">
        <v>Furniture</v>
      </c>
      <c r="L1873" s="2" t="str">
        <v>Sanchez-Quinn</v>
      </c>
      <c r="M1873" s="2">
        <v>266.93</v>
      </c>
      <c r="N1873" s="16">
        <f t="shared" si="29"/>
        <v>8.4017372747629271E-2</v>
      </c>
    </row>
    <row r="1874" spans="2:14" ht="14.4" customHeight="1" x14ac:dyDescent="0.3">
      <c r="B1874" s="2" t="s">
        <v>1879</v>
      </c>
      <c r="C1874" s="3">
        <v>45309</v>
      </c>
      <c r="D1874" s="2" t="s">
        <v>2011</v>
      </c>
      <c r="E1874" s="2" t="s">
        <v>2055</v>
      </c>
      <c r="F1874" s="4">
        <v>971.74</v>
      </c>
      <c r="G1874" s="5">
        <v>829.75</v>
      </c>
      <c r="H1874" s="6">
        <v>19</v>
      </c>
      <c r="I1874" s="2" t="s">
        <v>2117</v>
      </c>
      <c r="J1874" s="2" t="str">
        <v>Engineer Real-Time Architectures</v>
      </c>
      <c r="K1874" s="2" t="str">
        <v>Furniture</v>
      </c>
      <c r="L1874" s="2" t="str">
        <v>James and Sons</v>
      </c>
      <c r="M1874" s="2">
        <v>127.23</v>
      </c>
      <c r="N1874" s="16">
        <f t="shared" si="29"/>
        <v>0.85388066766830628</v>
      </c>
    </row>
    <row r="1875" spans="2:14" ht="14.4" customHeight="1" x14ac:dyDescent="0.3">
      <c r="B1875" s="2" t="s">
        <v>1880</v>
      </c>
      <c r="C1875" s="3">
        <v>44170</v>
      </c>
      <c r="D1875" s="2" t="s">
        <v>2009</v>
      </c>
      <c r="E1875" s="2" t="s">
        <v>2087</v>
      </c>
      <c r="F1875" s="4">
        <v>2802.73</v>
      </c>
      <c r="G1875" s="5">
        <v>566.23</v>
      </c>
      <c r="H1875" s="6">
        <v>3</v>
      </c>
      <c r="I1875" s="2" t="s">
        <v>2117</v>
      </c>
      <c r="J1875" s="2" t="str">
        <v>Empower Seamless Roi</v>
      </c>
      <c r="K1875" s="2" t="str">
        <v>Office Supplies</v>
      </c>
      <c r="L1875" s="2" t="str">
        <v>Proctor Group</v>
      </c>
      <c r="M1875" s="2">
        <v>266.64999999999998</v>
      </c>
      <c r="N1875" s="16">
        <f t="shared" si="29"/>
        <v>0.20202802267788905</v>
      </c>
    </row>
    <row r="1876" spans="2:14" ht="14.4" customHeight="1" x14ac:dyDescent="0.3">
      <c r="B1876" s="2" t="s">
        <v>1881</v>
      </c>
      <c r="C1876" s="3">
        <v>45435</v>
      </c>
      <c r="D1876" s="2" t="s">
        <v>2010</v>
      </c>
      <c r="E1876" s="2" t="s">
        <v>2097</v>
      </c>
      <c r="F1876" s="4">
        <v>2274.8000000000002</v>
      </c>
      <c r="G1876" s="5">
        <v>449.25</v>
      </c>
      <c r="H1876" s="6">
        <v>2</v>
      </c>
      <c r="I1876" s="2" t="s">
        <v>2118</v>
      </c>
      <c r="J1876" s="2" t="str">
        <v>Generate End-To-End Functionalities</v>
      </c>
      <c r="K1876" s="2" t="str">
        <v>Electronics</v>
      </c>
      <c r="L1876" s="2" t="str">
        <v>Sanchez-Stewart</v>
      </c>
      <c r="M1876" s="2">
        <v>196.15</v>
      </c>
      <c r="N1876" s="16">
        <f t="shared" si="29"/>
        <v>0.19748988922103042</v>
      </c>
    </row>
    <row r="1877" spans="2:14" ht="14.4" customHeight="1" x14ac:dyDescent="0.3">
      <c r="B1877" s="2" t="s">
        <v>1882</v>
      </c>
      <c r="C1877" s="3">
        <v>45011</v>
      </c>
      <c r="D1877" s="2" t="s">
        <v>2012</v>
      </c>
      <c r="E1877" s="2" t="s">
        <v>2020</v>
      </c>
      <c r="F1877" s="4">
        <v>4220.12</v>
      </c>
      <c r="G1877" s="5">
        <v>573.80999999999995</v>
      </c>
      <c r="H1877" s="6">
        <v>20</v>
      </c>
      <c r="I1877" s="2" t="s">
        <v>2117</v>
      </c>
      <c r="J1877" s="2" t="str">
        <v>Harness Revolutionary Interfaces</v>
      </c>
      <c r="K1877" s="2" t="str">
        <v>Furniture</v>
      </c>
      <c r="L1877" s="2" t="str">
        <v>Davis, Short and Nguyen</v>
      </c>
      <c r="M1877" s="2">
        <v>26.49</v>
      </c>
      <c r="N1877" s="16">
        <f t="shared" si="29"/>
        <v>0.13597006720188051</v>
      </c>
    </row>
    <row r="1878" spans="2:14" ht="14.4" customHeight="1" x14ac:dyDescent="0.3">
      <c r="B1878" s="2" t="s">
        <v>1883</v>
      </c>
      <c r="C1878" s="3">
        <v>44801</v>
      </c>
      <c r="D1878" s="2" t="s">
        <v>2011</v>
      </c>
      <c r="E1878" s="2" t="s">
        <v>2073</v>
      </c>
      <c r="F1878" s="4">
        <v>2628.44</v>
      </c>
      <c r="G1878" s="5">
        <v>745.34</v>
      </c>
      <c r="H1878" s="6">
        <v>2</v>
      </c>
      <c r="I1878" s="2" t="s">
        <v>2116</v>
      </c>
      <c r="J1878" s="2" t="str">
        <v>Visualize Dynamic E-Commerce</v>
      </c>
      <c r="K1878" s="2" t="str">
        <v>Furniture</v>
      </c>
      <c r="L1878" s="2" t="str">
        <v>Jones LLC</v>
      </c>
      <c r="M1878" s="2">
        <v>92.61</v>
      </c>
      <c r="N1878" s="16">
        <f t="shared" si="29"/>
        <v>0.28356743924152727</v>
      </c>
    </row>
    <row r="1879" spans="2:14" ht="14.4" customHeight="1" x14ac:dyDescent="0.3">
      <c r="B1879" s="2" t="s">
        <v>1884</v>
      </c>
      <c r="C1879" s="3">
        <v>44653</v>
      </c>
      <c r="D1879" s="2" t="s">
        <v>2011</v>
      </c>
      <c r="E1879" s="2" t="s">
        <v>2084</v>
      </c>
      <c r="F1879" s="4">
        <v>4519.01</v>
      </c>
      <c r="G1879" s="5">
        <v>369.67</v>
      </c>
      <c r="H1879" s="6">
        <v>3</v>
      </c>
      <c r="I1879" s="2" t="s">
        <v>2118</v>
      </c>
      <c r="J1879" s="2" t="str">
        <v>Grow Synergistic Infrastructures</v>
      </c>
      <c r="K1879" s="2" t="str">
        <v>Furniture</v>
      </c>
      <c r="L1879" s="2" t="str">
        <v>Adams-Carter</v>
      </c>
      <c r="M1879" s="2">
        <v>113.17</v>
      </c>
      <c r="N1879" s="16">
        <f t="shared" si="29"/>
        <v>8.1803315327914738E-2</v>
      </c>
    </row>
    <row r="1880" spans="2:14" ht="14.4" customHeight="1" x14ac:dyDescent="0.3">
      <c r="B1880" s="2" t="s">
        <v>1885</v>
      </c>
      <c r="C1880" s="3">
        <v>43920</v>
      </c>
      <c r="D1880" s="2" t="s">
        <v>2012</v>
      </c>
      <c r="E1880" s="2" t="s">
        <v>2031</v>
      </c>
      <c r="F1880" s="4">
        <v>3115.74</v>
      </c>
      <c r="G1880" s="5">
        <v>136.55000000000001</v>
      </c>
      <c r="H1880" s="6">
        <v>10</v>
      </c>
      <c r="I1880" s="2" t="s">
        <v>2118</v>
      </c>
      <c r="J1880" s="2" t="str">
        <v>Embrace 24/365 Functionalities</v>
      </c>
      <c r="K1880" s="2" t="str">
        <v>Office Supplies</v>
      </c>
      <c r="L1880" s="2" t="str">
        <v>Smith LLC</v>
      </c>
      <c r="M1880" s="2">
        <v>204.04</v>
      </c>
      <c r="N1880" s="16">
        <f t="shared" si="29"/>
        <v>4.382586480258302E-2</v>
      </c>
    </row>
    <row r="1881" spans="2:14" ht="14.4" customHeight="1" x14ac:dyDescent="0.3">
      <c r="B1881" s="2" t="s">
        <v>1886</v>
      </c>
      <c r="C1881" s="3">
        <v>44503</v>
      </c>
      <c r="D1881" s="2" t="s">
        <v>2009</v>
      </c>
      <c r="E1881" s="2" t="s">
        <v>2043</v>
      </c>
      <c r="F1881" s="4">
        <v>2110.23</v>
      </c>
      <c r="G1881" s="5">
        <v>820.61</v>
      </c>
      <c r="H1881" s="6">
        <v>3</v>
      </c>
      <c r="I1881" s="2" t="s">
        <v>2117</v>
      </c>
      <c r="J1881" s="2" t="str">
        <v>Brand Distributed Info-Mediaries</v>
      </c>
      <c r="K1881" s="2" t="str">
        <v>Furniture</v>
      </c>
      <c r="L1881" s="2" t="str">
        <v>Garcia Ltd</v>
      </c>
      <c r="M1881" s="2">
        <v>114.48</v>
      </c>
      <c r="N1881" s="16">
        <f t="shared" si="29"/>
        <v>0.38887230301910219</v>
      </c>
    </row>
    <row r="1882" spans="2:14" ht="14.4" customHeight="1" x14ac:dyDescent="0.3">
      <c r="B1882" s="2" t="s">
        <v>1887</v>
      </c>
      <c r="C1882" s="3">
        <v>44383</v>
      </c>
      <c r="D1882" s="2" t="s">
        <v>2010</v>
      </c>
      <c r="E1882" s="2" t="s">
        <v>2048</v>
      </c>
      <c r="F1882" s="4">
        <v>4766.03</v>
      </c>
      <c r="G1882" s="5">
        <v>137.43</v>
      </c>
      <c r="H1882" s="6">
        <v>18</v>
      </c>
      <c r="I1882" s="2" t="s">
        <v>2118</v>
      </c>
      <c r="J1882" s="2" t="str">
        <v>Drive Compelling E-Services</v>
      </c>
      <c r="K1882" s="2" t="str">
        <v>Office Supplies</v>
      </c>
      <c r="L1882" s="2" t="str">
        <v>Morris-Villanueva</v>
      </c>
      <c r="M1882" s="2">
        <v>27.22</v>
      </c>
      <c r="N1882" s="16">
        <f t="shared" si="29"/>
        <v>2.8835319962316648E-2</v>
      </c>
    </row>
    <row r="1883" spans="2:14" ht="14.4" customHeight="1" x14ac:dyDescent="0.3">
      <c r="B1883" s="2" t="s">
        <v>1888</v>
      </c>
      <c r="C1883" s="3">
        <v>44896</v>
      </c>
      <c r="D1883" s="2" t="s">
        <v>2011</v>
      </c>
      <c r="E1883" s="2" t="s">
        <v>2058</v>
      </c>
      <c r="F1883" s="4">
        <v>2943.31</v>
      </c>
      <c r="G1883" s="5">
        <v>110.8</v>
      </c>
      <c r="H1883" s="6">
        <v>20</v>
      </c>
      <c r="I1883" s="2" t="s">
        <v>2116</v>
      </c>
      <c r="J1883" s="2" t="str">
        <v>Envisioneer B2C Web-Readiness</v>
      </c>
      <c r="K1883" s="2" t="str">
        <v>Electronics</v>
      </c>
      <c r="L1883" s="2" t="str">
        <v>Kemp Group</v>
      </c>
      <c r="M1883" s="2">
        <v>97.23</v>
      </c>
      <c r="N1883" s="16">
        <f t="shared" si="29"/>
        <v>3.7644692540031457E-2</v>
      </c>
    </row>
    <row r="1884" spans="2:14" ht="14.4" customHeight="1" x14ac:dyDescent="0.3">
      <c r="B1884" s="2" t="s">
        <v>1889</v>
      </c>
      <c r="C1884" s="3">
        <v>45230</v>
      </c>
      <c r="D1884" s="2" t="s">
        <v>2011</v>
      </c>
      <c r="E1884" s="2" t="s">
        <v>2073</v>
      </c>
      <c r="F1884" s="4">
        <v>518.73</v>
      </c>
      <c r="G1884" s="5">
        <v>293.81</v>
      </c>
      <c r="H1884" s="6">
        <v>11</v>
      </c>
      <c r="I1884" s="2" t="s">
        <v>2118</v>
      </c>
      <c r="J1884" s="2" t="str">
        <v>Visualize Dynamic E-Commerce</v>
      </c>
      <c r="K1884" s="2" t="str">
        <v>Furniture</v>
      </c>
      <c r="L1884" s="2" t="str">
        <v>Jones LLC</v>
      </c>
      <c r="M1884" s="2">
        <v>92.61</v>
      </c>
      <c r="N1884" s="16">
        <f t="shared" si="29"/>
        <v>0.5664025600987026</v>
      </c>
    </row>
    <row r="1885" spans="2:14" ht="14.4" customHeight="1" x14ac:dyDescent="0.3">
      <c r="B1885" s="2" t="s">
        <v>1890</v>
      </c>
      <c r="C1885" s="3">
        <v>44527</v>
      </c>
      <c r="D1885" s="2" t="s">
        <v>2009</v>
      </c>
      <c r="E1885" s="2" t="s">
        <v>2019</v>
      </c>
      <c r="F1885" s="4">
        <v>594.9</v>
      </c>
      <c r="G1885" s="5">
        <v>552.28</v>
      </c>
      <c r="H1885" s="6">
        <v>17</v>
      </c>
      <c r="I1885" s="2" t="s">
        <v>2118</v>
      </c>
      <c r="J1885" s="2" t="str">
        <v>Implement Clicks-And-Mortar Partnerships</v>
      </c>
      <c r="K1885" s="2" t="str">
        <v>Electronics</v>
      </c>
      <c r="L1885" s="2" t="str">
        <v>Smith Inc</v>
      </c>
      <c r="M1885" s="2">
        <v>195.53</v>
      </c>
      <c r="N1885" s="16">
        <f t="shared" si="29"/>
        <v>0.92835770717767696</v>
      </c>
    </row>
    <row r="1886" spans="2:14" ht="14.4" customHeight="1" x14ac:dyDescent="0.3">
      <c r="B1886" s="2" t="s">
        <v>1891</v>
      </c>
      <c r="C1886" s="3">
        <v>44176</v>
      </c>
      <c r="D1886" s="2" t="s">
        <v>2010</v>
      </c>
      <c r="E1886" s="2" t="s">
        <v>2057</v>
      </c>
      <c r="F1886" s="4">
        <v>359.26</v>
      </c>
      <c r="G1886" s="5">
        <v>237.21</v>
      </c>
      <c r="H1886" s="6">
        <v>12</v>
      </c>
      <c r="I1886" s="2" t="s">
        <v>2118</v>
      </c>
      <c r="J1886" s="2" t="str">
        <v>Reinvent Out-Of-The-Box Models</v>
      </c>
      <c r="K1886" s="2" t="str">
        <v>Office Supplies</v>
      </c>
      <c r="L1886" s="2" t="str">
        <v>Wagner-Curtis</v>
      </c>
      <c r="M1886" s="2">
        <v>172.34</v>
      </c>
      <c r="N1886" s="16">
        <f t="shared" si="29"/>
        <v>0.66027389634248179</v>
      </c>
    </row>
    <row r="1887" spans="2:14" ht="14.4" customHeight="1" x14ac:dyDescent="0.3">
      <c r="B1887" s="2" t="s">
        <v>1892</v>
      </c>
      <c r="C1887" s="3">
        <v>44795</v>
      </c>
      <c r="D1887" s="2" t="s">
        <v>2011</v>
      </c>
      <c r="E1887" s="2" t="s">
        <v>2056</v>
      </c>
      <c r="F1887" s="4">
        <v>1259.74</v>
      </c>
      <c r="G1887" s="5">
        <v>798.14</v>
      </c>
      <c r="H1887" s="6">
        <v>20</v>
      </c>
      <c r="I1887" s="2" t="s">
        <v>2116</v>
      </c>
      <c r="J1887" s="2" t="str">
        <v>Mesh Intuitive Supply-Chains</v>
      </c>
      <c r="K1887" s="2" t="str">
        <v>Electronics</v>
      </c>
      <c r="L1887" s="2" t="str">
        <v>Soto, Barnett and Heath</v>
      </c>
      <c r="M1887" s="2">
        <v>281</v>
      </c>
      <c r="N1887" s="16">
        <f t="shared" si="29"/>
        <v>0.63357518218044995</v>
      </c>
    </row>
    <row r="1888" spans="2:14" ht="14.4" customHeight="1" x14ac:dyDescent="0.3">
      <c r="B1888" s="2" t="s">
        <v>1893</v>
      </c>
      <c r="C1888" s="3">
        <v>43837</v>
      </c>
      <c r="D1888" s="2" t="s">
        <v>2009</v>
      </c>
      <c r="E1888" s="2" t="s">
        <v>2026</v>
      </c>
      <c r="F1888" s="4">
        <v>293.23</v>
      </c>
      <c r="G1888" s="5">
        <v>420.97</v>
      </c>
      <c r="H1888" s="6">
        <v>1</v>
      </c>
      <c r="I1888" s="2" t="s">
        <v>2118</v>
      </c>
      <c r="J1888" s="2" t="str">
        <v>Monetize Wireless Functionalities</v>
      </c>
      <c r="K1888" s="2" t="str">
        <v>Furniture</v>
      </c>
      <c r="L1888" s="2" t="str">
        <v>Robinson, Rodriguez and Hernandez</v>
      </c>
      <c r="M1888" s="2">
        <v>162.22</v>
      </c>
      <c r="N1888" s="16">
        <f t="shared" si="29"/>
        <v>1.4356307335538656</v>
      </c>
    </row>
    <row r="1889" spans="2:14" ht="14.4" customHeight="1" x14ac:dyDescent="0.3">
      <c r="B1889" s="2" t="s">
        <v>1894</v>
      </c>
      <c r="C1889" s="3">
        <v>44329</v>
      </c>
      <c r="D1889" s="2" t="s">
        <v>2010</v>
      </c>
      <c r="E1889" s="2" t="s">
        <v>2076</v>
      </c>
      <c r="F1889" s="4">
        <v>2489.85</v>
      </c>
      <c r="G1889" s="5">
        <v>63.5</v>
      </c>
      <c r="H1889" s="6">
        <v>13</v>
      </c>
      <c r="I1889" s="2" t="s">
        <v>2118</v>
      </c>
      <c r="J1889" s="2" t="str">
        <v>Deliver Extensible Partnerships</v>
      </c>
      <c r="K1889" s="2" t="str">
        <v>Furniture</v>
      </c>
      <c r="L1889" s="2" t="str">
        <v>Martin, Paul and Salazar</v>
      </c>
      <c r="M1889" s="2">
        <v>43.76</v>
      </c>
      <c r="N1889" s="16">
        <f t="shared" si="29"/>
        <v>2.5503544390224311E-2</v>
      </c>
    </row>
    <row r="1890" spans="2:14" ht="14.4" customHeight="1" x14ac:dyDescent="0.3">
      <c r="B1890" s="2" t="s">
        <v>1895</v>
      </c>
      <c r="C1890" s="3">
        <v>45552</v>
      </c>
      <c r="D1890" s="2" t="s">
        <v>2011</v>
      </c>
      <c r="E1890" s="2" t="s">
        <v>2081</v>
      </c>
      <c r="F1890" s="4">
        <v>4596.5200000000004</v>
      </c>
      <c r="G1890" s="5">
        <v>514.59</v>
      </c>
      <c r="H1890" s="6">
        <v>9</v>
      </c>
      <c r="I1890" s="2" t="s">
        <v>2117</v>
      </c>
      <c r="J1890" s="2" t="str">
        <v>Orchestrate User-Centric Platforms</v>
      </c>
      <c r="K1890" s="2" t="str">
        <v>Furniture</v>
      </c>
      <c r="L1890" s="2" t="str">
        <v>Wells Ltd</v>
      </c>
      <c r="M1890" s="2">
        <v>201.87</v>
      </c>
      <c r="N1890" s="16">
        <f t="shared" si="29"/>
        <v>0.11195208549076258</v>
      </c>
    </row>
    <row r="1891" spans="2:14" ht="14.4" customHeight="1" x14ac:dyDescent="0.3">
      <c r="B1891" s="2" t="s">
        <v>1896</v>
      </c>
      <c r="C1891" s="3">
        <v>44292</v>
      </c>
      <c r="D1891" s="2" t="s">
        <v>2010</v>
      </c>
      <c r="E1891" s="2" t="s">
        <v>2081</v>
      </c>
      <c r="F1891" s="4">
        <v>3035.86</v>
      </c>
      <c r="G1891" s="5">
        <v>328.21</v>
      </c>
      <c r="H1891" s="6">
        <v>14</v>
      </c>
      <c r="I1891" s="2" t="s">
        <v>2116</v>
      </c>
      <c r="J1891" s="2" t="str">
        <v>Orchestrate User-Centric Platforms</v>
      </c>
      <c r="K1891" s="2" t="str">
        <v>Furniture</v>
      </c>
      <c r="L1891" s="2" t="str">
        <v>Wells Ltd</v>
      </c>
      <c r="M1891" s="2">
        <v>201.87</v>
      </c>
      <c r="N1891" s="16">
        <f t="shared" si="29"/>
        <v>0.10811104596391137</v>
      </c>
    </row>
    <row r="1892" spans="2:14" ht="14.4" customHeight="1" x14ac:dyDescent="0.3">
      <c r="B1892" s="2" t="s">
        <v>1897</v>
      </c>
      <c r="C1892" s="3">
        <v>45516</v>
      </c>
      <c r="D1892" s="2" t="s">
        <v>2012</v>
      </c>
      <c r="E1892" s="2" t="s">
        <v>2091</v>
      </c>
      <c r="F1892" s="4">
        <v>1006.26</v>
      </c>
      <c r="G1892" s="5">
        <v>143.88999999999999</v>
      </c>
      <c r="H1892" s="6">
        <v>6</v>
      </c>
      <c r="I1892" s="2" t="s">
        <v>2116</v>
      </c>
      <c r="J1892" s="2" t="str">
        <v>Synthesize Scalable Portals</v>
      </c>
      <c r="K1892" s="2" t="str">
        <v>Furniture</v>
      </c>
      <c r="L1892" s="2" t="str">
        <v>Singh, Villa and Flynn</v>
      </c>
      <c r="M1892" s="2">
        <v>298.57</v>
      </c>
      <c r="N1892" s="16">
        <f t="shared" si="29"/>
        <v>0.14299485222507105</v>
      </c>
    </row>
    <row r="1893" spans="2:14" ht="14.4" customHeight="1" x14ac:dyDescent="0.3">
      <c r="B1893" s="2" t="s">
        <v>1898</v>
      </c>
      <c r="C1893" s="3">
        <v>44823</v>
      </c>
      <c r="D1893" s="2" t="s">
        <v>2012</v>
      </c>
      <c r="E1893" s="2" t="s">
        <v>2029</v>
      </c>
      <c r="F1893" s="4">
        <v>1405.9</v>
      </c>
      <c r="G1893" s="5">
        <v>466.05</v>
      </c>
      <c r="H1893" s="6">
        <v>5</v>
      </c>
      <c r="I1893" s="2" t="s">
        <v>2117</v>
      </c>
      <c r="J1893" s="2" t="str">
        <v>E-Enable Next-Generation Experiences</v>
      </c>
      <c r="K1893" s="2" t="str">
        <v>Furniture</v>
      </c>
      <c r="L1893" s="2" t="str">
        <v>Sanchez-Quinn</v>
      </c>
      <c r="M1893" s="2">
        <v>266.93</v>
      </c>
      <c r="N1893" s="16">
        <f t="shared" si="29"/>
        <v>0.33149583896436446</v>
      </c>
    </row>
    <row r="1894" spans="2:14" ht="14.4" customHeight="1" x14ac:dyDescent="0.3">
      <c r="B1894" s="2" t="s">
        <v>1899</v>
      </c>
      <c r="C1894" s="3">
        <v>44015</v>
      </c>
      <c r="D1894" s="2" t="s">
        <v>2012</v>
      </c>
      <c r="E1894" s="2" t="s">
        <v>2022</v>
      </c>
      <c r="F1894" s="4">
        <v>4048.81</v>
      </c>
      <c r="G1894" s="5">
        <v>295.77999999999997</v>
      </c>
      <c r="H1894" s="6">
        <v>12</v>
      </c>
      <c r="I1894" s="2" t="s">
        <v>2118</v>
      </c>
      <c r="J1894" s="2" t="str">
        <v>Monetize Collaborative Metrics</v>
      </c>
      <c r="K1894" s="2" t="str">
        <v>Electronics</v>
      </c>
      <c r="L1894" s="2" t="str">
        <v>Ramirez-Brown</v>
      </c>
      <c r="M1894" s="2">
        <v>286.04000000000002</v>
      </c>
      <c r="N1894" s="16">
        <f t="shared" si="29"/>
        <v>7.3053563886672862E-2</v>
      </c>
    </row>
    <row r="1895" spans="2:14" ht="14.4" customHeight="1" x14ac:dyDescent="0.3">
      <c r="B1895" s="2" t="s">
        <v>1900</v>
      </c>
      <c r="C1895" s="3">
        <v>45453</v>
      </c>
      <c r="D1895" s="2" t="s">
        <v>2010</v>
      </c>
      <c r="E1895" s="2" t="s">
        <v>2035</v>
      </c>
      <c r="F1895" s="4">
        <v>506.21</v>
      </c>
      <c r="G1895" s="5">
        <v>551.74</v>
      </c>
      <c r="H1895" s="6">
        <v>13</v>
      </c>
      <c r="I1895" s="2" t="s">
        <v>2117</v>
      </c>
      <c r="J1895" s="2" t="str">
        <v>Optimize 24/365 E-Services</v>
      </c>
      <c r="K1895" s="2" t="str">
        <v>Office Supplies</v>
      </c>
      <c r="L1895" s="2" t="str">
        <v>Chase Ltd</v>
      </c>
      <c r="M1895" s="2">
        <v>100.35</v>
      </c>
      <c r="N1895" s="16">
        <f t="shared" si="29"/>
        <v>1.0899429090693586</v>
      </c>
    </row>
    <row r="1896" spans="2:14" ht="14.4" customHeight="1" x14ac:dyDescent="0.3">
      <c r="B1896" s="2" t="s">
        <v>1901</v>
      </c>
      <c r="C1896" s="3">
        <v>44925</v>
      </c>
      <c r="D1896" s="2" t="s">
        <v>2009</v>
      </c>
      <c r="E1896" s="2" t="s">
        <v>2090</v>
      </c>
      <c r="F1896" s="4">
        <v>3513.19</v>
      </c>
      <c r="G1896" s="5">
        <v>707.62</v>
      </c>
      <c r="H1896" s="6">
        <v>16</v>
      </c>
      <c r="I1896" s="2" t="s">
        <v>2117</v>
      </c>
      <c r="J1896" s="2" t="str">
        <v>Empower Bleeding-Edge Action-Items</v>
      </c>
      <c r="K1896" s="2" t="str">
        <v>Furniture</v>
      </c>
      <c r="L1896" s="2" t="str">
        <v>Gray, Hayes and Banks</v>
      </c>
      <c r="M1896" s="2">
        <v>204.26</v>
      </c>
      <c r="N1896" s="16">
        <f t="shared" si="29"/>
        <v>0.2014180844190038</v>
      </c>
    </row>
    <row r="1897" spans="2:14" ht="14.4" customHeight="1" x14ac:dyDescent="0.3">
      <c r="B1897" s="2" t="s">
        <v>1902</v>
      </c>
      <c r="C1897" s="3">
        <v>45282</v>
      </c>
      <c r="D1897" s="2" t="s">
        <v>2012</v>
      </c>
      <c r="E1897" s="2" t="s">
        <v>2079</v>
      </c>
      <c r="F1897" s="4">
        <v>795.49</v>
      </c>
      <c r="G1897" s="5">
        <v>128.37</v>
      </c>
      <c r="H1897" s="6">
        <v>8</v>
      </c>
      <c r="I1897" s="2" t="s">
        <v>2116</v>
      </c>
      <c r="J1897" s="2" t="str">
        <v>Iterate Extensible Roi</v>
      </c>
      <c r="K1897" s="2" t="str">
        <v>Office Supplies</v>
      </c>
      <c r="L1897" s="2" t="str">
        <v>Hill-Kelly</v>
      </c>
      <c r="M1897" s="2">
        <v>180</v>
      </c>
      <c r="N1897" s="16">
        <f t="shared" si="29"/>
        <v>0.16137223598033917</v>
      </c>
    </row>
    <row r="1898" spans="2:14" ht="14.4" customHeight="1" x14ac:dyDescent="0.3">
      <c r="B1898" s="2" t="s">
        <v>1903</v>
      </c>
      <c r="C1898" s="3">
        <v>43868</v>
      </c>
      <c r="D1898" s="2" t="s">
        <v>2011</v>
      </c>
      <c r="E1898" s="2" t="s">
        <v>2100</v>
      </c>
      <c r="F1898" s="4">
        <v>2817.44</v>
      </c>
      <c r="G1898" s="5">
        <v>784.14</v>
      </c>
      <c r="H1898" s="6">
        <v>16</v>
      </c>
      <c r="I1898" s="2" t="s">
        <v>2117</v>
      </c>
      <c r="J1898" s="2" t="str">
        <v>Strategize Best-Of-Breed Web-Readiness</v>
      </c>
      <c r="K1898" s="2" t="str">
        <v>Office Supplies</v>
      </c>
      <c r="L1898" s="2" t="str">
        <v>Morris, King and Ayers</v>
      </c>
      <c r="M1898" s="2">
        <v>220.16</v>
      </c>
      <c r="N1898" s="16">
        <f t="shared" si="29"/>
        <v>0.2783164858878982</v>
      </c>
    </row>
    <row r="1899" spans="2:14" ht="14.4" customHeight="1" x14ac:dyDescent="0.3">
      <c r="B1899" s="2" t="s">
        <v>1904</v>
      </c>
      <c r="C1899" s="3">
        <v>45485</v>
      </c>
      <c r="D1899" s="2" t="s">
        <v>2009</v>
      </c>
      <c r="E1899" s="2" t="s">
        <v>2084</v>
      </c>
      <c r="F1899" s="4">
        <v>1884.47</v>
      </c>
      <c r="G1899" s="5">
        <v>733.32</v>
      </c>
      <c r="H1899" s="6">
        <v>17</v>
      </c>
      <c r="I1899" s="2" t="s">
        <v>2118</v>
      </c>
      <c r="J1899" s="2" t="str">
        <v>Grow Synergistic Infrastructures</v>
      </c>
      <c r="K1899" s="2" t="str">
        <v>Furniture</v>
      </c>
      <c r="L1899" s="2" t="str">
        <v>Adams-Carter</v>
      </c>
      <c r="M1899" s="2">
        <v>113.17</v>
      </c>
      <c r="N1899" s="16">
        <f t="shared" si="29"/>
        <v>0.38913859069128193</v>
      </c>
    </row>
    <row r="1900" spans="2:14" ht="14.4" customHeight="1" x14ac:dyDescent="0.3">
      <c r="B1900" s="2" t="s">
        <v>1905</v>
      </c>
      <c r="C1900" s="3">
        <v>44454</v>
      </c>
      <c r="D1900" s="2" t="s">
        <v>2009</v>
      </c>
      <c r="E1900" s="2" t="s">
        <v>2060</v>
      </c>
      <c r="F1900" s="4">
        <v>557.22</v>
      </c>
      <c r="G1900" s="5">
        <v>455.32</v>
      </c>
      <c r="H1900" s="6">
        <v>4</v>
      </c>
      <c r="I1900" s="2" t="s">
        <v>2118</v>
      </c>
      <c r="J1900" s="2" t="str">
        <v>Synergize End-To-End Roi</v>
      </c>
      <c r="K1900" s="2" t="str">
        <v>Electronics</v>
      </c>
      <c r="L1900" s="2" t="str">
        <v>Evans-Smith</v>
      </c>
      <c r="M1900" s="2">
        <v>159.85</v>
      </c>
      <c r="N1900" s="16">
        <f t="shared" si="29"/>
        <v>0.81712788485696852</v>
      </c>
    </row>
    <row r="1901" spans="2:14" ht="14.4" customHeight="1" x14ac:dyDescent="0.3">
      <c r="B1901" s="2" t="s">
        <v>1906</v>
      </c>
      <c r="C1901" s="3">
        <v>43960</v>
      </c>
      <c r="D1901" s="2" t="s">
        <v>2011</v>
      </c>
      <c r="E1901" s="2" t="s">
        <v>2037</v>
      </c>
      <c r="F1901" s="4">
        <v>2354.5100000000002</v>
      </c>
      <c r="G1901" s="5">
        <v>617.19000000000005</v>
      </c>
      <c r="H1901" s="6">
        <v>14</v>
      </c>
      <c r="I1901" s="2" t="s">
        <v>2116</v>
      </c>
      <c r="J1901" s="2" t="str">
        <v>Utilize Back-End Models</v>
      </c>
      <c r="K1901" s="2" t="str">
        <v>Furniture</v>
      </c>
      <c r="L1901" s="2" t="str">
        <v>Lewis-Holden</v>
      </c>
      <c r="M1901" s="2">
        <v>241.53</v>
      </c>
      <c r="N1901" s="16">
        <f t="shared" si="29"/>
        <v>0.26213097417297015</v>
      </c>
    </row>
    <row r="1902" spans="2:14" ht="14.4" customHeight="1" x14ac:dyDescent="0.3">
      <c r="B1902" s="2" t="s">
        <v>1907</v>
      </c>
      <c r="C1902" s="3">
        <v>45529</v>
      </c>
      <c r="D1902" s="2" t="s">
        <v>2012</v>
      </c>
      <c r="E1902" s="2" t="s">
        <v>2080</v>
      </c>
      <c r="F1902" s="4">
        <v>3156.57</v>
      </c>
      <c r="G1902" s="5">
        <v>948.82</v>
      </c>
      <c r="H1902" s="6">
        <v>15</v>
      </c>
      <c r="I1902" s="2" t="s">
        <v>2117</v>
      </c>
      <c r="J1902" s="2" t="str">
        <v>Scale Vertical Networks</v>
      </c>
      <c r="K1902" s="2" t="str">
        <v>Furniture</v>
      </c>
      <c r="L1902" s="2" t="str">
        <v>Lam, Wood and Jacobs</v>
      </c>
      <c r="M1902" s="2">
        <v>133.24</v>
      </c>
      <c r="N1902" s="16">
        <f t="shared" si="29"/>
        <v>0.30058576239399093</v>
      </c>
    </row>
    <row r="1903" spans="2:14" ht="14.4" customHeight="1" x14ac:dyDescent="0.3">
      <c r="B1903" s="2" t="s">
        <v>1908</v>
      </c>
      <c r="C1903" s="3">
        <v>44462</v>
      </c>
      <c r="D1903" s="2" t="s">
        <v>2011</v>
      </c>
      <c r="E1903" s="2" t="s">
        <v>2076</v>
      </c>
      <c r="F1903" s="4">
        <v>4175.41</v>
      </c>
      <c r="G1903" s="5">
        <v>586.09</v>
      </c>
      <c r="H1903" s="6">
        <v>18</v>
      </c>
      <c r="I1903" s="2" t="s">
        <v>2117</v>
      </c>
      <c r="J1903" s="2" t="str">
        <v>Deliver Extensible Partnerships</v>
      </c>
      <c r="K1903" s="2" t="str">
        <v>Furniture</v>
      </c>
      <c r="L1903" s="2" t="str">
        <v>Martin, Paul and Salazar</v>
      </c>
      <c r="M1903" s="2">
        <v>43.76</v>
      </c>
      <c r="N1903" s="16">
        <f t="shared" si="29"/>
        <v>0.1403670537743599</v>
      </c>
    </row>
    <row r="1904" spans="2:14" ht="14.4" customHeight="1" x14ac:dyDescent="0.3">
      <c r="B1904" s="2" t="s">
        <v>1909</v>
      </c>
      <c r="C1904" s="3">
        <v>45430</v>
      </c>
      <c r="D1904" s="2" t="s">
        <v>2012</v>
      </c>
      <c r="E1904" s="2" t="s">
        <v>2082</v>
      </c>
      <c r="F1904" s="4">
        <v>3801.53</v>
      </c>
      <c r="G1904" s="5">
        <v>352.53</v>
      </c>
      <c r="H1904" s="6">
        <v>9</v>
      </c>
      <c r="I1904" s="2" t="s">
        <v>2116</v>
      </c>
      <c r="J1904" s="2" t="str">
        <v>Re-Contextualize Viral Markets</v>
      </c>
      <c r="K1904" s="2" t="str">
        <v>Electronics</v>
      </c>
      <c r="L1904" s="2" t="str">
        <v>Meadows-Barber</v>
      </c>
      <c r="M1904" s="2">
        <v>177.52</v>
      </c>
      <c r="N1904" s="16">
        <f t="shared" si="29"/>
        <v>9.2733715109442769E-2</v>
      </c>
    </row>
    <row r="1905" spans="2:14" ht="14.4" customHeight="1" x14ac:dyDescent="0.3">
      <c r="B1905" s="2" t="s">
        <v>1910</v>
      </c>
      <c r="C1905" s="3">
        <v>44793</v>
      </c>
      <c r="D1905" s="2" t="s">
        <v>2009</v>
      </c>
      <c r="E1905" s="2" t="s">
        <v>2029</v>
      </c>
      <c r="F1905" s="4">
        <v>2028.64</v>
      </c>
      <c r="G1905" s="5">
        <v>857.37</v>
      </c>
      <c r="H1905" s="6">
        <v>17</v>
      </c>
      <c r="I1905" s="2" t="s">
        <v>2118</v>
      </c>
      <c r="J1905" s="2" t="str">
        <v>E-Enable Next-Generation Experiences</v>
      </c>
      <c r="K1905" s="2" t="str">
        <v>Furniture</v>
      </c>
      <c r="L1905" s="2" t="str">
        <v>Sanchez-Quinn</v>
      </c>
      <c r="M1905" s="2">
        <v>266.93</v>
      </c>
      <c r="N1905" s="16">
        <f t="shared" si="29"/>
        <v>0.42263289691616057</v>
      </c>
    </row>
    <row r="1906" spans="2:14" ht="14.4" customHeight="1" x14ac:dyDescent="0.3">
      <c r="B1906" s="2" t="s">
        <v>1911</v>
      </c>
      <c r="C1906" s="3">
        <v>45065</v>
      </c>
      <c r="D1906" s="2" t="s">
        <v>2011</v>
      </c>
      <c r="E1906" s="2" t="s">
        <v>2028</v>
      </c>
      <c r="F1906" s="4">
        <v>1683.28</v>
      </c>
      <c r="G1906" s="5">
        <v>910.6</v>
      </c>
      <c r="H1906" s="6">
        <v>12</v>
      </c>
      <c r="I1906" s="2" t="s">
        <v>2118</v>
      </c>
      <c r="J1906" s="2" t="str">
        <v>Synergize World-Class Networks</v>
      </c>
      <c r="K1906" s="2" t="str">
        <v>Electronics</v>
      </c>
      <c r="L1906" s="2" t="str">
        <v>Gomez-Lawrence</v>
      </c>
      <c r="M1906" s="2">
        <v>72.37</v>
      </c>
      <c r="N1906" s="16">
        <f t="shared" si="29"/>
        <v>0.54096763461812658</v>
      </c>
    </row>
    <row r="1907" spans="2:14" ht="14.4" customHeight="1" x14ac:dyDescent="0.3">
      <c r="B1907" s="2" t="s">
        <v>1912</v>
      </c>
      <c r="C1907" s="3">
        <v>44275</v>
      </c>
      <c r="D1907" s="2" t="s">
        <v>2011</v>
      </c>
      <c r="E1907" s="2" t="s">
        <v>2047</v>
      </c>
      <c r="F1907" s="4">
        <v>1139.94</v>
      </c>
      <c r="G1907" s="5">
        <v>923.62</v>
      </c>
      <c r="H1907" s="6">
        <v>13</v>
      </c>
      <c r="I1907" s="2" t="s">
        <v>2118</v>
      </c>
      <c r="J1907" s="2" t="str">
        <v>Transform Holistic Functionalities</v>
      </c>
      <c r="K1907" s="2" t="str">
        <v>Office Supplies</v>
      </c>
      <c r="L1907" s="2" t="str">
        <v>Ruiz Ltd</v>
      </c>
      <c r="M1907" s="2">
        <v>179.27</v>
      </c>
      <c r="N1907" s="16">
        <f t="shared" si="29"/>
        <v>0.81023562643647906</v>
      </c>
    </row>
    <row r="1908" spans="2:14" ht="14.4" customHeight="1" x14ac:dyDescent="0.3">
      <c r="B1908" s="2" t="s">
        <v>1913</v>
      </c>
      <c r="C1908" s="3">
        <v>44992</v>
      </c>
      <c r="D1908" s="2" t="s">
        <v>2011</v>
      </c>
      <c r="E1908" s="2" t="s">
        <v>2111</v>
      </c>
      <c r="F1908" s="4">
        <v>3129.77</v>
      </c>
      <c r="G1908" s="5">
        <v>926.89</v>
      </c>
      <c r="H1908" s="6">
        <v>10</v>
      </c>
      <c r="I1908" s="2" t="s">
        <v>2117</v>
      </c>
      <c r="J1908" s="2" t="str">
        <v>Evolve Intuitive Bandwidth</v>
      </c>
      <c r="K1908" s="2" t="str">
        <v>Office Supplies</v>
      </c>
      <c r="L1908" s="2" t="str">
        <v>Rogers Group</v>
      </c>
      <c r="M1908" s="2">
        <v>131.63</v>
      </c>
      <c r="N1908" s="16">
        <f t="shared" si="29"/>
        <v>0.29615275243867761</v>
      </c>
    </row>
    <row r="1909" spans="2:14" ht="14.4" customHeight="1" x14ac:dyDescent="0.3">
      <c r="B1909" s="2" t="s">
        <v>1914</v>
      </c>
      <c r="C1909" s="3">
        <v>44679</v>
      </c>
      <c r="D1909" s="2" t="s">
        <v>2012</v>
      </c>
      <c r="E1909" s="2" t="s">
        <v>2046</v>
      </c>
      <c r="F1909" s="4">
        <v>2029.65</v>
      </c>
      <c r="G1909" s="5">
        <v>995.66</v>
      </c>
      <c r="H1909" s="6">
        <v>11</v>
      </c>
      <c r="I1909" s="2" t="s">
        <v>2116</v>
      </c>
      <c r="J1909" s="2" t="str">
        <v>Facilitate End-To-End Experiences</v>
      </c>
      <c r="K1909" s="2" t="str">
        <v>Office Supplies</v>
      </c>
      <c r="L1909" s="2" t="str">
        <v>Pierce-Goodwin</v>
      </c>
      <c r="M1909" s="2">
        <v>260.52999999999997</v>
      </c>
      <c r="N1909" s="16">
        <f t="shared" si="29"/>
        <v>0.49055748528071341</v>
      </c>
    </row>
    <row r="1910" spans="2:14" ht="14.4" customHeight="1" x14ac:dyDescent="0.3">
      <c r="B1910" s="2" t="s">
        <v>1915</v>
      </c>
      <c r="C1910" s="3">
        <v>44503</v>
      </c>
      <c r="D1910" s="2" t="s">
        <v>2010</v>
      </c>
      <c r="E1910" s="2" t="s">
        <v>2042</v>
      </c>
      <c r="F1910" s="4">
        <v>342.54</v>
      </c>
      <c r="G1910" s="5">
        <v>939.88</v>
      </c>
      <c r="H1910" s="6">
        <v>19</v>
      </c>
      <c r="I1910" s="2" t="s">
        <v>2118</v>
      </c>
      <c r="J1910" s="2" t="str">
        <v>Orchestrate E-Business Niches</v>
      </c>
      <c r="K1910" s="2" t="str">
        <v>Furniture</v>
      </c>
      <c r="L1910" s="2" t="str">
        <v>Johnson LLC</v>
      </c>
      <c r="M1910" s="2">
        <v>198.99</v>
      </c>
      <c r="N1910" s="16">
        <f t="shared" si="29"/>
        <v>2.7438547322940385</v>
      </c>
    </row>
    <row r="1911" spans="2:14" ht="14.4" customHeight="1" x14ac:dyDescent="0.3">
      <c r="B1911" s="2" t="s">
        <v>1916</v>
      </c>
      <c r="C1911" s="3">
        <v>44355</v>
      </c>
      <c r="D1911" s="2" t="s">
        <v>2009</v>
      </c>
      <c r="E1911" s="2" t="s">
        <v>2031</v>
      </c>
      <c r="F1911" s="4">
        <v>2915.52</v>
      </c>
      <c r="G1911" s="5">
        <v>751.86</v>
      </c>
      <c r="H1911" s="6">
        <v>2</v>
      </c>
      <c r="I1911" s="2" t="s">
        <v>2116</v>
      </c>
      <c r="J1911" s="2" t="str">
        <v>Embrace 24/365 Functionalities</v>
      </c>
      <c r="K1911" s="2" t="str">
        <v>Office Supplies</v>
      </c>
      <c r="L1911" s="2" t="str">
        <v>Smith LLC</v>
      </c>
      <c r="M1911" s="2">
        <v>204.04</v>
      </c>
      <c r="N1911" s="16">
        <f t="shared" si="29"/>
        <v>0.25788195587751073</v>
      </c>
    </row>
    <row r="1912" spans="2:14" ht="14.4" customHeight="1" x14ac:dyDescent="0.3">
      <c r="B1912" s="2" t="s">
        <v>1917</v>
      </c>
      <c r="C1912" s="3">
        <v>44489</v>
      </c>
      <c r="D1912" s="2" t="s">
        <v>2012</v>
      </c>
      <c r="E1912" s="2" t="s">
        <v>2030</v>
      </c>
      <c r="F1912" s="4">
        <v>1694.71</v>
      </c>
      <c r="G1912" s="5">
        <v>88.01</v>
      </c>
      <c r="H1912" s="6">
        <v>16</v>
      </c>
      <c r="I1912" s="2" t="s">
        <v>2116</v>
      </c>
      <c r="J1912" s="2" t="str">
        <v>Engage Rich Web-Readiness</v>
      </c>
      <c r="K1912" s="2" t="str">
        <v>Office Supplies</v>
      </c>
      <c r="L1912" s="2" t="str">
        <v>Turner Inc</v>
      </c>
      <c r="M1912" s="2">
        <v>81.069999999999993</v>
      </c>
      <c r="N1912" s="16">
        <f t="shared" si="29"/>
        <v>5.1932188988086457E-2</v>
      </c>
    </row>
    <row r="1913" spans="2:14" ht="14.4" customHeight="1" x14ac:dyDescent="0.3">
      <c r="B1913" s="2" t="s">
        <v>1918</v>
      </c>
      <c r="C1913" s="3">
        <v>44777</v>
      </c>
      <c r="D1913" s="2" t="s">
        <v>2012</v>
      </c>
      <c r="E1913" s="2" t="s">
        <v>2035</v>
      </c>
      <c r="F1913" s="4">
        <v>890.05</v>
      </c>
      <c r="G1913" s="5">
        <v>692.94</v>
      </c>
      <c r="H1913" s="6">
        <v>3</v>
      </c>
      <c r="I1913" s="2" t="s">
        <v>2118</v>
      </c>
      <c r="J1913" s="2" t="str">
        <v>Optimize 24/365 E-Services</v>
      </c>
      <c r="K1913" s="2" t="str">
        <v>Office Supplies</v>
      </c>
      <c r="L1913" s="2" t="str">
        <v>Chase Ltd</v>
      </c>
      <c r="M1913" s="2">
        <v>100.35</v>
      </c>
      <c r="N1913" s="16">
        <f t="shared" si="29"/>
        <v>0.77854053143081858</v>
      </c>
    </row>
    <row r="1914" spans="2:14" ht="14.4" customHeight="1" x14ac:dyDescent="0.3">
      <c r="B1914" s="2" t="s">
        <v>1919</v>
      </c>
      <c r="C1914" s="3">
        <v>44077</v>
      </c>
      <c r="D1914" s="2" t="s">
        <v>2011</v>
      </c>
      <c r="E1914" s="2" t="s">
        <v>2101</v>
      </c>
      <c r="F1914" s="4">
        <v>4680.13</v>
      </c>
      <c r="G1914" s="5">
        <v>546.1</v>
      </c>
      <c r="H1914" s="6">
        <v>7</v>
      </c>
      <c r="I1914" s="2" t="s">
        <v>2118</v>
      </c>
      <c r="J1914" s="2" t="str">
        <v>Deploy Granular Channels</v>
      </c>
      <c r="K1914" s="2" t="str">
        <v>Furniture</v>
      </c>
      <c r="L1914" s="2" t="str">
        <v>Barnes Ltd</v>
      </c>
      <c r="M1914" s="2">
        <v>288.99</v>
      </c>
      <c r="N1914" s="16">
        <f t="shared" si="29"/>
        <v>0.11668479294378575</v>
      </c>
    </row>
    <row r="1915" spans="2:14" ht="14.4" customHeight="1" x14ac:dyDescent="0.3">
      <c r="B1915" s="2" t="s">
        <v>1920</v>
      </c>
      <c r="C1915" s="3">
        <v>44409</v>
      </c>
      <c r="D1915" s="2" t="s">
        <v>2011</v>
      </c>
      <c r="E1915" s="2" t="s">
        <v>2092</v>
      </c>
      <c r="F1915" s="4">
        <v>1593.5</v>
      </c>
      <c r="G1915" s="5">
        <v>821.32</v>
      </c>
      <c r="H1915" s="6">
        <v>20</v>
      </c>
      <c r="I1915" s="2" t="s">
        <v>2117</v>
      </c>
      <c r="J1915" s="2" t="str">
        <v>Seize Clicks-And-Mortar Platforms</v>
      </c>
      <c r="K1915" s="2" t="str">
        <v>Office Supplies</v>
      </c>
      <c r="L1915" s="2" t="str">
        <v>Owens, Campos and Wood</v>
      </c>
      <c r="M1915" s="2">
        <v>271.16000000000003</v>
      </c>
      <c r="N1915" s="16">
        <f t="shared" si="29"/>
        <v>0.51541888923752743</v>
      </c>
    </row>
    <row r="1916" spans="2:14" ht="14.4" customHeight="1" x14ac:dyDescent="0.3">
      <c r="B1916" s="2" t="s">
        <v>1921</v>
      </c>
      <c r="C1916" s="3">
        <v>44517</v>
      </c>
      <c r="D1916" s="2" t="s">
        <v>2012</v>
      </c>
      <c r="E1916" s="2" t="s">
        <v>2109</v>
      </c>
      <c r="F1916" s="4">
        <v>4203.2</v>
      </c>
      <c r="G1916" s="5">
        <v>378.33</v>
      </c>
      <c r="H1916" s="6">
        <v>6</v>
      </c>
      <c r="I1916" s="2" t="s">
        <v>2116</v>
      </c>
      <c r="J1916" s="2" t="str">
        <v>Deliver Viral Eyeballs</v>
      </c>
      <c r="K1916" s="2" t="str">
        <v>Office Supplies</v>
      </c>
      <c r="L1916" s="2" t="str">
        <v>Estes, Chan and Thomas</v>
      </c>
      <c r="M1916" s="2">
        <v>16.89</v>
      </c>
      <c r="N1916" s="16">
        <f t="shared" si="29"/>
        <v>9.0009992386752946E-2</v>
      </c>
    </row>
    <row r="1917" spans="2:14" ht="14.4" customHeight="1" x14ac:dyDescent="0.3">
      <c r="B1917" s="2" t="s">
        <v>1922</v>
      </c>
      <c r="C1917" s="3">
        <v>44088</v>
      </c>
      <c r="D1917" s="2" t="s">
        <v>2011</v>
      </c>
      <c r="E1917" s="2" t="s">
        <v>2080</v>
      </c>
      <c r="F1917" s="4">
        <v>975.86</v>
      </c>
      <c r="G1917" s="5">
        <v>397.62</v>
      </c>
      <c r="H1917" s="6">
        <v>19</v>
      </c>
      <c r="I1917" s="2" t="s">
        <v>2116</v>
      </c>
      <c r="J1917" s="2" t="str">
        <v>Scale Vertical Networks</v>
      </c>
      <c r="K1917" s="2" t="str">
        <v>Furniture</v>
      </c>
      <c r="L1917" s="2" t="str">
        <v>Lam, Wood and Jacobs</v>
      </c>
      <c r="M1917" s="2">
        <v>133.24</v>
      </c>
      <c r="N1917" s="16">
        <f t="shared" si="29"/>
        <v>0.40745598753919621</v>
      </c>
    </row>
    <row r="1918" spans="2:14" ht="14.4" customHeight="1" x14ac:dyDescent="0.3">
      <c r="B1918" s="2" t="s">
        <v>1923</v>
      </c>
      <c r="C1918" s="3">
        <v>45319</v>
      </c>
      <c r="D1918" s="2" t="s">
        <v>2009</v>
      </c>
      <c r="E1918" s="2" t="s">
        <v>2040</v>
      </c>
      <c r="F1918" s="4">
        <v>2662.08</v>
      </c>
      <c r="G1918" s="5">
        <v>22.23</v>
      </c>
      <c r="H1918" s="6">
        <v>9</v>
      </c>
      <c r="I1918" s="2" t="s">
        <v>2116</v>
      </c>
      <c r="J1918" s="2" t="str">
        <v>Synergize End-To-End Supply-Chains</v>
      </c>
      <c r="K1918" s="2" t="str">
        <v>Office Supplies</v>
      </c>
      <c r="L1918" s="2" t="str">
        <v>Higgins-Espinoza</v>
      </c>
      <c r="M1918" s="2">
        <v>279.8</v>
      </c>
      <c r="N1918" s="16">
        <f t="shared" si="29"/>
        <v>8.3506130544536601E-3</v>
      </c>
    </row>
    <row r="1919" spans="2:14" ht="14.4" customHeight="1" x14ac:dyDescent="0.3">
      <c r="B1919" s="2" t="s">
        <v>1924</v>
      </c>
      <c r="C1919" s="3">
        <v>44854</v>
      </c>
      <c r="D1919" s="2" t="s">
        <v>2010</v>
      </c>
      <c r="E1919" s="2" t="s">
        <v>2015</v>
      </c>
      <c r="F1919" s="4">
        <v>3694.76</v>
      </c>
      <c r="G1919" s="5">
        <v>675.04</v>
      </c>
      <c r="H1919" s="6">
        <v>20</v>
      </c>
      <c r="I1919" s="2" t="s">
        <v>2116</v>
      </c>
      <c r="J1919" s="2" t="str">
        <v>Brand Web-Enabled Solutions</v>
      </c>
      <c r="K1919" s="2" t="str">
        <v>Electronics</v>
      </c>
      <c r="L1919" s="2" t="str">
        <v>Russell Group</v>
      </c>
      <c r="M1919" s="2">
        <v>51.67</v>
      </c>
      <c r="N1919" s="16">
        <f t="shared" si="29"/>
        <v>0.18270198876246357</v>
      </c>
    </row>
    <row r="1920" spans="2:14" ht="14.4" customHeight="1" x14ac:dyDescent="0.3">
      <c r="B1920" s="2" t="s">
        <v>1925</v>
      </c>
      <c r="C1920" s="3">
        <v>44038</v>
      </c>
      <c r="D1920" s="2" t="s">
        <v>2011</v>
      </c>
      <c r="E1920" s="2" t="s">
        <v>2092</v>
      </c>
      <c r="F1920" s="4">
        <v>2772.79</v>
      </c>
      <c r="G1920" s="5">
        <v>164.93</v>
      </c>
      <c r="H1920" s="6">
        <v>7</v>
      </c>
      <c r="I1920" s="2" t="s">
        <v>2116</v>
      </c>
      <c r="J1920" s="2" t="str">
        <v>Seize Clicks-And-Mortar Platforms</v>
      </c>
      <c r="K1920" s="2" t="str">
        <v>Office Supplies</v>
      </c>
      <c r="L1920" s="2" t="str">
        <v>Owens, Campos and Wood</v>
      </c>
      <c r="M1920" s="2">
        <v>271.16000000000003</v>
      </c>
      <c r="N1920" s="16">
        <f t="shared" si="29"/>
        <v>5.9481605170243694E-2</v>
      </c>
    </row>
    <row r="1921" spans="2:14" ht="14.4" customHeight="1" x14ac:dyDescent="0.3">
      <c r="B1921" s="2" t="s">
        <v>1926</v>
      </c>
      <c r="C1921" s="3">
        <v>45019</v>
      </c>
      <c r="D1921" s="2" t="s">
        <v>2010</v>
      </c>
      <c r="E1921" s="2" t="s">
        <v>2094</v>
      </c>
      <c r="F1921" s="4">
        <v>2786.62</v>
      </c>
      <c r="G1921" s="5">
        <v>323.52</v>
      </c>
      <c r="H1921" s="6">
        <v>2</v>
      </c>
      <c r="I1921" s="2" t="s">
        <v>2116</v>
      </c>
      <c r="J1921" s="2" t="str">
        <v>Implement Rich Platforms</v>
      </c>
      <c r="K1921" s="2" t="str">
        <v>Electronics</v>
      </c>
      <c r="L1921" s="2" t="str">
        <v>Parker, Anderson and Salazar</v>
      </c>
      <c r="M1921" s="2">
        <v>53.59</v>
      </c>
      <c r="N1921" s="16">
        <f t="shared" si="29"/>
        <v>0.11609763799872247</v>
      </c>
    </row>
    <row r="1922" spans="2:14" ht="14.4" customHeight="1" x14ac:dyDescent="0.3">
      <c r="B1922" s="2" t="s">
        <v>1927</v>
      </c>
      <c r="C1922" s="3">
        <v>44957</v>
      </c>
      <c r="D1922" s="2" t="s">
        <v>2009</v>
      </c>
      <c r="E1922" s="2" t="s">
        <v>2041</v>
      </c>
      <c r="F1922" s="4">
        <v>523.36</v>
      </c>
      <c r="G1922" s="5">
        <v>193.82</v>
      </c>
      <c r="H1922" s="6">
        <v>13</v>
      </c>
      <c r="I1922" s="2" t="s">
        <v>2117</v>
      </c>
      <c r="J1922" s="2" t="str">
        <v>Expedite Synergistic Web-Readiness</v>
      </c>
      <c r="K1922" s="2" t="str">
        <v>Electronics</v>
      </c>
      <c r="L1922" s="2" t="str">
        <v>Dunlap, Carpenter and Monroe</v>
      </c>
      <c r="M1922" s="2">
        <v>289.66000000000003</v>
      </c>
      <c r="N1922" s="16">
        <f t="shared" si="29"/>
        <v>0.37033781718129011</v>
      </c>
    </row>
    <row r="1923" spans="2:14" ht="14.4" customHeight="1" x14ac:dyDescent="0.3">
      <c r="B1923" s="2" t="s">
        <v>1928</v>
      </c>
      <c r="C1923" s="3">
        <v>43901</v>
      </c>
      <c r="D1923" s="2" t="s">
        <v>2010</v>
      </c>
      <c r="E1923" s="2" t="s">
        <v>2098</v>
      </c>
      <c r="F1923" s="4">
        <v>3926.31</v>
      </c>
      <c r="G1923" s="5">
        <v>455.81</v>
      </c>
      <c r="H1923" s="6">
        <v>15</v>
      </c>
      <c r="I1923" s="2" t="s">
        <v>2118</v>
      </c>
      <c r="J1923" s="2" t="str">
        <v>Deliver Viral Channels</v>
      </c>
      <c r="K1923" s="2" t="str">
        <v>Furniture</v>
      </c>
      <c r="L1923" s="2" t="str">
        <v>Parker LLC</v>
      </c>
      <c r="M1923" s="2">
        <v>45.41</v>
      </c>
      <c r="N1923" s="16">
        <f t="shared" si="29"/>
        <v>0.11609118994679483</v>
      </c>
    </row>
    <row r="1924" spans="2:14" ht="14.4" customHeight="1" x14ac:dyDescent="0.3">
      <c r="B1924" s="2" t="s">
        <v>1929</v>
      </c>
      <c r="C1924" s="3">
        <v>44411</v>
      </c>
      <c r="D1924" s="2" t="s">
        <v>2009</v>
      </c>
      <c r="E1924" s="2" t="s">
        <v>2103</v>
      </c>
      <c r="F1924" s="4">
        <v>2196.1</v>
      </c>
      <c r="G1924" s="5">
        <v>747.3</v>
      </c>
      <c r="H1924" s="6">
        <v>15</v>
      </c>
      <c r="I1924" s="2" t="s">
        <v>2117</v>
      </c>
      <c r="J1924" s="2" t="str">
        <v>Benchmark Cross-Platform Markets</v>
      </c>
      <c r="K1924" s="2" t="str">
        <v>Furniture</v>
      </c>
      <c r="L1924" s="2" t="str">
        <v>Murphy, Mathews and Wilson</v>
      </c>
      <c r="M1924" s="2">
        <v>78.88</v>
      </c>
      <c r="N1924" s="16">
        <f t="shared" si="29"/>
        <v>0.34028505077182275</v>
      </c>
    </row>
    <row r="1925" spans="2:14" ht="14.4" customHeight="1" x14ac:dyDescent="0.3">
      <c r="B1925" s="2" t="s">
        <v>1930</v>
      </c>
      <c r="C1925" s="3">
        <v>44536</v>
      </c>
      <c r="D1925" s="2" t="s">
        <v>2010</v>
      </c>
      <c r="E1925" s="2" t="s">
        <v>2098</v>
      </c>
      <c r="F1925" s="4">
        <v>2121.96</v>
      </c>
      <c r="G1925" s="5">
        <v>297.11</v>
      </c>
      <c r="H1925" s="6">
        <v>18</v>
      </c>
      <c r="I1925" s="2" t="s">
        <v>2116</v>
      </c>
      <c r="J1925" s="2" t="str">
        <v>Deliver Viral Channels</v>
      </c>
      <c r="K1925" s="2" t="str">
        <v>Furniture</v>
      </c>
      <c r="L1925" s="2" t="str">
        <v>Parker LLC</v>
      </c>
      <c r="M1925" s="2">
        <v>45.41</v>
      </c>
      <c r="N1925" s="16">
        <f t="shared" ref="N1925:N1988" si="30">(G1925/F1925)</f>
        <v>0.14001677694207243</v>
      </c>
    </row>
    <row r="1926" spans="2:14" ht="14.4" customHeight="1" x14ac:dyDescent="0.3">
      <c r="B1926" s="2" t="s">
        <v>1931</v>
      </c>
      <c r="C1926" s="3">
        <v>43919</v>
      </c>
      <c r="D1926" s="2" t="s">
        <v>2010</v>
      </c>
      <c r="E1926" s="2" t="s">
        <v>2062</v>
      </c>
      <c r="F1926" s="4">
        <v>2540.15</v>
      </c>
      <c r="G1926" s="5">
        <v>478.16</v>
      </c>
      <c r="H1926" s="6">
        <v>3</v>
      </c>
      <c r="I1926" s="2" t="s">
        <v>2116</v>
      </c>
      <c r="J1926" s="2" t="str">
        <v>Incubate Real-Time E-Tailers</v>
      </c>
      <c r="K1926" s="2" t="str">
        <v>Electronics</v>
      </c>
      <c r="L1926" s="2" t="str">
        <v>Johnson-Riley</v>
      </c>
      <c r="M1926" s="2">
        <v>86.67</v>
      </c>
      <c r="N1926" s="16">
        <f t="shared" si="30"/>
        <v>0.18824085191819381</v>
      </c>
    </row>
    <row r="1927" spans="2:14" ht="14.4" customHeight="1" x14ac:dyDescent="0.3">
      <c r="B1927" s="2" t="s">
        <v>1932</v>
      </c>
      <c r="C1927" s="3">
        <v>44003</v>
      </c>
      <c r="D1927" s="2" t="s">
        <v>2011</v>
      </c>
      <c r="E1927" s="2" t="s">
        <v>2086</v>
      </c>
      <c r="F1927" s="4">
        <v>4157.67</v>
      </c>
      <c r="G1927" s="5">
        <v>147.09</v>
      </c>
      <c r="H1927" s="6">
        <v>6</v>
      </c>
      <c r="I1927" s="2" t="s">
        <v>2118</v>
      </c>
      <c r="J1927" s="2" t="str">
        <v>Harness Proactive Eyeballs</v>
      </c>
      <c r="K1927" s="2" t="str">
        <v>Electronics</v>
      </c>
      <c r="L1927" s="2" t="str">
        <v>Moran and Sons</v>
      </c>
      <c r="M1927" s="2">
        <v>58.01</v>
      </c>
      <c r="N1927" s="16">
        <f t="shared" si="30"/>
        <v>3.5377988152017835E-2</v>
      </c>
    </row>
    <row r="1928" spans="2:14" ht="14.4" customHeight="1" x14ac:dyDescent="0.3">
      <c r="B1928" s="2" t="s">
        <v>1933</v>
      </c>
      <c r="C1928" s="3">
        <v>44445</v>
      </c>
      <c r="D1928" s="2" t="s">
        <v>2012</v>
      </c>
      <c r="E1928" s="2" t="s">
        <v>2019</v>
      </c>
      <c r="F1928" s="4">
        <v>1398.25</v>
      </c>
      <c r="G1928" s="5">
        <v>337.64</v>
      </c>
      <c r="H1928" s="6">
        <v>20</v>
      </c>
      <c r="I1928" s="2" t="s">
        <v>2116</v>
      </c>
      <c r="J1928" s="2" t="str">
        <v>Implement Clicks-And-Mortar Partnerships</v>
      </c>
      <c r="K1928" s="2" t="str">
        <v>Electronics</v>
      </c>
      <c r="L1928" s="2" t="str">
        <v>Smith Inc</v>
      </c>
      <c r="M1928" s="2">
        <v>195.53</v>
      </c>
      <c r="N1928" s="16">
        <f t="shared" si="30"/>
        <v>0.24147327015912748</v>
      </c>
    </row>
    <row r="1929" spans="2:14" ht="14.4" customHeight="1" x14ac:dyDescent="0.3">
      <c r="B1929" s="2" t="s">
        <v>1934</v>
      </c>
      <c r="C1929" s="3">
        <v>44667</v>
      </c>
      <c r="D1929" s="2" t="s">
        <v>2010</v>
      </c>
      <c r="E1929" s="2" t="s">
        <v>2096</v>
      </c>
      <c r="F1929" s="4">
        <v>3158.07</v>
      </c>
      <c r="G1929" s="5">
        <v>441.92</v>
      </c>
      <c r="H1929" s="6">
        <v>8</v>
      </c>
      <c r="I1929" s="2" t="s">
        <v>2117</v>
      </c>
      <c r="J1929" s="2" t="str">
        <v>Disintermediate Scalable Bandwidth</v>
      </c>
      <c r="K1929" s="2" t="str">
        <v>Electronics</v>
      </c>
      <c r="L1929" s="2" t="str">
        <v>Levy PLC</v>
      </c>
      <c r="M1929" s="2">
        <v>19.86</v>
      </c>
      <c r="N1929" s="16">
        <f t="shared" si="30"/>
        <v>0.13993356702036369</v>
      </c>
    </row>
    <row r="1930" spans="2:14" ht="14.4" customHeight="1" x14ac:dyDescent="0.3">
      <c r="B1930" s="2" t="s">
        <v>1935</v>
      </c>
      <c r="C1930" s="3">
        <v>45503</v>
      </c>
      <c r="D1930" s="2" t="s">
        <v>2012</v>
      </c>
      <c r="E1930" s="2" t="s">
        <v>2017</v>
      </c>
      <c r="F1930" s="4">
        <v>596.84</v>
      </c>
      <c r="G1930" s="5">
        <v>891.82</v>
      </c>
      <c r="H1930" s="6">
        <v>3</v>
      </c>
      <c r="I1930" s="2" t="s">
        <v>2117</v>
      </c>
      <c r="J1930" s="2" t="str">
        <v>Target Bricks-And-Clicks Channels</v>
      </c>
      <c r="K1930" s="2" t="str">
        <v>Electronics</v>
      </c>
      <c r="L1930" s="2" t="str">
        <v>Dunn, Christensen and Meyer</v>
      </c>
      <c r="M1930" s="2">
        <v>126.86</v>
      </c>
      <c r="N1930" s="16">
        <f t="shared" si="30"/>
        <v>1.494236311239193</v>
      </c>
    </row>
    <row r="1931" spans="2:14" ht="14.4" customHeight="1" x14ac:dyDescent="0.3">
      <c r="B1931" s="2" t="s">
        <v>1936</v>
      </c>
      <c r="C1931" s="3">
        <v>43983</v>
      </c>
      <c r="D1931" s="2" t="s">
        <v>2012</v>
      </c>
      <c r="E1931" s="2" t="s">
        <v>2050</v>
      </c>
      <c r="F1931" s="4">
        <v>2628.97</v>
      </c>
      <c r="G1931" s="5">
        <v>313.51</v>
      </c>
      <c r="H1931" s="6">
        <v>18</v>
      </c>
      <c r="I1931" s="2" t="s">
        <v>2117</v>
      </c>
      <c r="J1931" s="2" t="str">
        <v>Extend Bricks-And-Clicks Architectures</v>
      </c>
      <c r="K1931" s="2" t="str">
        <v>Furniture</v>
      </c>
      <c r="L1931" s="2" t="str">
        <v>Fuller PLC</v>
      </c>
      <c r="M1931" s="2">
        <v>202.99</v>
      </c>
      <c r="N1931" s="16">
        <f t="shared" si="30"/>
        <v>0.11925202645903149</v>
      </c>
    </row>
    <row r="1932" spans="2:14" ht="14.4" customHeight="1" x14ac:dyDescent="0.3">
      <c r="B1932" s="2" t="s">
        <v>1937</v>
      </c>
      <c r="C1932" s="3">
        <v>45520</v>
      </c>
      <c r="D1932" s="2" t="s">
        <v>2009</v>
      </c>
      <c r="E1932" s="2" t="s">
        <v>2033</v>
      </c>
      <c r="F1932" s="4">
        <v>3511.28</v>
      </c>
      <c r="G1932" s="5">
        <v>756.63</v>
      </c>
      <c r="H1932" s="6">
        <v>13</v>
      </c>
      <c r="I1932" s="2" t="s">
        <v>2116</v>
      </c>
      <c r="J1932" s="2" t="str">
        <v>Leverage Rich Portals</v>
      </c>
      <c r="K1932" s="2" t="str">
        <v>Office Supplies</v>
      </c>
      <c r="L1932" s="2" t="str">
        <v>Wilson PLC</v>
      </c>
      <c r="M1932" s="2">
        <v>46.35</v>
      </c>
      <c r="N1932" s="16">
        <f t="shared" si="30"/>
        <v>0.2154855209496252</v>
      </c>
    </row>
    <row r="1933" spans="2:14" ht="14.4" customHeight="1" x14ac:dyDescent="0.3">
      <c r="B1933" s="2" t="s">
        <v>1938</v>
      </c>
      <c r="C1933" s="3">
        <v>44937</v>
      </c>
      <c r="D1933" s="2" t="s">
        <v>2010</v>
      </c>
      <c r="E1933" s="2" t="s">
        <v>2033</v>
      </c>
      <c r="F1933" s="4">
        <v>1771.8</v>
      </c>
      <c r="G1933" s="5">
        <v>707.01</v>
      </c>
      <c r="H1933" s="6">
        <v>17</v>
      </c>
      <c r="I1933" s="2" t="s">
        <v>2117</v>
      </c>
      <c r="J1933" s="2" t="str">
        <v>Leverage Rich Portals</v>
      </c>
      <c r="K1933" s="2" t="str">
        <v>Office Supplies</v>
      </c>
      <c r="L1933" s="2" t="str">
        <v>Wilson PLC</v>
      </c>
      <c r="M1933" s="2">
        <v>46.35</v>
      </c>
      <c r="N1933" s="16">
        <f t="shared" si="30"/>
        <v>0.39903487978327123</v>
      </c>
    </row>
    <row r="1934" spans="2:14" ht="14.4" customHeight="1" x14ac:dyDescent="0.3">
      <c r="B1934" s="2" t="s">
        <v>1939</v>
      </c>
      <c r="C1934" s="3">
        <v>45485</v>
      </c>
      <c r="D1934" s="2" t="s">
        <v>2011</v>
      </c>
      <c r="E1934" s="2" t="s">
        <v>2068</v>
      </c>
      <c r="F1934" s="4">
        <v>3566.35</v>
      </c>
      <c r="G1934" s="5">
        <v>695.21</v>
      </c>
      <c r="H1934" s="6">
        <v>18</v>
      </c>
      <c r="I1934" s="2" t="s">
        <v>2117</v>
      </c>
      <c r="J1934" s="2" t="str">
        <v>E-Enable Virtual Methodologies</v>
      </c>
      <c r="K1934" s="2" t="str">
        <v>Office Supplies</v>
      </c>
      <c r="L1934" s="2" t="str">
        <v>Floyd-Love</v>
      </c>
      <c r="M1934" s="2">
        <v>283.64999999999998</v>
      </c>
      <c r="N1934" s="16">
        <f t="shared" si="30"/>
        <v>0.1949359989905646</v>
      </c>
    </row>
    <row r="1935" spans="2:14" ht="14.4" customHeight="1" x14ac:dyDescent="0.3">
      <c r="B1935" s="2" t="s">
        <v>1940</v>
      </c>
      <c r="C1935" s="3">
        <v>45470</v>
      </c>
      <c r="D1935" s="2" t="s">
        <v>2011</v>
      </c>
      <c r="E1935" s="2" t="s">
        <v>2108</v>
      </c>
      <c r="F1935" s="4">
        <v>3678.21</v>
      </c>
      <c r="G1935" s="5">
        <v>332.25</v>
      </c>
      <c r="H1935" s="6">
        <v>19</v>
      </c>
      <c r="I1935" s="2" t="s">
        <v>2116</v>
      </c>
      <c r="J1935" s="2" t="str">
        <v>Whiteboard B2B Content</v>
      </c>
      <c r="K1935" s="2" t="str">
        <v>Office Supplies</v>
      </c>
      <c r="L1935" s="2" t="str">
        <v>Romero PLC</v>
      </c>
      <c r="M1935" s="2">
        <v>93.81</v>
      </c>
      <c r="N1935" s="16">
        <f t="shared" si="30"/>
        <v>9.0329263418891248E-2</v>
      </c>
    </row>
    <row r="1936" spans="2:14" ht="14.4" customHeight="1" x14ac:dyDescent="0.3">
      <c r="B1936" s="2" t="s">
        <v>1941</v>
      </c>
      <c r="C1936" s="3">
        <v>44057</v>
      </c>
      <c r="D1936" s="2" t="s">
        <v>2009</v>
      </c>
      <c r="E1936" s="2" t="s">
        <v>2039</v>
      </c>
      <c r="F1936" s="4">
        <v>4290.25</v>
      </c>
      <c r="G1936" s="5">
        <v>36.200000000000003</v>
      </c>
      <c r="H1936" s="6">
        <v>9</v>
      </c>
      <c r="I1936" s="2" t="s">
        <v>2116</v>
      </c>
      <c r="J1936" s="2" t="str">
        <v>Empower Dot-Com Deliverables</v>
      </c>
      <c r="K1936" s="2" t="str">
        <v>Electronics</v>
      </c>
      <c r="L1936" s="2" t="str">
        <v>Davis LLC</v>
      </c>
      <c r="M1936" s="2">
        <v>250.66</v>
      </c>
      <c r="N1936" s="16">
        <f t="shared" si="30"/>
        <v>8.4377367286288685E-3</v>
      </c>
    </row>
    <row r="1937" spans="2:14" ht="14.4" customHeight="1" x14ac:dyDescent="0.3">
      <c r="B1937" s="2" t="s">
        <v>1942</v>
      </c>
      <c r="C1937" s="3">
        <v>44810</v>
      </c>
      <c r="D1937" s="2" t="s">
        <v>2012</v>
      </c>
      <c r="E1937" s="2" t="s">
        <v>2049</v>
      </c>
      <c r="F1937" s="4">
        <v>2254.09</v>
      </c>
      <c r="G1937" s="5">
        <v>677.01</v>
      </c>
      <c r="H1937" s="6">
        <v>1</v>
      </c>
      <c r="I1937" s="2" t="s">
        <v>2116</v>
      </c>
      <c r="J1937" s="2" t="str">
        <v>Scale 24/365 Networks</v>
      </c>
      <c r="K1937" s="2" t="str">
        <v>Furniture</v>
      </c>
      <c r="L1937" s="2" t="str">
        <v>Kim-Hamilton</v>
      </c>
      <c r="M1937" s="2">
        <v>157.55000000000001</v>
      </c>
      <c r="N1937" s="16">
        <f t="shared" si="30"/>
        <v>0.3003473685611488</v>
      </c>
    </row>
    <row r="1938" spans="2:14" ht="14.4" customHeight="1" x14ac:dyDescent="0.3">
      <c r="B1938" s="2" t="s">
        <v>1943</v>
      </c>
      <c r="C1938" s="3">
        <v>45252</v>
      </c>
      <c r="D1938" s="2" t="s">
        <v>2010</v>
      </c>
      <c r="E1938" s="2" t="s">
        <v>2074</v>
      </c>
      <c r="F1938" s="4">
        <v>3606.48</v>
      </c>
      <c r="G1938" s="5">
        <v>689.27</v>
      </c>
      <c r="H1938" s="6">
        <v>7</v>
      </c>
      <c r="I1938" s="2" t="s">
        <v>2116</v>
      </c>
      <c r="J1938" s="2" t="str">
        <v>Utilize Ubiquitous Synergies</v>
      </c>
      <c r="K1938" s="2" t="str">
        <v>Electronics</v>
      </c>
      <c r="L1938" s="2" t="str">
        <v>Kramer, Huang and Shaw</v>
      </c>
      <c r="M1938" s="2">
        <v>295.89999999999998</v>
      </c>
      <c r="N1938" s="16">
        <f t="shared" si="30"/>
        <v>0.19111987311727779</v>
      </c>
    </row>
    <row r="1939" spans="2:14" ht="14.4" customHeight="1" x14ac:dyDescent="0.3">
      <c r="B1939" s="2" t="s">
        <v>1944</v>
      </c>
      <c r="C1939" s="3">
        <v>45088</v>
      </c>
      <c r="D1939" s="2" t="s">
        <v>2012</v>
      </c>
      <c r="E1939" s="2" t="s">
        <v>2050</v>
      </c>
      <c r="F1939" s="4">
        <v>3247.43</v>
      </c>
      <c r="G1939" s="5">
        <v>707.72</v>
      </c>
      <c r="H1939" s="6">
        <v>12</v>
      </c>
      <c r="I1939" s="2" t="s">
        <v>2116</v>
      </c>
      <c r="J1939" s="2" t="str">
        <v>Extend Bricks-And-Clicks Architectures</v>
      </c>
      <c r="K1939" s="2" t="str">
        <v>Furniture</v>
      </c>
      <c r="L1939" s="2" t="str">
        <v>Fuller PLC</v>
      </c>
      <c r="M1939" s="2">
        <v>202.99</v>
      </c>
      <c r="N1939" s="16">
        <f t="shared" si="30"/>
        <v>0.21793233418426264</v>
      </c>
    </row>
    <row r="1940" spans="2:14" ht="14.4" customHeight="1" x14ac:dyDescent="0.3">
      <c r="B1940" s="2" t="s">
        <v>1945</v>
      </c>
      <c r="C1940" s="3">
        <v>45188</v>
      </c>
      <c r="D1940" s="2" t="s">
        <v>2012</v>
      </c>
      <c r="E1940" s="2" t="s">
        <v>2091</v>
      </c>
      <c r="F1940" s="4">
        <v>3952.28</v>
      </c>
      <c r="G1940" s="5">
        <v>414.14</v>
      </c>
      <c r="H1940" s="6">
        <v>9</v>
      </c>
      <c r="I1940" s="2" t="s">
        <v>2116</v>
      </c>
      <c r="J1940" s="2" t="str">
        <v>Synthesize Scalable Portals</v>
      </c>
      <c r="K1940" s="2" t="str">
        <v>Furniture</v>
      </c>
      <c r="L1940" s="2" t="str">
        <v>Singh, Villa and Flynn</v>
      </c>
      <c r="M1940" s="2">
        <v>298.57</v>
      </c>
      <c r="N1940" s="16">
        <f t="shared" si="30"/>
        <v>0.10478508607689738</v>
      </c>
    </row>
    <row r="1941" spans="2:14" ht="14.4" customHeight="1" x14ac:dyDescent="0.3">
      <c r="B1941" s="2" t="s">
        <v>1946</v>
      </c>
      <c r="C1941" s="3">
        <v>44724</v>
      </c>
      <c r="D1941" s="2" t="s">
        <v>2012</v>
      </c>
      <c r="E1941" s="2" t="s">
        <v>2070</v>
      </c>
      <c r="F1941" s="4">
        <v>2024.81</v>
      </c>
      <c r="G1941" s="5">
        <v>860.63</v>
      </c>
      <c r="H1941" s="6">
        <v>16</v>
      </c>
      <c r="I1941" s="2" t="s">
        <v>2117</v>
      </c>
      <c r="J1941" s="2" t="str">
        <v>Seize Plug-And-Play Web-Readiness</v>
      </c>
      <c r="K1941" s="2" t="str">
        <v>Electronics</v>
      </c>
      <c r="L1941" s="2" t="str">
        <v>Joseph, Mayer and Carr</v>
      </c>
      <c r="M1941" s="2">
        <v>102.73</v>
      </c>
      <c r="N1941" s="16">
        <f t="shared" si="30"/>
        <v>0.42504234965255999</v>
      </c>
    </row>
    <row r="1942" spans="2:14" ht="14.4" customHeight="1" x14ac:dyDescent="0.3">
      <c r="B1942" s="2" t="s">
        <v>1947</v>
      </c>
      <c r="C1942" s="3">
        <v>44201</v>
      </c>
      <c r="D1942" s="2" t="s">
        <v>2012</v>
      </c>
      <c r="E1942" s="2" t="s">
        <v>2094</v>
      </c>
      <c r="F1942" s="4">
        <v>314.83999999999997</v>
      </c>
      <c r="G1942" s="5">
        <v>350.2</v>
      </c>
      <c r="H1942" s="6">
        <v>5</v>
      </c>
      <c r="I1942" s="2" t="s">
        <v>2117</v>
      </c>
      <c r="J1942" s="2" t="str">
        <v>Implement Rich Platforms</v>
      </c>
      <c r="K1942" s="2" t="str">
        <v>Electronics</v>
      </c>
      <c r="L1942" s="2" t="str">
        <v>Parker, Anderson and Salazar</v>
      </c>
      <c r="M1942" s="2">
        <v>53.59</v>
      </c>
      <c r="N1942" s="16">
        <f t="shared" si="30"/>
        <v>1.1123110151187905</v>
      </c>
    </row>
    <row r="1943" spans="2:14" ht="14.4" customHeight="1" x14ac:dyDescent="0.3">
      <c r="B1943" s="2" t="s">
        <v>1948</v>
      </c>
      <c r="C1943" s="3">
        <v>44294</v>
      </c>
      <c r="D1943" s="2" t="s">
        <v>2012</v>
      </c>
      <c r="E1943" s="2" t="s">
        <v>2048</v>
      </c>
      <c r="F1943" s="4">
        <v>2940.85</v>
      </c>
      <c r="G1943" s="5">
        <v>870.77</v>
      </c>
      <c r="H1943" s="6">
        <v>1</v>
      </c>
      <c r="I1943" s="2" t="s">
        <v>2116</v>
      </c>
      <c r="J1943" s="2" t="str">
        <v>Drive Compelling E-Services</v>
      </c>
      <c r="K1943" s="2" t="str">
        <v>Office Supplies</v>
      </c>
      <c r="L1943" s="2" t="str">
        <v>Morris-Villanueva</v>
      </c>
      <c r="M1943" s="2">
        <v>27.22</v>
      </c>
      <c r="N1943" s="16">
        <f t="shared" si="30"/>
        <v>0.29609466650798238</v>
      </c>
    </row>
    <row r="1944" spans="2:14" ht="14.4" customHeight="1" x14ac:dyDescent="0.3">
      <c r="B1944" s="2" t="s">
        <v>1949</v>
      </c>
      <c r="C1944" s="3">
        <v>44401</v>
      </c>
      <c r="D1944" s="2" t="s">
        <v>2009</v>
      </c>
      <c r="E1944" s="2" t="s">
        <v>2030</v>
      </c>
      <c r="F1944" s="4">
        <v>4213.17</v>
      </c>
      <c r="G1944" s="5">
        <v>386</v>
      </c>
      <c r="H1944" s="6">
        <v>3</v>
      </c>
      <c r="I1944" s="2" t="s">
        <v>2116</v>
      </c>
      <c r="J1944" s="2" t="str">
        <v>Engage Rich Web-Readiness</v>
      </c>
      <c r="K1944" s="2" t="str">
        <v>Office Supplies</v>
      </c>
      <c r="L1944" s="2" t="str">
        <v>Turner Inc</v>
      </c>
      <c r="M1944" s="2">
        <v>81.069999999999993</v>
      </c>
      <c r="N1944" s="16">
        <f t="shared" si="30"/>
        <v>9.1617475677459009E-2</v>
      </c>
    </row>
    <row r="1945" spans="2:14" ht="14.4" customHeight="1" x14ac:dyDescent="0.3">
      <c r="B1945" s="2" t="s">
        <v>1950</v>
      </c>
      <c r="C1945" s="3">
        <v>44243</v>
      </c>
      <c r="D1945" s="2" t="s">
        <v>2009</v>
      </c>
      <c r="E1945" s="2" t="s">
        <v>2062</v>
      </c>
      <c r="F1945" s="4">
        <v>1889.48</v>
      </c>
      <c r="G1945" s="5">
        <v>196.01</v>
      </c>
      <c r="H1945" s="6">
        <v>9</v>
      </c>
      <c r="I1945" s="2" t="s">
        <v>2118</v>
      </c>
      <c r="J1945" s="2" t="str">
        <v>Incubate Real-Time E-Tailers</v>
      </c>
      <c r="K1945" s="2" t="str">
        <v>Electronics</v>
      </c>
      <c r="L1945" s="2" t="str">
        <v>Johnson-Riley</v>
      </c>
      <c r="M1945" s="2">
        <v>86.67</v>
      </c>
      <c r="N1945" s="16">
        <f t="shared" si="30"/>
        <v>0.10373753625336071</v>
      </c>
    </row>
    <row r="1946" spans="2:14" ht="14.4" customHeight="1" x14ac:dyDescent="0.3">
      <c r="B1946" s="2" t="s">
        <v>1951</v>
      </c>
      <c r="C1946" s="3">
        <v>44893</v>
      </c>
      <c r="D1946" s="2" t="s">
        <v>2010</v>
      </c>
      <c r="E1946" s="2" t="s">
        <v>2047</v>
      </c>
      <c r="F1946" s="4">
        <v>2647.84</v>
      </c>
      <c r="G1946" s="5">
        <v>332.03</v>
      </c>
      <c r="H1946" s="6">
        <v>9</v>
      </c>
      <c r="I1946" s="2" t="s">
        <v>2116</v>
      </c>
      <c r="J1946" s="2" t="str">
        <v>Transform Holistic Functionalities</v>
      </c>
      <c r="K1946" s="2" t="str">
        <v>Office Supplies</v>
      </c>
      <c r="L1946" s="2" t="str">
        <v>Ruiz Ltd</v>
      </c>
      <c r="M1946" s="2">
        <v>179.27</v>
      </c>
      <c r="N1946" s="16">
        <f t="shared" si="30"/>
        <v>0.12539654964046165</v>
      </c>
    </row>
    <row r="1947" spans="2:14" ht="14.4" customHeight="1" x14ac:dyDescent="0.3">
      <c r="B1947" s="2" t="s">
        <v>1952</v>
      </c>
      <c r="C1947" s="3">
        <v>44783</v>
      </c>
      <c r="D1947" s="2" t="s">
        <v>2009</v>
      </c>
      <c r="E1947" s="2" t="s">
        <v>2033</v>
      </c>
      <c r="F1947" s="4">
        <v>2795.2</v>
      </c>
      <c r="G1947" s="5">
        <v>909.87</v>
      </c>
      <c r="H1947" s="6">
        <v>14</v>
      </c>
      <c r="I1947" s="2" t="s">
        <v>2118</v>
      </c>
      <c r="J1947" s="2" t="str">
        <v>Leverage Rich Portals</v>
      </c>
      <c r="K1947" s="2" t="str">
        <v>Office Supplies</v>
      </c>
      <c r="L1947" s="2" t="str">
        <v>Wilson PLC</v>
      </c>
      <c r="M1947" s="2">
        <v>46.35</v>
      </c>
      <c r="N1947" s="16">
        <f t="shared" si="30"/>
        <v>0.32551159129937035</v>
      </c>
    </row>
    <row r="1948" spans="2:14" ht="14.4" customHeight="1" x14ac:dyDescent="0.3">
      <c r="B1948" s="2" t="s">
        <v>1953</v>
      </c>
      <c r="C1948" s="3">
        <v>44428</v>
      </c>
      <c r="D1948" s="2" t="s">
        <v>2009</v>
      </c>
      <c r="E1948" s="2" t="s">
        <v>2049</v>
      </c>
      <c r="F1948" s="4">
        <v>4422.2700000000004</v>
      </c>
      <c r="G1948" s="5">
        <v>675.29</v>
      </c>
      <c r="H1948" s="6">
        <v>7</v>
      </c>
      <c r="I1948" s="2" t="s">
        <v>2116</v>
      </c>
      <c r="J1948" s="2" t="str">
        <v>Scale 24/365 Networks</v>
      </c>
      <c r="K1948" s="2" t="str">
        <v>Furniture</v>
      </c>
      <c r="L1948" s="2" t="str">
        <v>Kim-Hamilton</v>
      </c>
      <c r="M1948" s="2">
        <v>157.55000000000001</v>
      </c>
      <c r="N1948" s="16">
        <f t="shared" si="30"/>
        <v>0.15270211904745751</v>
      </c>
    </row>
    <row r="1949" spans="2:14" ht="14.4" customHeight="1" x14ac:dyDescent="0.3">
      <c r="B1949" s="2" t="s">
        <v>1954</v>
      </c>
      <c r="C1949" s="3">
        <v>44075</v>
      </c>
      <c r="D1949" s="2" t="s">
        <v>2012</v>
      </c>
      <c r="E1949" s="2" t="s">
        <v>2033</v>
      </c>
      <c r="F1949" s="4">
        <v>4777.13</v>
      </c>
      <c r="G1949" s="5">
        <v>172.08</v>
      </c>
      <c r="H1949" s="6">
        <v>12</v>
      </c>
      <c r="I1949" s="2" t="s">
        <v>2118</v>
      </c>
      <c r="J1949" s="2" t="str">
        <v>Leverage Rich Portals</v>
      </c>
      <c r="K1949" s="2" t="str">
        <v>Office Supplies</v>
      </c>
      <c r="L1949" s="2" t="str">
        <v>Wilson PLC</v>
      </c>
      <c r="M1949" s="2">
        <v>46.35</v>
      </c>
      <c r="N1949" s="16">
        <f t="shared" si="30"/>
        <v>3.6021628048640085E-2</v>
      </c>
    </row>
    <row r="1950" spans="2:14" ht="14.4" customHeight="1" x14ac:dyDescent="0.3">
      <c r="B1950" s="2" t="s">
        <v>1955</v>
      </c>
      <c r="C1950" s="3">
        <v>44993</v>
      </c>
      <c r="D1950" s="2" t="s">
        <v>2010</v>
      </c>
      <c r="E1950" s="2" t="s">
        <v>2101</v>
      </c>
      <c r="F1950" s="4">
        <v>3562.4</v>
      </c>
      <c r="G1950" s="5">
        <v>955.45</v>
      </c>
      <c r="H1950" s="6">
        <v>2</v>
      </c>
      <c r="I1950" s="2" t="s">
        <v>2118</v>
      </c>
      <c r="J1950" s="2" t="str">
        <v>Deploy Granular Channels</v>
      </c>
      <c r="K1950" s="2" t="str">
        <v>Furniture</v>
      </c>
      <c r="L1950" s="2" t="str">
        <v>Barnes Ltd</v>
      </c>
      <c r="M1950" s="2">
        <v>288.99</v>
      </c>
      <c r="N1950" s="16">
        <f t="shared" si="30"/>
        <v>0.26820401976195823</v>
      </c>
    </row>
    <row r="1951" spans="2:14" ht="14.4" customHeight="1" x14ac:dyDescent="0.3">
      <c r="B1951" s="2" t="s">
        <v>1956</v>
      </c>
      <c r="C1951" s="3">
        <v>44888</v>
      </c>
      <c r="D1951" s="2" t="s">
        <v>2010</v>
      </c>
      <c r="E1951" s="2" t="s">
        <v>2055</v>
      </c>
      <c r="F1951" s="4">
        <v>154.06</v>
      </c>
      <c r="G1951" s="5">
        <v>280.10000000000002</v>
      </c>
      <c r="H1951" s="6">
        <v>8</v>
      </c>
      <c r="I1951" s="2" t="s">
        <v>2118</v>
      </c>
      <c r="J1951" s="2" t="str">
        <v>Engineer Real-Time Architectures</v>
      </c>
      <c r="K1951" s="2" t="str">
        <v>Furniture</v>
      </c>
      <c r="L1951" s="2" t="str">
        <v>James and Sons</v>
      </c>
      <c r="M1951" s="2">
        <v>127.23</v>
      </c>
      <c r="N1951" s="16">
        <f t="shared" si="30"/>
        <v>1.8181228092950799</v>
      </c>
    </row>
    <row r="1952" spans="2:14" ht="14.4" customHeight="1" x14ac:dyDescent="0.3">
      <c r="B1952" s="2" t="s">
        <v>1957</v>
      </c>
      <c r="C1952" s="3">
        <v>43943</v>
      </c>
      <c r="D1952" s="2" t="s">
        <v>2012</v>
      </c>
      <c r="E1952" s="2" t="s">
        <v>2083</v>
      </c>
      <c r="F1952" s="4">
        <v>1626.9</v>
      </c>
      <c r="G1952" s="5">
        <v>433.9</v>
      </c>
      <c r="H1952" s="6">
        <v>14</v>
      </c>
      <c r="I1952" s="2" t="s">
        <v>2116</v>
      </c>
      <c r="J1952" s="2" t="str">
        <v>Whiteboard Sticky Content</v>
      </c>
      <c r="K1952" s="2" t="str">
        <v>Furniture</v>
      </c>
      <c r="L1952" s="2" t="str">
        <v>Wolfe Group</v>
      </c>
      <c r="M1952" s="2">
        <v>82.16</v>
      </c>
      <c r="N1952" s="16">
        <f t="shared" si="30"/>
        <v>0.26670354662241069</v>
      </c>
    </row>
    <row r="1953" spans="2:14" ht="14.4" customHeight="1" x14ac:dyDescent="0.3">
      <c r="B1953" s="2" t="s">
        <v>1958</v>
      </c>
      <c r="C1953" s="3">
        <v>44069</v>
      </c>
      <c r="D1953" s="2" t="s">
        <v>2009</v>
      </c>
      <c r="E1953" s="2" t="s">
        <v>2110</v>
      </c>
      <c r="F1953" s="4">
        <v>304.55</v>
      </c>
      <c r="G1953" s="5">
        <v>276.43</v>
      </c>
      <c r="H1953" s="6">
        <v>11</v>
      </c>
      <c r="I1953" s="2" t="s">
        <v>2116</v>
      </c>
      <c r="J1953" s="2" t="str">
        <v>Repurpose End-To-End Networks</v>
      </c>
      <c r="K1953" s="2" t="str">
        <v>Office Supplies</v>
      </c>
      <c r="L1953" s="2" t="str">
        <v>Torres-Rush</v>
      </c>
      <c r="M1953" s="2">
        <v>97.02</v>
      </c>
      <c r="N1953" s="16">
        <f t="shared" si="30"/>
        <v>0.90766704974552614</v>
      </c>
    </row>
    <row r="1954" spans="2:14" ht="14.4" customHeight="1" x14ac:dyDescent="0.3">
      <c r="B1954" s="2" t="s">
        <v>1959</v>
      </c>
      <c r="C1954" s="3">
        <v>45470</v>
      </c>
      <c r="D1954" s="2" t="s">
        <v>2009</v>
      </c>
      <c r="E1954" s="2" t="s">
        <v>2098</v>
      </c>
      <c r="F1954" s="4">
        <v>4165.26</v>
      </c>
      <c r="G1954" s="5">
        <v>901.42</v>
      </c>
      <c r="H1954" s="6">
        <v>14</v>
      </c>
      <c r="I1954" s="2" t="s">
        <v>2118</v>
      </c>
      <c r="J1954" s="2" t="str">
        <v>Deliver Viral Channels</v>
      </c>
      <c r="K1954" s="2" t="str">
        <v>Furniture</v>
      </c>
      <c r="L1954" s="2" t="str">
        <v>Parker LLC</v>
      </c>
      <c r="M1954" s="2">
        <v>45.41</v>
      </c>
      <c r="N1954" s="16">
        <f t="shared" si="30"/>
        <v>0.21641386131958146</v>
      </c>
    </row>
    <row r="1955" spans="2:14" ht="14.4" customHeight="1" x14ac:dyDescent="0.3">
      <c r="B1955" s="2" t="s">
        <v>1960</v>
      </c>
      <c r="C1955" s="3">
        <v>44208</v>
      </c>
      <c r="D1955" s="2" t="s">
        <v>2010</v>
      </c>
      <c r="E1955" s="2" t="s">
        <v>2091</v>
      </c>
      <c r="F1955" s="4">
        <v>1318.69</v>
      </c>
      <c r="G1955" s="5">
        <v>990.14</v>
      </c>
      <c r="H1955" s="6">
        <v>2</v>
      </c>
      <c r="I1955" s="2" t="s">
        <v>2116</v>
      </c>
      <c r="J1955" s="2" t="str">
        <v>Synthesize Scalable Portals</v>
      </c>
      <c r="K1955" s="2" t="str">
        <v>Furniture</v>
      </c>
      <c r="L1955" s="2" t="str">
        <v>Singh, Villa and Flynn</v>
      </c>
      <c r="M1955" s="2">
        <v>298.57</v>
      </c>
      <c r="N1955" s="16">
        <f t="shared" si="30"/>
        <v>0.75085122356277822</v>
      </c>
    </row>
    <row r="1956" spans="2:14" ht="14.4" customHeight="1" x14ac:dyDescent="0.3">
      <c r="B1956" s="2" t="s">
        <v>1961</v>
      </c>
      <c r="C1956" s="3">
        <v>45151</v>
      </c>
      <c r="D1956" s="2" t="s">
        <v>2010</v>
      </c>
      <c r="E1956" s="2" t="s">
        <v>2071</v>
      </c>
      <c r="F1956" s="4">
        <v>844.3</v>
      </c>
      <c r="G1956" s="5">
        <v>230.49</v>
      </c>
      <c r="H1956" s="6">
        <v>14</v>
      </c>
      <c r="I1956" s="2" t="s">
        <v>2116</v>
      </c>
      <c r="J1956" s="2" t="str">
        <v>Incentivize Front-End Mindshare</v>
      </c>
      <c r="K1956" s="2" t="str">
        <v>Electronics</v>
      </c>
      <c r="L1956" s="2" t="str">
        <v>Phillips-Tran</v>
      </c>
      <c r="M1956" s="2">
        <v>196.86</v>
      </c>
      <c r="N1956" s="16">
        <f t="shared" si="30"/>
        <v>0.27299538078881919</v>
      </c>
    </row>
    <row r="1957" spans="2:14" ht="14.4" customHeight="1" x14ac:dyDescent="0.3">
      <c r="B1957" s="2" t="s">
        <v>1962</v>
      </c>
      <c r="C1957" s="3">
        <v>44436</v>
      </c>
      <c r="D1957" s="2" t="s">
        <v>2009</v>
      </c>
      <c r="E1957" s="2" t="s">
        <v>2103</v>
      </c>
      <c r="F1957" s="4">
        <v>1535.98</v>
      </c>
      <c r="G1957" s="5">
        <v>755.48</v>
      </c>
      <c r="H1957" s="6">
        <v>13</v>
      </c>
      <c r="I1957" s="2" t="s">
        <v>2117</v>
      </c>
      <c r="J1957" s="2" t="str">
        <v>Benchmark Cross-Platform Markets</v>
      </c>
      <c r="K1957" s="2" t="str">
        <v>Furniture</v>
      </c>
      <c r="L1957" s="2" t="str">
        <v>Murphy, Mathews and Wilson</v>
      </c>
      <c r="M1957" s="2">
        <v>78.88</v>
      </c>
      <c r="N1957" s="16">
        <f t="shared" si="30"/>
        <v>0.49185536270003516</v>
      </c>
    </row>
    <row r="1958" spans="2:14" ht="14.4" customHeight="1" x14ac:dyDescent="0.3">
      <c r="B1958" s="2" t="s">
        <v>1963</v>
      </c>
      <c r="C1958" s="3">
        <v>44400</v>
      </c>
      <c r="D1958" s="2" t="s">
        <v>2010</v>
      </c>
      <c r="E1958" s="2" t="s">
        <v>2034</v>
      </c>
      <c r="F1958" s="4">
        <v>4984.25</v>
      </c>
      <c r="G1958" s="5">
        <v>751.13</v>
      </c>
      <c r="H1958" s="6">
        <v>18</v>
      </c>
      <c r="I1958" s="2" t="s">
        <v>2118</v>
      </c>
      <c r="J1958" s="2" t="str">
        <v>Utilize Virtual Partnerships</v>
      </c>
      <c r="K1958" s="2" t="str">
        <v>Furniture</v>
      </c>
      <c r="L1958" s="2" t="str">
        <v>Smith, Diaz and Heath</v>
      </c>
      <c r="M1958" s="2">
        <v>193.02</v>
      </c>
      <c r="N1958" s="16">
        <f t="shared" si="30"/>
        <v>0.15070070722776746</v>
      </c>
    </row>
    <row r="1959" spans="2:14" ht="14.4" customHeight="1" x14ac:dyDescent="0.3">
      <c r="B1959" s="2" t="s">
        <v>1964</v>
      </c>
      <c r="C1959" s="3">
        <v>44566</v>
      </c>
      <c r="D1959" s="2" t="s">
        <v>2010</v>
      </c>
      <c r="E1959" s="2" t="s">
        <v>2086</v>
      </c>
      <c r="F1959" s="4">
        <v>2757.26</v>
      </c>
      <c r="G1959" s="5">
        <v>35.81</v>
      </c>
      <c r="H1959" s="6">
        <v>7</v>
      </c>
      <c r="I1959" s="2" t="s">
        <v>2118</v>
      </c>
      <c r="J1959" s="2" t="str">
        <v>Harness Proactive Eyeballs</v>
      </c>
      <c r="K1959" s="2" t="str">
        <v>Electronics</v>
      </c>
      <c r="L1959" s="2" t="str">
        <v>Moran and Sons</v>
      </c>
      <c r="M1959" s="2">
        <v>58.01</v>
      </c>
      <c r="N1959" s="16">
        <f t="shared" si="30"/>
        <v>1.2987531099714934E-2</v>
      </c>
    </row>
    <row r="1960" spans="2:14" ht="14.4" customHeight="1" x14ac:dyDescent="0.3">
      <c r="B1960" s="2" t="s">
        <v>1965</v>
      </c>
      <c r="C1960" s="3">
        <v>45174</v>
      </c>
      <c r="D1960" s="2" t="s">
        <v>2010</v>
      </c>
      <c r="E1960" s="2" t="s">
        <v>2090</v>
      </c>
      <c r="F1960" s="4">
        <v>3957.46</v>
      </c>
      <c r="G1960" s="5">
        <v>85.06</v>
      </c>
      <c r="H1960" s="6">
        <v>20</v>
      </c>
      <c r="I1960" s="2" t="s">
        <v>2117</v>
      </c>
      <c r="J1960" s="2" t="str">
        <v>Empower Bleeding-Edge Action-Items</v>
      </c>
      <c r="K1960" s="2" t="str">
        <v>Furniture</v>
      </c>
      <c r="L1960" s="2" t="str">
        <v>Gray, Hayes and Banks</v>
      </c>
      <c r="M1960" s="2">
        <v>204.26</v>
      </c>
      <c r="N1960" s="16">
        <f t="shared" si="30"/>
        <v>2.1493584268697598E-2</v>
      </c>
    </row>
    <row r="1961" spans="2:14" ht="14.4" customHeight="1" x14ac:dyDescent="0.3">
      <c r="B1961" s="2" t="s">
        <v>1966</v>
      </c>
      <c r="C1961" s="3">
        <v>44799</v>
      </c>
      <c r="D1961" s="2" t="s">
        <v>2009</v>
      </c>
      <c r="E1961" s="2" t="s">
        <v>2086</v>
      </c>
      <c r="F1961" s="4">
        <v>3930.55</v>
      </c>
      <c r="G1961" s="5">
        <v>886.25</v>
      </c>
      <c r="H1961" s="6">
        <v>6</v>
      </c>
      <c r="I1961" s="2" t="s">
        <v>2117</v>
      </c>
      <c r="J1961" s="2" t="str">
        <v>Harness Proactive Eyeballs</v>
      </c>
      <c r="K1961" s="2" t="str">
        <v>Electronics</v>
      </c>
      <c r="L1961" s="2" t="str">
        <v>Moran and Sons</v>
      </c>
      <c r="M1961" s="2">
        <v>58.01</v>
      </c>
      <c r="N1961" s="16">
        <f t="shared" si="30"/>
        <v>0.22547735049802189</v>
      </c>
    </row>
    <row r="1962" spans="2:14" ht="14.4" customHeight="1" x14ac:dyDescent="0.3">
      <c r="B1962" s="2" t="s">
        <v>1967</v>
      </c>
      <c r="C1962" s="3">
        <v>44606</v>
      </c>
      <c r="D1962" s="2" t="s">
        <v>2009</v>
      </c>
      <c r="E1962" s="2" t="s">
        <v>2083</v>
      </c>
      <c r="F1962" s="4">
        <v>2950.39</v>
      </c>
      <c r="G1962" s="5">
        <v>710.09</v>
      </c>
      <c r="H1962" s="6">
        <v>6</v>
      </c>
      <c r="I1962" s="2" t="s">
        <v>2117</v>
      </c>
      <c r="J1962" s="2" t="str">
        <v>Whiteboard Sticky Content</v>
      </c>
      <c r="K1962" s="2" t="str">
        <v>Furniture</v>
      </c>
      <c r="L1962" s="2" t="str">
        <v>Wolfe Group</v>
      </c>
      <c r="M1962" s="2">
        <v>82.16</v>
      </c>
      <c r="N1962" s="16">
        <f t="shared" si="30"/>
        <v>0.24067665630645443</v>
      </c>
    </row>
    <row r="1963" spans="2:14" ht="14.4" customHeight="1" x14ac:dyDescent="0.3">
      <c r="B1963" s="2" t="s">
        <v>1968</v>
      </c>
      <c r="C1963" s="3">
        <v>44749</v>
      </c>
      <c r="D1963" s="2" t="s">
        <v>2010</v>
      </c>
      <c r="E1963" s="2" t="s">
        <v>2025</v>
      </c>
      <c r="F1963" s="4">
        <v>1164.29</v>
      </c>
      <c r="G1963" s="5">
        <v>152.26</v>
      </c>
      <c r="H1963" s="6">
        <v>8</v>
      </c>
      <c r="I1963" s="2" t="s">
        <v>2118</v>
      </c>
      <c r="J1963" s="2" t="str">
        <v>Streamline Innovative Architectures</v>
      </c>
      <c r="K1963" s="2" t="str">
        <v>Furniture</v>
      </c>
      <c r="L1963" s="2" t="str">
        <v>Price, Valentine and Lutz</v>
      </c>
      <c r="M1963" s="2">
        <v>291.14999999999998</v>
      </c>
      <c r="N1963" s="16">
        <f t="shared" si="30"/>
        <v>0.13077497874240954</v>
      </c>
    </row>
    <row r="1964" spans="2:14" ht="14.4" customHeight="1" x14ac:dyDescent="0.3">
      <c r="B1964" s="2" t="s">
        <v>1969</v>
      </c>
      <c r="C1964" s="3">
        <v>45231</v>
      </c>
      <c r="D1964" s="2" t="s">
        <v>2011</v>
      </c>
      <c r="E1964" s="2" t="s">
        <v>2084</v>
      </c>
      <c r="F1964" s="4">
        <v>2161.09</v>
      </c>
      <c r="G1964" s="5">
        <v>65.59</v>
      </c>
      <c r="H1964" s="6">
        <v>8</v>
      </c>
      <c r="I1964" s="2" t="s">
        <v>2117</v>
      </c>
      <c r="J1964" s="2" t="str">
        <v>Grow Synergistic Infrastructures</v>
      </c>
      <c r="K1964" s="2" t="str">
        <v>Furniture</v>
      </c>
      <c r="L1964" s="2" t="str">
        <v>Adams-Carter</v>
      </c>
      <c r="M1964" s="2">
        <v>113.17</v>
      </c>
      <c r="N1964" s="16">
        <f t="shared" si="30"/>
        <v>3.0350425017005307E-2</v>
      </c>
    </row>
    <row r="1965" spans="2:14" ht="14.4" customHeight="1" x14ac:dyDescent="0.3">
      <c r="B1965" s="2" t="s">
        <v>1970</v>
      </c>
      <c r="C1965" s="3">
        <v>44549</v>
      </c>
      <c r="D1965" s="2" t="s">
        <v>2009</v>
      </c>
      <c r="E1965" s="2" t="s">
        <v>2055</v>
      </c>
      <c r="F1965" s="4">
        <v>1188.77</v>
      </c>
      <c r="G1965" s="5">
        <v>347.54</v>
      </c>
      <c r="H1965" s="6">
        <v>10</v>
      </c>
      <c r="I1965" s="2" t="s">
        <v>2118</v>
      </c>
      <c r="J1965" s="2" t="str">
        <v>Engineer Real-Time Architectures</v>
      </c>
      <c r="K1965" s="2" t="str">
        <v>Furniture</v>
      </c>
      <c r="L1965" s="2" t="str">
        <v>James and Sons</v>
      </c>
      <c r="M1965" s="2">
        <v>127.23</v>
      </c>
      <c r="N1965" s="16">
        <f t="shared" si="30"/>
        <v>0.2923525997459559</v>
      </c>
    </row>
    <row r="1966" spans="2:14" ht="14.4" customHeight="1" x14ac:dyDescent="0.3">
      <c r="B1966" s="2" t="s">
        <v>1971</v>
      </c>
      <c r="C1966" s="3">
        <v>44508</v>
      </c>
      <c r="D1966" s="2" t="s">
        <v>2012</v>
      </c>
      <c r="E1966" s="2" t="s">
        <v>2013</v>
      </c>
      <c r="F1966" s="4">
        <v>532.24</v>
      </c>
      <c r="G1966" s="5">
        <v>937.39</v>
      </c>
      <c r="H1966" s="6">
        <v>12</v>
      </c>
      <c r="I1966" s="2" t="s">
        <v>2117</v>
      </c>
      <c r="J1966" s="2" t="str">
        <v>Re-Intermediate Seamless Applications</v>
      </c>
      <c r="K1966" s="2" t="str">
        <v>Office Supplies</v>
      </c>
      <c r="L1966" s="2" t="str">
        <v>Welch-Reed</v>
      </c>
      <c r="M1966" s="2">
        <v>45.82</v>
      </c>
      <c r="N1966" s="16">
        <f t="shared" si="30"/>
        <v>1.7612167443258679</v>
      </c>
    </row>
    <row r="1967" spans="2:14" ht="14.4" customHeight="1" x14ac:dyDescent="0.3">
      <c r="B1967" s="2" t="s">
        <v>1972</v>
      </c>
      <c r="C1967" s="3">
        <v>45263</v>
      </c>
      <c r="D1967" s="2" t="s">
        <v>2009</v>
      </c>
      <c r="E1967" s="2" t="s">
        <v>2042</v>
      </c>
      <c r="F1967" s="4">
        <v>4051.48</v>
      </c>
      <c r="G1967" s="5">
        <v>624.01</v>
      </c>
      <c r="H1967" s="6">
        <v>16</v>
      </c>
      <c r="I1967" s="2" t="s">
        <v>2118</v>
      </c>
      <c r="J1967" s="2" t="str">
        <v>Orchestrate E-Business Niches</v>
      </c>
      <c r="K1967" s="2" t="str">
        <v>Furniture</v>
      </c>
      <c r="L1967" s="2" t="str">
        <v>Johnson LLC</v>
      </c>
      <c r="M1967" s="2">
        <v>198.99</v>
      </c>
      <c r="N1967" s="16">
        <f t="shared" si="30"/>
        <v>0.15402025926328156</v>
      </c>
    </row>
    <row r="1968" spans="2:14" ht="14.4" customHeight="1" x14ac:dyDescent="0.3">
      <c r="B1968" s="2" t="s">
        <v>1973</v>
      </c>
      <c r="C1968" s="3">
        <v>44261</v>
      </c>
      <c r="D1968" s="2" t="s">
        <v>2012</v>
      </c>
      <c r="E1968" s="2" t="s">
        <v>2084</v>
      </c>
      <c r="F1968" s="4">
        <v>4557.45</v>
      </c>
      <c r="G1968" s="5">
        <v>855.18</v>
      </c>
      <c r="H1968" s="6">
        <v>13</v>
      </c>
      <c r="I1968" s="2" t="s">
        <v>2116</v>
      </c>
      <c r="J1968" s="2" t="str">
        <v>Grow Synergistic Infrastructures</v>
      </c>
      <c r="K1968" s="2" t="str">
        <v>Furniture</v>
      </c>
      <c r="L1968" s="2" t="str">
        <v>Adams-Carter</v>
      </c>
      <c r="M1968" s="2">
        <v>113.17</v>
      </c>
      <c r="N1968" s="16">
        <f t="shared" si="30"/>
        <v>0.18764440641148011</v>
      </c>
    </row>
    <row r="1969" spans="2:14" ht="14.4" customHeight="1" x14ac:dyDescent="0.3">
      <c r="B1969" s="2" t="s">
        <v>1974</v>
      </c>
      <c r="C1969" s="3">
        <v>44030</v>
      </c>
      <c r="D1969" s="2" t="s">
        <v>2010</v>
      </c>
      <c r="E1969" s="2" t="s">
        <v>2037</v>
      </c>
      <c r="F1969" s="4">
        <v>3048.38</v>
      </c>
      <c r="G1969" s="5">
        <v>354.25</v>
      </c>
      <c r="H1969" s="6">
        <v>12</v>
      </c>
      <c r="I1969" s="2" t="s">
        <v>2117</v>
      </c>
      <c r="J1969" s="2" t="str">
        <v>Utilize Back-End Models</v>
      </c>
      <c r="K1969" s="2" t="str">
        <v>Furniture</v>
      </c>
      <c r="L1969" s="2" t="str">
        <v>Lewis-Holden</v>
      </c>
      <c r="M1969" s="2">
        <v>241.53</v>
      </c>
      <c r="N1969" s="16">
        <f t="shared" si="30"/>
        <v>0.11620926524908312</v>
      </c>
    </row>
    <row r="1970" spans="2:14" ht="14.4" customHeight="1" x14ac:dyDescent="0.3">
      <c r="B1970" s="2" t="s">
        <v>1975</v>
      </c>
      <c r="C1970" s="3">
        <v>45552</v>
      </c>
      <c r="D1970" s="2" t="s">
        <v>2010</v>
      </c>
      <c r="E1970" s="2" t="s">
        <v>2025</v>
      </c>
      <c r="F1970" s="4">
        <v>1744.91</v>
      </c>
      <c r="G1970" s="5">
        <v>901.62</v>
      </c>
      <c r="H1970" s="6">
        <v>13</v>
      </c>
      <c r="I1970" s="2" t="s">
        <v>2118</v>
      </c>
      <c r="J1970" s="2" t="str">
        <v>Streamline Innovative Architectures</v>
      </c>
      <c r="K1970" s="2" t="str">
        <v>Furniture</v>
      </c>
      <c r="L1970" s="2" t="str">
        <v>Price, Valentine and Lutz</v>
      </c>
      <c r="M1970" s="2">
        <v>291.14999999999998</v>
      </c>
      <c r="N1970" s="16">
        <f t="shared" si="30"/>
        <v>0.51671432910579917</v>
      </c>
    </row>
    <row r="1971" spans="2:14" ht="14.4" customHeight="1" x14ac:dyDescent="0.3">
      <c r="B1971" s="2" t="s">
        <v>1976</v>
      </c>
      <c r="C1971" s="3">
        <v>44193</v>
      </c>
      <c r="D1971" s="2" t="s">
        <v>2011</v>
      </c>
      <c r="E1971" s="2" t="s">
        <v>2097</v>
      </c>
      <c r="F1971" s="4">
        <v>4268.3599999999997</v>
      </c>
      <c r="G1971" s="5">
        <v>289.67</v>
      </c>
      <c r="H1971" s="6">
        <v>7</v>
      </c>
      <c r="I1971" s="2" t="s">
        <v>2117</v>
      </c>
      <c r="J1971" s="2" t="str">
        <v>Generate End-To-End Functionalities</v>
      </c>
      <c r="K1971" s="2" t="str">
        <v>Electronics</v>
      </c>
      <c r="L1971" s="2" t="str">
        <v>Sanchez-Stewart</v>
      </c>
      <c r="M1971" s="2">
        <v>196.15</v>
      </c>
      <c r="N1971" s="16">
        <f t="shared" si="30"/>
        <v>6.7864472537461709E-2</v>
      </c>
    </row>
    <row r="1972" spans="2:14" ht="14.4" customHeight="1" x14ac:dyDescent="0.3">
      <c r="B1972" s="2" t="s">
        <v>1977</v>
      </c>
      <c r="C1972" s="3">
        <v>45396</v>
      </c>
      <c r="D1972" s="2" t="s">
        <v>2010</v>
      </c>
      <c r="E1972" s="2" t="s">
        <v>2067</v>
      </c>
      <c r="F1972" s="4">
        <v>247.96</v>
      </c>
      <c r="G1972" s="5">
        <v>455.08</v>
      </c>
      <c r="H1972" s="6">
        <v>11</v>
      </c>
      <c r="I1972" s="2" t="s">
        <v>2116</v>
      </c>
      <c r="J1972" s="2" t="str">
        <v>Transition Compelling Web-Readiness</v>
      </c>
      <c r="K1972" s="2" t="str">
        <v>Furniture</v>
      </c>
      <c r="L1972" s="2" t="str">
        <v>Wood-Beck</v>
      </c>
      <c r="M1972" s="2">
        <v>88.34</v>
      </c>
      <c r="N1972" s="16">
        <f t="shared" si="30"/>
        <v>1.8352960154863687</v>
      </c>
    </row>
    <row r="1973" spans="2:14" ht="14.4" customHeight="1" x14ac:dyDescent="0.3">
      <c r="B1973" s="2" t="s">
        <v>1978</v>
      </c>
      <c r="C1973" s="3">
        <v>44018</v>
      </c>
      <c r="D1973" s="2" t="s">
        <v>2009</v>
      </c>
      <c r="E1973" s="2" t="s">
        <v>2062</v>
      </c>
      <c r="F1973" s="4">
        <v>3641.35</v>
      </c>
      <c r="G1973" s="5">
        <v>456.18</v>
      </c>
      <c r="H1973" s="6">
        <v>7</v>
      </c>
      <c r="I1973" s="2" t="s">
        <v>2117</v>
      </c>
      <c r="J1973" s="2" t="str">
        <v>Incubate Real-Time E-Tailers</v>
      </c>
      <c r="K1973" s="2" t="str">
        <v>Electronics</v>
      </c>
      <c r="L1973" s="2" t="str">
        <v>Johnson-Riley</v>
      </c>
      <c r="M1973" s="2">
        <v>86.67</v>
      </c>
      <c r="N1973" s="16">
        <f t="shared" si="30"/>
        <v>0.12527771293613632</v>
      </c>
    </row>
    <row r="1974" spans="2:14" ht="14.4" customHeight="1" x14ac:dyDescent="0.3">
      <c r="B1974" s="2" t="s">
        <v>1979</v>
      </c>
      <c r="C1974" s="3">
        <v>45341</v>
      </c>
      <c r="D1974" s="2" t="s">
        <v>2010</v>
      </c>
      <c r="E1974" s="2" t="s">
        <v>2079</v>
      </c>
      <c r="F1974" s="4">
        <v>2620.06</v>
      </c>
      <c r="G1974" s="5">
        <v>638.98</v>
      </c>
      <c r="H1974" s="6">
        <v>6</v>
      </c>
      <c r="I1974" s="2" t="s">
        <v>2117</v>
      </c>
      <c r="J1974" s="2" t="str">
        <v>Iterate Extensible Roi</v>
      </c>
      <c r="K1974" s="2" t="str">
        <v>Office Supplies</v>
      </c>
      <c r="L1974" s="2" t="str">
        <v>Hill-Kelly</v>
      </c>
      <c r="M1974" s="2">
        <v>180</v>
      </c>
      <c r="N1974" s="16">
        <f t="shared" si="30"/>
        <v>0.24387991114707297</v>
      </c>
    </row>
    <row r="1975" spans="2:14" ht="14.4" customHeight="1" x14ac:dyDescent="0.3">
      <c r="B1975" s="2" t="s">
        <v>1980</v>
      </c>
      <c r="C1975" s="3">
        <v>45011</v>
      </c>
      <c r="D1975" s="2" t="s">
        <v>2011</v>
      </c>
      <c r="E1975" s="2" t="s">
        <v>2014</v>
      </c>
      <c r="F1975" s="4">
        <v>4778.53</v>
      </c>
      <c r="G1975" s="5">
        <v>371.08</v>
      </c>
      <c r="H1975" s="6">
        <v>8</v>
      </c>
      <c r="I1975" s="2" t="s">
        <v>2116</v>
      </c>
      <c r="J1975" s="2" t="str">
        <v>E-Enable Synergistic Vortals</v>
      </c>
      <c r="K1975" s="2" t="str">
        <v>Electronics</v>
      </c>
      <c r="L1975" s="2" t="str">
        <v>Guzman Group</v>
      </c>
      <c r="M1975" s="2">
        <v>278.43</v>
      </c>
      <c r="N1975" s="16">
        <f t="shared" si="30"/>
        <v>7.7655680721895645E-2</v>
      </c>
    </row>
    <row r="1976" spans="2:14" ht="14.4" customHeight="1" x14ac:dyDescent="0.3">
      <c r="B1976" s="2" t="s">
        <v>1981</v>
      </c>
      <c r="C1976" s="3">
        <v>45450</v>
      </c>
      <c r="D1976" s="2" t="s">
        <v>2011</v>
      </c>
      <c r="E1976" s="2" t="s">
        <v>2081</v>
      </c>
      <c r="F1976" s="4">
        <v>4489.5</v>
      </c>
      <c r="G1976" s="5">
        <v>73.91</v>
      </c>
      <c r="H1976" s="6">
        <v>10</v>
      </c>
      <c r="I1976" s="2" t="s">
        <v>2117</v>
      </c>
      <c r="J1976" s="2" t="str">
        <v>Orchestrate User-Centric Platforms</v>
      </c>
      <c r="K1976" s="2" t="str">
        <v>Furniture</v>
      </c>
      <c r="L1976" s="2" t="str">
        <v>Wells Ltd</v>
      </c>
      <c r="M1976" s="2">
        <v>201.87</v>
      </c>
      <c r="N1976" s="16">
        <f t="shared" si="30"/>
        <v>1.6462857779262725E-2</v>
      </c>
    </row>
    <row r="1977" spans="2:14" ht="14.4" customHeight="1" x14ac:dyDescent="0.3">
      <c r="B1977" s="2" t="s">
        <v>1982</v>
      </c>
      <c r="C1977" s="3">
        <v>45153</v>
      </c>
      <c r="D1977" s="2" t="s">
        <v>2012</v>
      </c>
      <c r="E1977" s="2" t="s">
        <v>2046</v>
      </c>
      <c r="F1977" s="4">
        <v>3344.17</v>
      </c>
      <c r="G1977" s="5">
        <v>722.23</v>
      </c>
      <c r="H1977" s="6">
        <v>5</v>
      </c>
      <c r="I1977" s="2" t="s">
        <v>2118</v>
      </c>
      <c r="J1977" s="2" t="str">
        <v>Facilitate End-To-End Experiences</v>
      </c>
      <c r="K1977" s="2" t="str">
        <v>Office Supplies</v>
      </c>
      <c r="L1977" s="2" t="str">
        <v>Pierce-Goodwin</v>
      </c>
      <c r="M1977" s="2">
        <v>260.52999999999997</v>
      </c>
      <c r="N1977" s="16">
        <f t="shared" si="30"/>
        <v>0.21596689163529367</v>
      </c>
    </row>
    <row r="1978" spans="2:14" ht="14.4" customHeight="1" x14ac:dyDescent="0.3">
      <c r="B1978" s="2" t="s">
        <v>1983</v>
      </c>
      <c r="C1978" s="3">
        <v>44917</v>
      </c>
      <c r="D1978" s="2" t="s">
        <v>2012</v>
      </c>
      <c r="E1978" s="2" t="s">
        <v>2107</v>
      </c>
      <c r="F1978" s="4">
        <v>109.25</v>
      </c>
      <c r="G1978" s="5">
        <v>316.64999999999998</v>
      </c>
      <c r="H1978" s="6">
        <v>7</v>
      </c>
      <c r="I1978" s="2" t="s">
        <v>2117</v>
      </c>
      <c r="J1978" s="2" t="str">
        <v>Extend Bricks-And-Clicks Niches</v>
      </c>
      <c r="K1978" s="2" t="str">
        <v>Office Supplies</v>
      </c>
      <c r="L1978" s="2" t="str">
        <v>Hernandez-Rios</v>
      </c>
      <c r="M1978" s="2">
        <v>65.989999999999995</v>
      </c>
      <c r="N1978" s="16">
        <f t="shared" si="30"/>
        <v>2.8983981693363843</v>
      </c>
    </row>
    <row r="1979" spans="2:14" ht="14.4" customHeight="1" x14ac:dyDescent="0.3">
      <c r="B1979" s="2" t="s">
        <v>1984</v>
      </c>
      <c r="C1979" s="3">
        <v>45099</v>
      </c>
      <c r="D1979" s="2" t="s">
        <v>2012</v>
      </c>
      <c r="E1979" s="2" t="s">
        <v>2081</v>
      </c>
      <c r="F1979" s="4">
        <v>1325.26</v>
      </c>
      <c r="G1979" s="5">
        <v>56.57</v>
      </c>
      <c r="H1979" s="6">
        <v>12</v>
      </c>
      <c r="I1979" s="2" t="s">
        <v>2118</v>
      </c>
      <c r="J1979" s="2" t="str">
        <v>Orchestrate User-Centric Platforms</v>
      </c>
      <c r="K1979" s="2" t="str">
        <v>Furniture</v>
      </c>
      <c r="L1979" s="2" t="str">
        <v>Wells Ltd</v>
      </c>
      <c r="M1979" s="2">
        <v>201.87</v>
      </c>
      <c r="N1979" s="16">
        <f t="shared" si="30"/>
        <v>4.2685963509047284E-2</v>
      </c>
    </row>
    <row r="1980" spans="2:14" ht="14.4" customHeight="1" x14ac:dyDescent="0.3">
      <c r="B1980" s="2" t="s">
        <v>1985</v>
      </c>
      <c r="C1980" s="3">
        <v>44562</v>
      </c>
      <c r="D1980" s="2" t="s">
        <v>2012</v>
      </c>
      <c r="E1980" s="2" t="s">
        <v>2111</v>
      </c>
      <c r="F1980" s="4">
        <v>3576.2</v>
      </c>
      <c r="G1980" s="5">
        <v>758.38</v>
      </c>
      <c r="H1980" s="6">
        <v>4</v>
      </c>
      <c r="I1980" s="2" t="s">
        <v>2117</v>
      </c>
      <c r="J1980" s="2" t="str">
        <v>Evolve Intuitive Bandwidth</v>
      </c>
      <c r="K1980" s="2" t="str">
        <v>Office Supplies</v>
      </c>
      <c r="L1980" s="2" t="str">
        <v>Rogers Group</v>
      </c>
      <c r="M1980" s="2">
        <v>131.63</v>
      </c>
      <c r="N1980" s="16">
        <f t="shared" si="30"/>
        <v>0.2120630837201499</v>
      </c>
    </row>
    <row r="1981" spans="2:14" ht="14.4" customHeight="1" x14ac:dyDescent="0.3">
      <c r="B1981" s="2" t="s">
        <v>1986</v>
      </c>
      <c r="C1981" s="3">
        <v>44431</v>
      </c>
      <c r="D1981" s="2" t="s">
        <v>2010</v>
      </c>
      <c r="E1981" s="2" t="s">
        <v>2068</v>
      </c>
      <c r="F1981" s="4">
        <v>2955.71</v>
      </c>
      <c r="G1981" s="5">
        <v>505.04</v>
      </c>
      <c r="H1981" s="6">
        <v>12</v>
      </c>
      <c r="I1981" s="2" t="s">
        <v>2116</v>
      </c>
      <c r="J1981" s="2" t="str">
        <v>E-Enable Virtual Methodologies</v>
      </c>
      <c r="K1981" s="2" t="str">
        <v>Office Supplies</v>
      </c>
      <c r="L1981" s="2" t="str">
        <v>Floyd-Love</v>
      </c>
      <c r="M1981" s="2">
        <v>283.64999999999998</v>
      </c>
      <c r="N1981" s="16">
        <f t="shared" si="30"/>
        <v>0.17086926660599314</v>
      </c>
    </row>
    <row r="1982" spans="2:14" ht="14.4" customHeight="1" x14ac:dyDescent="0.3">
      <c r="B1982" s="2" t="s">
        <v>1987</v>
      </c>
      <c r="C1982" s="3">
        <v>45081</v>
      </c>
      <c r="D1982" s="2" t="s">
        <v>2011</v>
      </c>
      <c r="E1982" s="2" t="s">
        <v>2040</v>
      </c>
      <c r="F1982" s="4">
        <v>4214.6499999999996</v>
      </c>
      <c r="G1982" s="5">
        <v>800.14</v>
      </c>
      <c r="H1982" s="6">
        <v>20</v>
      </c>
      <c r="I1982" s="2" t="s">
        <v>2117</v>
      </c>
      <c r="J1982" s="2" t="str">
        <v>Synergize End-To-End Supply-Chains</v>
      </c>
      <c r="K1982" s="2" t="str">
        <v>Office Supplies</v>
      </c>
      <c r="L1982" s="2" t="str">
        <v>Higgins-Espinoza</v>
      </c>
      <c r="M1982" s="2">
        <v>279.8</v>
      </c>
      <c r="N1982" s="16">
        <f t="shared" si="30"/>
        <v>0.18984731828265694</v>
      </c>
    </row>
    <row r="1983" spans="2:14" ht="14.4" customHeight="1" x14ac:dyDescent="0.3">
      <c r="B1983" s="2" t="s">
        <v>1988</v>
      </c>
      <c r="C1983" s="3">
        <v>44283</v>
      </c>
      <c r="D1983" s="2" t="s">
        <v>2012</v>
      </c>
      <c r="E1983" s="2" t="s">
        <v>2101</v>
      </c>
      <c r="F1983" s="4">
        <v>2702.14</v>
      </c>
      <c r="G1983" s="5">
        <v>560.71</v>
      </c>
      <c r="H1983" s="6">
        <v>7</v>
      </c>
      <c r="I1983" s="2" t="s">
        <v>2118</v>
      </c>
      <c r="J1983" s="2" t="str">
        <v>Deploy Granular Channels</v>
      </c>
      <c r="K1983" s="2" t="str">
        <v>Furniture</v>
      </c>
      <c r="L1983" s="2" t="str">
        <v>Barnes Ltd</v>
      </c>
      <c r="M1983" s="2">
        <v>288.99</v>
      </c>
      <c r="N1983" s="16">
        <f t="shared" si="30"/>
        <v>0.2075059027289482</v>
      </c>
    </row>
    <row r="1984" spans="2:14" ht="14.4" customHeight="1" x14ac:dyDescent="0.3">
      <c r="B1984" s="2" t="s">
        <v>1989</v>
      </c>
      <c r="C1984" s="3">
        <v>44907</v>
      </c>
      <c r="D1984" s="2" t="s">
        <v>2012</v>
      </c>
      <c r="E1984" s="2" t="s">
        <v>2031</v>
      </c>
      <c r="F1984" s="4">
        <v>2784.87</v>
      </c>
      <c r="G1984" s="5">
        <v>571.86</v>
      </c>
      <c r="H1984" s="6">
        <v>7</v>
      </c>
      <c r="I1984" s="2" t="s">
        <v>2116</v>
      </c>
      <c r="J1984" s="2" t="str">
        <v>Embrace 24/365 Functionalities</v>
      </c>
      <c r="K1984" s="2" t="str">
        <v>Office Supplies</v>
      </c>
      <c r="L1984" s="2" t="str">
        <v>Smith LLC</v>
      </c>
      <c r="M1984" s="2">
        <v>204.04</v>
      </c>
      <c r="N1984" s="16">
        <f t="shared" si="30"/>
        <v>0.2053453123485118</v>
      </c>
    </row>
    <row r="1985" spans="2:14" ht="14.4" customHeight="1" x14ac:dyDescent="0.3">
      <c r="B1985" s="2" t="s">
        <v>1990</v>
      </c>
      <c r="C1985" s="3">
        <v>44250</v>
      </c>
      <c r="D1985" s="2" t="s">
        <v>2010</v>
      </c>
      <c r="E1985" s="2" t="s">
        <v>2106</v>
      </c>
      <c r="F1985" s="4">
        <v>745.65</v>
      </c>
      <c r="G1985" s="5">
        <v>943.42</v>
      </c>
      <c r="H1985" s="6">
        <v>11</v>
      </c>
      <c r="I1985" s="2" t="s">
        <v>2116</v>
      </c>
      <c r="J1985" s="2" t="str">
        <v>Scale Bleeding-Edge Schemas</v>
      </c>
      <c r="K1985" s="2" t="str">
        <v>Electronics</v>
      </c>
      <c r="L1985" s="2" t="str">
        <v>Frazier-Schneider</v>
      </c>
      <c r="M1985" s="2">
        <v>54.8</v>
      </c>
      <c r="N1985" s="16">
        <f t="shared" si="30"/>
        <v>1.2652316770602829</v>
      </c>
    </row>
    <row r="1986" spans="2:14" ht="14.4" customHeight="1" x14ac:dyDescent="0.3">
      <c r="B1986" s="2" t="s">
        <v>1991</v>
      </c>
      <c r="C1986" s="3">
        <v>45363</v>
      </c>
      <c r="D1986" s="2" t="s">
        <v>2012</v>
      </c>
      <c r="E1986" s="2" t="s">
        <v>2077</v>
      </c>
      <c r="F1986" s="4">
        <v>3339.8</v>
      </c>
      <c r="G1986" s="5">
        <v>850.02</v>
      </c>
      <c r="H1986" s="6">
        <v>10</v>
      </c>
      <c r="I1986" s="2" t="s">
        <v>2118</v>
      </c>
      <c r="J1986" s="2" t="str">
        <v>Synthesize Wireless Initiatives</v>
      </c>
      <c r="K1986" s="2" t="str">
        <v>Electronics</v>
      </c>
      <c r="L1986" s="2" t="str">
        <v>Mosley Ltd</v>
      </c>
      <c r="M1986" s="2">
        <v>162.69999999999999</v>
      </c>
      <c r="N1986" s="16">
        <f t="shared" si="30"/>
        <v>0.25451224624228996</v>
      </c>
    </row>
    <row r="1987" spans="2:14" ht="14.4" customHeight="1" x14ac:dyDescent="0.3">
      <c r="B1987" s="2" t="s">
        <v>1992</v>
      </c>
      <c r="C1987" s="3">
        <v>43902</v>
      </c>
      <c r="D1987" s="2" t="s">
        <v>2009</v>
      </c>
      <c r="E1987" s="2" t="s">
        <v>2105</v>
      </c>
      <c r="F1987" s="4">
        <v>1855.42</v>
      </c>
      <c r="G1987" s="5">
        <v>279.48</v>
      </c>
      <c r="H1987" s="6">
        <v>12</v>
      </c>
      <c r="I1987" s="2" t="s">
        <v>2116</v>
      </c>
      <c r="J1987" s="2" t="str">
        <v>Brand B2C Info-Mediaries</v>
      </c>
      <c r="K1987" s="2" t="str">
        <v>Office Supplies</v>
      </c>
      <c r="L1987" s="2" t="str">
        <v>Preston Ltd</v>
      </c>
      <c r="M1987" s="2">
        <v>13.46</v>
      </c>
      <c r="N1987" s="16">
        <f t="shared" si="30"/>
        <v>0.15062896810425672</v>
      </c>
    </row>
    <row r="1988" spans="2:14" ht="14.4" customHeight="1" x14ac:dyDescent="0.3">
      <c r="B1988" s="2" t="s">
        <v>1993</v>
      </c>
      <c r="C1988" s="3">
        <v>44457</v>
      </c>
      <c r="D1988" s="2" t="s">
        <v>2009</v>
      </c>
      <c r="E1988" s="2" t="s">
        <v>2066</v>
      </c>
      <c r="F1988" s="4">
        <v>3172.36</v>
      </c>
      <c r="G1988" s="5">
        <v>424.08</v>
      </c>
      <c r="H1988" s="6">
        <v>16</v>
      </c>
      <c r="I1988" s="2" t="s">
        <v>2116</v>
      </c>
      <c r="J1988" s="2" t="str">
        <v>Facilitate Integrated E-Business</v>
      </c>
      <c r="K1988" s="2" t="str">
        <v>Office Supplies</v>
      </c>
      <c r="L1988" s="2" t="str">
        <v>Chang-Vargas</v>
      </c>
      <c r="M1988" s="2">
        <v>130.33000000000001</v>
      </c>
      <c r="N1988" s="16">
        <f t="shared" si="30"/>
        <v>0.13367965804637555</v>
      </c>
    </row>
    <row r="1989" spans="2:14" ht="14.4" customHeight="1" x14ac:dyDescent="0.3">
      <c r="B1989" s="2" t="s">
        <v>1994</v>
      </c>
      <c r="C1989" s="3">
        <v>45127</v>
      </c>
      <c r="D1989" s="2" t="s">
        <v>2012</v>
      </c>
      <c r="E1989" s="2" t="s">
        <v>2049</v>
      </c>
      <c r="F1989" s="4">
        <v>257.31</v>
      </c>
      <c r="G1989" s="5">
        <v>750.59</v>
      </c>
      <c r="H1989" s="6">
        <v>12</v>
      </c>
      <c r="I1989" s="2" t="s">
        <v>2118</v>
      </c>
      <c r="J1989" s="2" t="str">
        <v>Scale 24/365 Networks</v>
      </c>
      <c r="K1989" s="2" t="str">
        <v>Furniture</v>
      </c>
      <c r="L1989" s="2" t="str">
        <v>Kim-Hamilton</v>
      </c>
      <c r="M1989" s="2">
        <v>157.55000000000001</v>
      </c>
      <c r="N1989" s="16">
        <f t="shared" ref="N1989:N2003" si="31">(G1989/F1989)</f>
        <v>2.9170650188488594</v>
      </c>
    </row>
    <row r="1990" spans="2:14" ht="14.4" customHeight="1" x14ac:dyDescent="0.3">
      <c r="B1990" s="2" t="s">
        <v>1995</v>
      </c>
      <c r="C1990" s="3">
        <v>44898</v>
      </c>
      <c r="D1990" s="2" t="s">
        <v>2010</v>
      </c>
      <c r="E1990" s="2" t="s">
        <v>2020</v>
      </c>
      <c r="F1990" s="4">
        <v>4972.79</v>
      </c>
      <c r="G1990" s="5">
        <v>575.76</v>
      </c>
      <c r="H1990" s="6">
        <v>5</v>
      </c>
      <c r="I1990" s="2" t="s">
        <v>2116</v>
      </c>
      <c r="J1990" s="2" t="str">
        <v>Harness Revolutionary Interfaces</v>
      </c>
      <c r="K1990" s="2" t="str">
        <v>Furniture</v>
      </c>
      <c r="L1990" s="2" t="str">
        <v>Davis, Short and Nguyen</v>
      </c>
      <c r="M1990" s="2">
        <v>26.49</v>
      </c>
      <c r="N1990" s="16">
        <f t="shared" si="31"/>
        <v>0.1157820861126249</v>
      </c>
    </row>
    <row r="1991" spans="2:14" ht="14.4" customHeight="1" x14ac:dyDescent="0.3">
      <c r="B1991" s="2" t="s">
        <v>1996</v>
      </c>
      <c r="C1991" s="3">
        <v>44546</v>
      </c>
      <c r="D1991" s="2" t="s">
        <v>2009</v>
      </c>
      <c r="E1991" s="2" t="s">
        <v>2049</v>
      </c>
      <c r="F1991" s="4">
        <v>4660.82</v>
      </c>
      <c r="G1991" s="5">
        <v>601.11</v>
      </c>
      <c r="H1991" s="6">
        <v>16</v>
      </c>
      <c r="I1991" s="2" t="s">
        <v>2117</v>
      </c>
      <c r="J1991" s="2" t="str">
        <v>Scale 24/365 Networks</v>
      </c>
      <c r="K1991" s="2" t="str">
        <v>Furniture</v>
      </c>
      <c r="L1991" s="2" t="str">
        <v>Kim-Hamilton</v>
      </c>
      <c r="M1991" s="2">
        <v>157.55000000000001</v>
      </c>
      <c r="N1991" s="16">
        <f t="shared" si="31"/>
        <v>0.12897086778721342</v>
      </c>
    </row>
    <row r="1992" spans="2:14" ht="14.4" customHeight="1" x14ac:dyDescent="0.3">
      <c r="B1992" s="2" t="s">
        <v>1997</v>
      </c>
      <c r="C1992" s="3">
        <v>44665</v>
      </c>
      <c r="D1992" s="2" t="s">
        <v>2009</v>
      </c>
      <c r="E1992" s="2" t="s">
        <v>2076</v>
      </c>
      <c r="F1992" s="4">
        <v>2668.48</v>
      </c>
      <c r="G1992" s="5">
        <v>190.88</v>
      </c>
      <c r="H1992" s="6">
        <v>4</v>
      </c>
      <c r="I1992" s="2" t="s">
        <v>2117</v>
      </c>
      <c r="J1992" s="2" t="str">
        <v>Deliver Extensible Partnerships</v>
      </c>
      <c r="K1992" s="2" t="str">
        <v>Furniture</v>
      </c>
      <c r="L1992" s="2" t="str">
        <v>Martin, Paul and Salazar</v>
      </c>
      <c r="M1992" s="2">
        <v>43.76</v>
      </c>
      <c r="N1992" s="16">
        <f t="shared" si="31"/>
        <v>7.1531358676100248E-2</v>
      </c>
    </row>
    <row r="1993" spans="2:14" ht="14.4" customHeight="1" x14ac:dyDescent="0.3">
      <c r="B1993" s="2" t="s">
        <v>1998</v>
      </c>
      <c r="C1993" s="3">
        <v>44346</v>
      </c>
      <c r="D1993" s="2" t="s">
        <v>2011</v>
      </c>
      <c r="E1993" s="2" t="s">
        <v>2071</v>
      </c>
      <c r="F1993" s="4">
        <v>765.73</v>
      </c>
      <c r="G1993" s="5">
        <v>215.81</v>
      </c>
      <c r="H1993" s="6">
        <v>13</v>
      </c>
      <c r="I1993" s="2" t="s">
        <v>2117</v>
      </c>
      <c r="J1993" s="2" t="str">
        <v>Incentivize Front-End Mindshare</v>
      </c>
      <c r="K1993" s="2" t="str">
        <v>Electronics</v>
      </c>
      <c r="L1993" s="2" t="str">
        <v>Phillips-Tran</v>
      </c>
      <c r="M1993" s="2">
        <v>196.86</v>
      </c>
      <c r="N1993" s="16">
        <f t="shared" si="31"/>
        <v>0.2818356339701984</v>
      </c>
    </row>
    <row r="1994" spans="2:14" ht="14.4" customHeight="1" x14ac:dyDescent="0.3">
      <c r="B1994" s="2" t="s">
        <v>1999</v>
      </c>
      <c r="C1994" s="3">
        <v>44909</v>
      </c>
      <c r="D1994" s="2" t="s">
        <v>2012</v>
      </c>
      <c r="E1994" s="2" t="s">
        <v>2087</v>
      </c>
      <c r="F1994" s="4">
        <v>890.32</v>
      </c>
      <c r="G1994" s="5">
        <v>340.99</v>
      </c>
      <c r="H1994" s="6">
        <v>7</v>
      </c>
      <c r="I1994" s="2" t="s">
        <v>2117</v>
      </c>
      <c r="J1994" s="2" t="str">
        <v>Empower Seamless Roi</v>
      </c>
      <c r="K1994" s="2" t="str">
        <v>Office Supplies</v>
      </c>
      <c r="L1994" s="2" t="str">
        <v>Proctor Group</v>
      </c>
      <c r="M1994" s="2">
        <v>266.64999999999998</v>
      </c>
      <c r="N1994" s="16">
        <f t="shared" si="31"/>
        <v>0.38299712462934676</v>
      </c>
    </row>
    <row r="1995" spans="2:14" ht="14.4" customHeight="1" x14ac:dyDescent="0.3">
      <c r="B1995" s="2" t="s">
        <v>2000</v>
      </c>
      <c r="C1995" s="3">
        <v>45544</v>
      </c>
      <c r="D1995" s="2" t="s">
        <v>2009</v>
      </c>
      <c r="E1995" s="2" t="s">
        <v>2045</v>
      </c>
      <c r="F1995" s="4">
        <v>522.13</v>
      </c>
      <c r="G1995" s="5">
        <v>409.89</v>
      </c>
      <c r="H1995" s="6">
        <v>16</v>
      </c>
      <c r="I1995" s="2" t="s">
        <v>2118</v>
      </c>
      <c r="J1995" s="2" t="str">
        <v>Leverage Scalable Interfaces</v>
      </c>
      <c r="K1995" s="2" t="str">
        <v>Office Supplies</v>
      </c>
      <c r="L1995" s="2" t="str">
        <v>Kaufman-Jones</v>
      </c>
      <c r="M1995" s="2">
        <v>73.33</v>
      </c>
      <c r="N1995" s="16">
        <f t="shared" si="31"/>
        <v>0.78503437841150669</v>
      </c>
    </row>
    <row r="1996" spans="2:14" ht="14.4" customHeight="1" x14ac:dyDescent="0.3">
      <c r="B1996" s="2" t="s">
        <v>2001</v>
      </c>
      <c r="C1996" s="3">
        <v>44153</v>
      </c>
      <c r="D1996" s="2" t="s">
        <v>2011</v>
      </c>
      <c r="E1996" s="2" t="s">
        <v>2059</v>
      </c>
      <c r="F1996" s="4">
        <v>2718.17</v>
      </c>
      <c r="G1996" s="5">
        <v>807.78</v>
      </c>
      <c r="H1996" s="6">
        <v>11</v>
      </c>
      <c r="I1996" s="2" t="s">
        <v>2116</v>
      </c>
      <c r="J1996" s="2" t="str">
        <v>Redefine Real-Time Convergence</v>
      </c>
      <c r="K1996" s="2" t="str">
        <v>Electronics</v>
      </c>
      <c r="L1996" s="2" t="str">
        <v>Hayes, Peters and Douglas</v>
      </c>
      <c r="M1996" s="2">
        <v>78.260000000000005</v>
      </c>
      <c r="N1996" s="16">
        <f t="shared" si="31"/>
        <v>0.29717788070650475</v>
      </c>
    </row>
    <row r="1997" spans="2:14" ht="14.4" customHeight="1" x14ac:dyDescent="0.3">
      <c r="B1997" s="2" t="s">
        <v>2002</v>
      </c>
      <c r="C1997" s="3">
        <v>44406</v>
      </c>
      <c r="D1997" s="2" t="s">
        <v>2011</v>
      </c>
      <c r="E1997" s="2" t="s">
        <v>2054</v>
      </c>
      <c r="F1997" s="4">
        <v>3224.94</v>
      </c>
      <c r="G1997" s="5">
        <v>19.62</v>
      </c>
      <c r="H1997" s="6">
        <v>6</v>
      </c>
      <c r="I1997" s="2" t="s">
        <v>2118</v>
      </c>
      <c r="J1997" s="2" t="str">
        <v>Empower Killer Info-Mediaries</v>
      </c>
      <c r="K1997" s="2" t="str">
        <v>Furniture</v>
      </c>
      <c r="L1997" s="2" t="str">
        <v>Jones Ltd</v>
      </c>
      <c r="M1997" s="2">
        <v>213.24</v>
      </c>
      <c r="N1997" s="16">
        <f t="shared" si="31"/>
        <v>6.0838341178440529E-3</v>
      </c>
    </row>
    <row r="1998" spans="2:14" ht="14.4" customHeight="1" x14ac:dyDescent="0.3">
      <c r="B1998" s="2" t="s">
        <v>2003</v>
      </c>
      <c r="C1998" s="3">
        <v>44664</v>
      </c>
      <c r="D1998" s="2" t="s">
        <v>2012</v>
      </c>
      <c r="E1998" s="2" t="s">
        <v>2065</v>
      </c>
      <c r="F1998" s="4">
        <v>2379.9699999999998</v>
      </c>
      <c r="G1998" s="5">
        <v>233.39</v>
      </c>
      <c r="H1998" s="6">
        <v>14</v>
      </c>
      <c r="I1998" s="2" t="s">
        <v>2118</v>
      </c>
      <c r="J1998" s="2" t="str">
        <v>Re-Contextualize Integrated Info-Mediaries</v>
      </c>
      <c r="K1998" s="2" t="str">
        <v>Electronics</v>
      </c>
      <c r="L1998" s="2" t="str">
        <v>Jones-Schroeder</v>
      </c>
      <c r="M1998" s="2">
        <v>26.02</v>
      </c>
      <c r="N1998" s="16">
        <f t="shared" si="31"/>
        <v>9.8064261314218248E-2</v>
      </c>
    </row>
    <row r="1999" spans="2:14" ht="14.4" customHeight="1" x14ac:dyDescent="0.3">
      <c r="B1999" s="2" t="s">
        <v>2004</v>
      </c>
      <c r="C1999" s="3">
        <v>44702</v>
      </c>
      <c r="D1999" s="2" t="s">
        <v>2012</v>
      </c>
      <c r="E1999" s="2" t="s">
        <v>2098</v>
      </c>
      <c r="F1999" s="4">
        <v>3146.83</v>
      </c>
      <c r="G1999" s="5">
        <v>357.86</v>
      </c>
      <c r="H1999" s="6">
        <v>17</v>
      </c>
      <c r="I1999" s="2" t="s">
        <v>2116</v>
      </c>
      <c r="J1999" s="2" t="str">
        <v>Deliver Viral Channels</v>
      </c>
      <c r="K1999" s="2" t="str">
        <v>Furniture</v>
      </c>
      <c r="L1999" s="2" t="str">
        <v>Parker LLC</v>
      </c>
      <c r="M1999" s="2">
        <v>45.41</v>
      </c>
      <c r="N1999" s="16">
        <f t="shared" si="31"/>
        <v>0.1137207920351592</v>
      </c>
    </row>
    <row r="2000" spans="2:14" ht="14.4" customHeight="1" x14ac:dyDescent="0.3">
      <c r="B2000" s="2" t="s">
        <v>2005</v>
      </c>
      <c r="C2000" s="3">
        <v>44618</v>
      </c>
      <c r="D2000" s="2" t="s">
        <v>2009</v>
      </c>
      <c r="E2000" s="2" t="s">
        <v>2071</v>
      </c>
      <c r="F2000" s="4">
        <v>287.77999999999997</v>
      </c>
      <c r="G2000" s="5">
        <v>52.98</v>
      </c>
      <c r="H2000" s="6">
        <v>2</v>
      </c>
      <c r="I2000" s="2" t="s">
        <v>2118</v>
      </c>
      <c r="J2000" s="2" t="str">
        <v>Incentivize Front-End Mindshare</v>
      </c>
      <c r="K2000" s="2" t="str">
        <v>Electronics</v>
      </c>
      <c r="L2000" s="2" t="str">
        <v>Phillips-Tran</v>
      </c>
      <c r="M2000" s="2">
        <v>196.86</v>
      </c>
      <c r="N2000" s="16">
        <f t="shared" si="31"/>
        <v>0.18409896448676072</v>
      </c>
    </row>
    <row r="2001" spans="2:14" ht="14.4" customHeight="1" x14ac:dyDescent="0.3">
      <c r="B2001" s="2" t="s">
        <v>2006</v>
      </c>
      <c r="C2001" s="3">
        <v>44551</v>
      </c>
      <c r="D2001" s="2" t="s">
        <v>2012</v>
      </c>
      <c r="E2001" s="2" t="s">
        <v>2097</v>
      </c>
      <c r="F2001" s="4">
        <v>4109.25</v>
      </c>
      <c r="G2001" s="5">
        <v>712.09</v>
      </c>
      <c r="H2001" s="6">
        <v>6</v>
      </c>
      <c r="I2001" s="2" t="s">
        <v>2118</v>
      </c>
      <c r="J2001" s="2" t="str">
        <v>Generate End-To-End Functionalities</v>
      </c>
      <c r="K2001" s="2" t="str">
        <v>Electronics</v>
      </c>
      <c r="L2001" s="2" t="str">
        <v>Sanchez-Stewart</v>
      </c>
      <c r="M2001" s="2">
        <v>196.15</v>
      </c>
      <c r="N2001" s="16">
        <f t="shared" si="31"/>
        <v>0.17328952971953521</v>
      </c>
    </row>
    <row r="2002" spans="2:14" ht="14.4" customHeight="1" x14ac:dyDescent="0.3">
      <c r="B2002" s="2" t="s">
        <v>2007</v>
      </c>
      <c r="C2002" s="3">
        <v>45251</v>
      </c>
      <c r="D2002" s="2" t="s">
        <v>2009</v>
      </c>
      <c r="E2002" s="2" t="s">
        <v>2051</v>
      </c>
      <c r="F2002" s="4">
        <v>4388.8999999999996</v>
      </c>
      <c r="G2002" s="5">
        <v>310.08999999999997</v>
      </c>
      <c r="H2002" s="6">
        <v>19</v>
      </c>
      <c r="I2002" s="2" t="s">
        <v>2116</v>
      </c>
      <c r="J2002" s="2" t="str">
        <v>Generate Front-End Functionalities</v>
      </c>
      <c r="K2002" s="2" t="str">
        <v>Office Supplies</v>
      </c>
      <c r="L2002" s="2" t="str">
        <v>Morales-Brown</v>
      </c>
      <c r="M2002" s="2">
        <v>299.77</v>
      </c>
      <c r="N2002" s="16">
        <f t="shared" si="31"/>
        <v>7.0653238852559863E-2</v>
      </c>
    </row>
    <row r="2003" spans="2:14" ht="14.4" customHeight="1" x14ac:dyDescent="0.3">
      <c r="B2003" s="2" t="s">
        <v>2008</v>
      </c>
      <c r="C2003" s="3">
        <v>45428</v>
      </c>
      <c r="D2003" s="2" t="s">
        <v>2011</v>
      </c>
      <c r="E2003" s="2" t="s">
        <v>2031</v>
      </c>
      <c r="F2003" s="4">
        <v>2705.93</v>
      </c>
      <c r="G2003" s="5">
        <v>242.37</v>
      </c>
      <c r="H2003" s="6">
        <v>1</v>
      </c>
      <c r="I2003" s="2" t="s">
        <v>2116</v>
      </c>
      <c r="J2003" s="2" t="str">
        <v>Embrace 24/365 Functionalities</v>
      </c>
      <c r="K2003" s="2" t="str">
        <v>Office Supplies</v>
      </c>
      <c r="L2003" s="2" t="str">
        <v>Smith LLC</v>
      </c>
      <c r="M2003" s="2">
        <v>204.04</v>
      </c>
      <c r="N2003" s="16">
        <f t="shared" si="31"/>
        <v>8.9569944529237638E-2</v>
      </c>
    </row>
  </sheetData>
  <mergeCells count="1">
    <mergeCell ref="P5:Q5"/>
  </mergeCells>
  <conditionalFormatting sqref="F4:F2003">
    <cfRule type="top10" dxfId="3" priority="4" percent="1" rank="1"/>
  </conditionalFormatting>
  <conditionalFormatting sqref="N4:N2003">
    <cfRule type="cellIs" dxfId="2" priority="1" operator="between">
      <formula>101</formula>
      <formula>13</formula>
    </cfRule>
    <cfRule type="cellIs" dxfId="1" priority="2" operator="between">
      <formula>101</formula>
      <formula>1000</formula>
    </cfRule>
    <cfRule type="top10" dxfId="0" priority="3" percent="1" rank="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D331-D227-4A9F-A016-17EE79B09B48}">
  <dimension ref="C6:H12"/>
  <sheetViews>
    <sheetView workbookViewId="0">
      <selection activeCell="E5" sqref="E5"/>
    </sheetView>
  </sheetViews>
  <sheetFormatPr defaultRowHeight="14.4" x14ac:dyDescent="0.3"/>
  <cols>
    <col min="3" max="3" width="19.21875" bestFit="1" customWidth="1"/>
    <col min="4" max="4" width="15.5546875" bestFit="1" customWidth="1"/>
    <col min="5" max="8" width="14.109375" bestFit="1" customWidth="1"/>
  </cols>
  <sheetData>
    <row r="6" spans="3:8" ht="15.6" x14ac:dyDescent="0.3">
      <c r="C6" s="40" t="s">
        <v>2353</v>
      </c>
      <c r="D6" s="40"/>
    </row>
    <row r="7" spans="3:8" x14ac:dyDescent="0.3">
      <c r="C7" s="8" t="s">
        <v>2330</v>
      </c>
      <c r="D7" s="8" t="s">
        <v>2332</v>
      </c>
    </row>
    <row r="8" spans="3:8" x14ac:dyDescent="0.3">
      <c r="C8" s="8" t="s">
        <v>2326</v>
      </c>
      <c r="D8" t="s">
        <v>2009</v>
      </c>
      <c r="E8" t="s">
        <v>2011</v>
      </c>
      <c r="F8" t="s">
        <v>2012</v>
      </c>
      <c r="G8" t="s">
        <v>2010</v>
      </c>
      <c r="H8" t="s">
        <v>2327</v>
      </c>
    </row>
    <row r="9" spans="3:8" x14ac:dyDescent="0.3">
      <c r="C9" s="9" t="s">
        <v>2114</v>
      </c>
      <c r="D9" s="7">
        <v>463887.78</v>
      </c>
      <c r="E9" s="7">
        <v>448719.02999999997</v>
      </c>
      <c r="F9" s="7">
        <v>432630.84000000008</v>
      </c>
      <c r="G9" s="7">
        <v>405759.01999999984</v>
      </c>
      <c r="H9" s="7">
        <v>1750996.67</v>
      </c>
    </row>
    <row r="10" spans="3:8" x14ac:dyDescent="0.3">
      <c r="C10" s="9" t="s">
        <v>2113</v>
      </c>
      <c r="D10" s="7">
        <v>430403.63999999996</v>
      </c>
      <c r="E10" s="7">
        <v>523596.69000000018</v>
      </c>
      <c r="F10" s="7">
        <v>404040.44000000035</v>
      </c>
      <c r="G10" s="7">
        <v>474739.92999999993</v>
      </c>
      <c r="H10" s="7">
        <v>1832780.7000000004</v>
      </c>
    </row>
    <row r="11" spans="3:8" x14ac:dyDescent="0.3">
      <c r="C11" s="9" t="s">
        <v>2115</v>
      </c>
      <c r="D11" s="7">
        <v>456256.93000000017</v>
      </c>
      <c r="E11" s="7">
        <v>411968.68</v>
      </c>
      <c r="F11" s="7">
        <v>409100.83999999991</v>
      </c>
      <c r="G11" s="7">
        <v>326416.28000000003</v>
      </c>
      <c r="H11" s="7">
        <v>1603742.73</v>
      </c>
    </row>
    <row r="12" spans="3:8" x14ac:dyDescent="0.3">
      <c r="C12" s="9" t="s">
        <v>2327</v>
      </c>
      <c r="D12" s="7">
        <v>1350548.35</v>
      </c>
      <c r="E12" s="7">
        <v>1384284.4000000001</v>
      </c>
      <c r="F12" s="7">
        <v>1245772.1200000003</v>
      </c>
      <c r="G12" s="7">
        <v>1206915.2299999997</v>
      </c>
      <c r="H12" s="7">
        <v>5187520.0999999996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4DFD-7A55-464A-BF2E-401AD0CC5768}">
  <dimension ref="C5:H20"/>
  <sheetViews>
    <sheetView topLeftCell="B1" workbookViewId="0">
      <selection activeCell="C16" sqref="C16"/>
    </sheetView>
  </sheetViews>
  <sheetFormatPr defaultRowHeight="14.4" x14ac:dyDescent="0.3"/>
  <cols>
    <col min="3" max="3" width="13.109375" bestFit="1" customWidth="1"/>
    <col min="4" max="4" width="14.109375" bestFit="1" customWidth="1"/>
    <col min="7" max="7" width="13.109375" bestFit="1" customWidth="1"/>
  </cols>
  <sheetData>
    <row r="5" spans="3:8" ht="15.6" x14ac:dyDescent="0.3">
      <c r="C5" s="39" t="s">
        <v>2351</v>
      </c>
      <c r="G5" s="36" t="s">
        <v>2350</v>
      </c>
    </row>
    <row r="6" spans="3:8" x14ac:dyDescent="0.3">
      <c r="C6" s="8" t="s">
        <v>2326</v>
      </c>
      <c r="D6" t="s">
        <v>2338</v>
      </c>
      <c r="G6" s="37" t="s">
        <v>2349</v>
      </c>
      <c r="H6" s="38">
        <f>GETPIVOTDATA("Profit",$C$6,"Product Category","Electronics")/GETPIVOTDATA("Sales Amount",$C$16,"Product Category","Electronics")</f>
        <v>0.19306467898651156</v>
      </c>
    </row>
    <row r="7" spans="3:8" x14ac:dyDescent="0.3">
      <c r="C7" s="9" t="s">
        <v>2114</v>
      </c>
      <c r="D7" s="7">
        <v>338055.61000000057</v>
      </c>
      <c r="G7" s="37" t="s">
        <v>2113</v>
      </c>
      <c r="H7" s="38">
        <f>GETPIVOTDATA("Profit",$C$6,"Product Category","Furniture")/GETPIVOTDATA("Sales Amount",$C$16,"Product Category","Furniture")</f>
        <v>0.19397828665480801</v>
      </c>
    </row>
    <row r="8" spans="3:8" x14ac:dyDescent="0.3">
      <c r="C8" s="9" t="s">
        <v>2113</v>
      </c>
      <c r="D8" s="7">
        <v>355519.65999999986</v>
      </c>
      <c r="G8" s="37" t="s">
        <v>2115</v>
      </c>
      <c r="H8" s="38">
        <f>GETPIVOTDATA("Profit",$C$6,"Product Category","Office Supplies")/GETPIVOTDATA("Sales Amount",$C$16,"Product Category","Office Supplies")</f>
        <v>0.19636244274666212</v>
      </c>
    </row>
    <row r="9" spans="3:8" x14ac:dyDescent="0.3">
      <c r="C9" s="9" t="s">
        <v>2115</v>
      </c>
      <c r="D9" s="7">
        <v>314914.84000000014</v>
      </c>
    </row>
    <row r="10" spans="3:8" x14ac:dyDescent="0.3">
      <c r="C10" s="9" t="s">
        <v>2327</v>
      </c>
      <c r="D10" s="7">
        <v>1008490.1100000006</v>
      </c>
    </row>
    <row r="15" spans="3:8" ht="15.6" x14ac:dyDescent="0.3">
      <c r="C15" s="39" t="s">
        <v>2352</v>
      </c>
    </row>
    <row r="16" spans="3:8" x14ac:dyDescent="0.3">
      <c r="C16" s="8" t="s">
        <v>2326</v>
      </c>
      <c r="D16" t="s">
        <v>2330</v>
      </c>
    </row>
    <row r="17" spans="3:4" x14ac:dyDescent="0.3">
      <c r="C17" s="9" t="s">
        <v>2114</v>
      </c>
      <c r="D17" s="7">
        <v>1750996.6699999992</v>
      </c>
    </row>
    <row r="18" spans="3:4" x14ac:dyDescent="0.3">
      <c r="C18" s="9" t="s">
        <v>2113</v>
      </c>
      <c r="D18" s="7">
        <v>1832780.7000000009</v>
      </c>
    </row>
    <row r="19" spans="3:4" x14ac:dyDescent="0.3">
      <c r="C19" s="9" t="s">
        <v>2115</v>
      </c>
      <c r="D19" s="7">
        <v>1603742.7299999977</v>
      </c>
    </row>
    <row r="20" spans="3:4" x14ac:dyDescent="0.3">
      <c r="C20" s="9" t="s">
        <v>2327</v>
      </c>
      <c r="D20" s="7">
        <v>5187520.0999999978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AFDB-D9CE-4954-B86D-7A8C4A7F920D}">
  <dimension ref="B3:C8"/>
  <sheetViews>
    <sheetView workbookViewId="0">
      <selection activeCell="B11" sqref="B11"/>
    </sheetView>
  </sheetViews>
  <sheetFormatPr defaultRowHeight="14.4" x14ac:dyDescent="0.3"/>
  <cols>
    <col min="2" max="2" width="13.109375" bestFit="1" customWidth="1"/>
    <col min="3" max="3" width="23.77734375" bestFit="1" customWidth="1"/>
  </cols>
  <sheetData>
    <row r="3" spans="2:3" ht="15.6" x14ac:dyDescent="0.3">
      <c r="B3" s="14" t="s">
        <v>2329</v>
      </c>
      <c r="C3" s="12"/>
    </row>
    <row r="4" spans="2:3" x14ac:dyDescent="0.3">
      <c r="B4" s="8" t="s">
        <v>2326</v>
      </c>
      <c r="C4" t="s">
        <v>2328</v>
      </c>
    </row>
    <row r="5" spans="2:3" x14ac:dyDescent="0.3">
      <c r="B5" s="9" t="s">
        <v>2113</v>
      </c>
      <c r="C5">
        <v>705</v>
      </c>
    </row>
    <row r="6" spans="2:3" x14ac:dyDescent="0.3">
      <c r="B6" s="9" t="s">
        <v>2114</v>
      </c>
      <c r="C6">
        <v>671</v>
      </c>
    </row>
    <row r="7" spans="2:3" x14ac:dyDescent="0.3">
      <c r="B7" s="9" t="s">
        <v>2115</v>
      </c>
      <c r="C7">
        <v>624</v>
      </c>
    </row>
    <row r="8" spans="2:3" x14ac:dyDescent="0.3">
      <c r="B8" s="9" t="s">
        <v>2327</v>
      </c>
      <c r="C8">
        <v>2000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B9FF-537F-4D54-A620-7067C36C63D7}">
  <dimension ref="B2:D8"/>
  <sheetViews>
    <sheetView zoomScaleNormal="100" workbookViewId="0">
      <selection activeCell="Y26" sqref="Y26"/>
    </sheetView>
  </sheetViews>
  <sheetFormatPr defaultRowHeight="14.4" x14ac:dyDescent="0.3"/>
  <cols>
    <col min="2" max="2" width="12.5546875" bestFit="1" customWidth="1"/>
    <col min="3" max="3" width="19.21875" bestFit="1" customWidth="1"/>
  </cols>
  <sheetData>
    <row r="2" spans="2:4" ht="15.6" x14ac:dyDescent="0.3">
      <c r="B2" s="15" t="s">
        <v>2331</v>
      </c>
      <c r="C2" s="12"/>
      <c r="D2" s="10"/>
    </row>
    <row r="3" spans="2:4" x14ac:dyDescent="0.3">
      <c r="B3" s="8" t="s">
        <v>2326</v>
      </c>
      <c r="C3" t="s">
        <v>2330</v>
      </c>
    </row>
    <row r="4" spans="2:4" x14ac:dyDescent="0.3">
      <c r="B4" s="9" t="s">
        <v>2011</v>
      </c>
      <c r="C4" s="7">
        <v>1384284.4000000004</v>
      </c>
    </row>
    <row r="5" spans="2:4" x14ac:dyDescent="0.3">
      <c r="B5" s="9" t="s">
        <v>2009</v>
      </c>
      <c r="C5" s="7">
        <v>1350548.3499999992</v>
      </c>
    </row>
    <row r="6" spans="2:4" x14ac:dyDescent="0.3">
      <c r="B6" s="9" t="s">
        <v>2012</v>
      </c>
      <c r="C6" s="7">
        <v>1245772.1199999992</v>
      </c>
    </row>
    <row r="7" spans="2:4" x14ac:dyDescent="0.3">
      <c r="B7" s="9" t="s">
        <v>2010</v>
      </c>
      <c r="C7" s="7">
        <v>1206915.23</v>
      </c>
    </row>
    <row r="8" spans="2:4" x14ac:dyDescent="0.3">
      <c r="B8" s="9" t="s">
        <v>2327</v>
      </c>
      <c r="C8" s="7">
        <v>5187520.0999999987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8DC7-AD6C-4C82-B0BD-7041939DD189}">
  <dimension ref="B3:C9"/>
  <sheetViews>
    <sheetView topLeftCell="A2" workbookViewId="0">
      <selection activeCell="G23" sqref="G23"/>
    </sheetView>
  </sheetViews>
  <sheetFormatPr defaultRowHeight="14.4" x14ac:dyDescent="0.3"/>
  <cols>
    <col min="2" max="2" width="12.5546875" bestFit="1" customWidth="1"/>
    <col min="3" max="3" width="19.21875" bestFit="1" customWidth="1"/>
  </cols>
  <sheetData>
    <row r="3" spans="2:3" ht="15.6" x14ac:dyDescent="0.3">
      <c r="B3" s="14" t="s">
        <v>2337</v>
      </c>
      <c r="C3" s="12"/>
    </row>
    <row r="4" spans="2:3" x14ac:dyDescent="0.3">
      <c r="B4" s="8" t="s">
        <v>2326</v>
      </c>
      <c r="C4" t="s">
        <v>2330</v>
      </c>
    </row>
    <row r="5" spans="2:3" x14ac:dyDescent="0.3">
      <c r="B5" s="9" t="s">
        <v>2335</v>
      </c>
      <c r="C5" s="7">
        <v>1442023.0299999998</v>
      </c>
    </row>
    <row r="6" spans="2:3" x14ac:dyDescent="0.3">
      <c r="B6" s="9" t="s">
        <v>2334</v>
      </c>
      <c r="C6" s="7">
        <v>1410532.6099999987</v>
      </c>
    </row>
    <row r="7" spans="2:3" x14ac:dyDescent="0.3">
      <c r="B7" s="9" t="s">
        <v>2333</v>
      </c>
      <c r="C7" s="7">
        <v>1174314.6599999992</v>
      </c>
    </row>
    <row r="8" spans="2:3" x14ac:dyDescent="0.3">
      <c r="B8" s="9" t="s">
        <v>2336</v>
      </c>
      <c r="C8" s="7">
        <v>1160649.800000001</v>
      </c>
    </row>
    <row r="9" spans="2:3" x14ac:dyDescent="0.3">
      <c r="B9" s="9" t="s">
        <v>2327</v>
      </c>
      <c r="C9" s="7">
        <v>5187520.0999999987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3AF7-3C1D-4C46-9BB8-DA2ACC1DB704}">
  <dimension ref="B4:F11"/>
  <sheetViews>
    <sheetView topLeftCell="A3" workbookViewId="0">
      <selection activeCell="E25" sqref="E25"/>
    </sheetView>
  </sheetViews>
  <sheetFormatPr defaultRowHeight="14.4" x14ac:dyDescent="0.3"/>
  <cols>
    <col min="2" max="2" width="19.21875" bestFit="1" customWidth="1"/>
    <col min="3" max="3" width="15.5546875" bestFit="1" customWidth="1"/>
    <col min="4" max="6" width="14.109375" bestFit="1" customWidth="1"/>
  </cols>
  <sheetData>
    <row r="4" spans="2:6" x14ac:dyDescent="0.3">
      <c r="B4" s="12" t="s">
        <v>2341</v>
      </c>
      <c r="C4" s="13"/>
      <c r="D4" s="13"/>
    </row>
    <row r="5" spans="2:6" x14ac:dyDescent="0.3">
      <c r="B5" s="8" t="s">
        <v>2330</v>
      </c>
      <c r="C5" s="8" t="s">
        <v>2332</v>
      </c>
    </row>
    <row r="6" spans="2:6" x14ac:dyDescent="0.3">
      <c r="B6" s="8" t="s">
        <v>2326</v>
      </c>
      <c r="C6" t="s">
        <v>2113</v>
      </c>
      <c r="D6" t="s">
        <v>2114</v>
      </c>
      <c r="E6" t="s">
        <v>2115</v>
      </c>
      <c r="F6" t="s">
        <v>2327</v>
      </c>
    </row>
    <row r="7" spans="2:6" x14ac:dyDescent="0.3">
      <c r="B7" s="9" t="s">
        <v>2011</v>
      </c>
      <c r="C7" s="7">
        <v>523596.69000000018</v>
      </c>
      <c r="D7" s="7">
        <v>448719.02999999997</v>
      </c>
      <c r="E7" s="7">
        <v>411968.68</v>
      </c>
      <c r="F7" s="7">
        <v>1384284.4000000001</v>
      </c>
    </row>
    <row r="8" spans="2:6" x14ac:dyDescent="0.3">
      <c r="B8" s="9" t="s">
        <v>2009</v>
      </c>
      <c r="C8" s="7">
        <v>430403.63999999996</v>
      </c>
      <c r="D8" s="7">
        <v>463887.78</v>
      </c>
      <c r="E8" s="7">
        <v>456256.93000000017</v>
      </c>
      <c r="F8" s="7">
        <v>1350548.35</v>
      </c>
    </row>
    <row r="9" spans="2:6" x14ac:dyDescent="0.3">
      <c r="B9" s="9" t="s">
        <v>2012</v>
      </c>
      <c r="C9" s="7">
        <v>404040.44000000035</v>
      </c>
      <c r="D9" s="7">
        <v>432630.84000000008</v>
      </c>
      <c r="E9" s="7">
        <v>409100.83999999991</v>
      </c>
      <c r="F9" s="7">
        <v>1245772.1200000003</v>
      </c>
    </row>
    <row r="10" spans="2:6" x14ac:dyDescent="0.3">
      <c r="B10" s="9" t="s">
        <v>2010</v>
      </c>
      <c r="C10" s="7">
        <v>474739.92999999993</v>
      </c>
      <c r="D10" s="7">
        <v>405759.01999999984</v>
      </c>
      <c r="E10" s="7">
        <v>326416.28000000003</v>
      </c>
      <c r="F10" s="7">
        <v>1206915.2299999997</v>
      </c>
    </row>
    <row r="11" spans="2:6" x14ac:dyDescent="0.3">
      <c r="B11" s="9" t="s">
        <v>2327</v>
      </c>
      <c r="C11" s="7">
        <v>1832780.7000000004</v>
      </c>
      <c r="D11" s="7">
        <v>1750996.67</v>
      </c>
      <c r="E11" s="7">
        <v>1603742.73</v>
      </c>
      <c r="F11" s="7">
        <v>5187520.0999999996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9145-9AB3-46BE-91CF-F973763AABC8}">
  <dimension ref="B5:D10"/>
  <sheetViews>
    <sheetView workbookViewId="0">
      <selection activeCell="F23" sqref="F23"/>
    </sheetView>
  </sheetViews>
  <sheetFormatPr defaultRowHeight="14.4" x14ac:dyDescent="0.3"/>
  <cols>
    <col min="2" max="2" width="12.6640625" bestFit="1" customWidth="1"/>
    <col min="3" max="3" width="19.21875" bestFit="1" customWidth="1"/>
    <col min="4" max="6" width="14.109375" bestFit="1" customWidth="1"/>
  </cols>
  <sheetData>
    <row r="5" spans="2:4" ht="15.6" x14ac:dyDescent="0.3">
      <c r="B5" s="12" t="s">
        <v>2339</v>
      </c>
      <c r="C5" s="10"/>
      <c r="D5" s="11"/>
    </row>
    <row r="6" spans="2:4" x14ac:dyDescent="0.3">
      <c r="B6" s="8" t="s">
        <v>2326</v>
      </c>
      <c r="C6" t="s">
        <v>2330</v>
      </c>
    </row>
    <row r="7" spans="2:4" x14ac:dyDescent="0.3">
      <c r="B7" s="9" t="s">
        <v>2116</v>
      </c>
      <c r="C7" s="7">
        <v>1757995.06</v>
      </c>
    </row>
    <row r="8" spans="2:4" x14ac:dyDescent="0.3">
      <c r="B8" s="9" t="s">
        <v>2118</v>
      </c>
      <c r="C8" s="7">
        <v>1743489.8299999982</v>
      </c>
    </row>
    <row r="9" spans="2:4" x14ac:dyDescent="0.3">
      <c r="B9" s="9" t="s">
        <v>2117</v>
      </c>
      <c r="C9" s="7">
        <v>1686035.2099999997</v>
      </c>
    </row>
    <row r="10" spans="2:4" x14ac:dyDescent="0.3">
      <c r="B10" s="9" t="s">
        <v>2327</v>
      </c>
      <c r="C10" s="7">
        <v>5187520.0999999978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3729-9C7E-4131-9419-4492F1FF8EFD}">
  <dimension ref="B3:D8"/>
  <sheetViews>
    <sheetView workbookViewId="0">
      <selection activeCell="D21" sqref="D21"/>
    </sheetView>
  </sheetViews>
  <sheetFormatPr defaultRowHeight="14.4" x14ac:dyDescent="0.3"/>
  <cols>
    <col min="2" max="2" width="12.6640625" bestFit="1" customWidth="1"/>
    <col min="3" max="3" width="19.21875" bestFit="1" customWidth="1"/>
    <col min="4" max="4" width="14.109375" bestFit="1" customWidth="1"/>
  </cols>
  <sheetData>
    <row r="3" spans="2:4" x14ac:dyDescent="0.3">
      <c r="B3" s="12" t="s">
        <v>2340</v>
      </c>
      <c r="C3" s="12"/>
      <c r="D3" s="12"/>
    </row>
    <row r="4" spans="2:4" x14ac:dyDescent="0.3">
      <c r="B4" s="8" t="s">
        <v>2326</v>
      </c>
      <c r="C4" t="s">
        <v>2330</v>
      </c>
      <c r="D4" t="s">
        <v>2338</v>
      </c>
    </row>
    <row r="5" spans="2:4" x14ac:dyDescent="0.3">
      <c r="B5" s="9" t="s">
        <v>2117</v>
      </c>
      <c r="C5" s="7">
        <v>1686035.2099999997</v>
      </c>
      <c r="D5" s="7">
        <v>337195.94999999995</v>
      </c>
    </row>
    <row r="6" spans="2:4" x14ac:dyDescent="0.3">
      <c r="B6" s="9" t="s">
        <v>2116</v>
      </c>
      <c r="C6" s="7">
        <v>1757995.06</v>
      </c>
      <c r="D6" s="7">
        <v>334305.59000000067</v>
      </c>
    </row>
    <row r="7" spans="2:4" x14ac:dyDescent="0.3">
      <c r="B7" s="9" t="s">
        <v>2118</v>
      </c>
      <c r="C7" s="7">
        <v>1743489.8299999982</v>
      </c>
      <c r="D7" s="7">
        <v>336988.57000000024</v>
      </c>
    </row>
    <row r="8" spans="2:4" x14ac:dyDescent="0.3">
      <c r="B8" s="9" t="s">
        <v>2327</v>
      </c>
      <c r="C8" s="7">
        <v>5187520.0999999978</v>
      </c>
      <c r="D8" s="7">
        <v>1008490.1100000008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B937-FCFC-4877-8C83-3FB619FB5E58}">
  <dimension ref="C5:J14"/>
  <sheetViews>
    <sheetView workbookViewId="0">
      <selection activeCell="E22" sqref="E22"/>
    </sheetView>
  </sheetViews>
  <sheetFormatPr defaultRowHeight="14.4" x14ac:dyDescent="0.3"/>
  <cols>
    <col min="3" max="3" width="13.109375" bestFit="1" customWidth="1"/>
    <col min="4" max="5" width="19.21875" bestFit="1" customWidth="1"/>
  </cols>
  <sheetData>
    <row r="5" spans="3:10" x14ac:dyDescent="0.3">
      <c r="C5" s="17" t="s">
        <v>2342</v>
      </c>
    </row>
    <row r="6" spans="3:10" x14ac:dyDescent="0.3">
      <c r="C6" s="8" t="s">
        <v>2326</v>
      </c>
      <c r="D6" t="s">
        <v>2330</v>
      </c>
      <c r="E6" t="s">
        <v>2344</v>
      </c>
    </row>
    <row r="7" spans="3:10" x14ac:dyDescent="0.3">
      <c r="C7" s="9" t="s">
        <v>2115</v>
      </c>
      <c r="D7" s="7">
        <v>1603742.7299999977</v>
      </c>
      <c r="E7" s="21">
        <v>0.45567464518336892</v>
      </c>
    </row>
    <row r="8" spans="3:10" x14ac:dyDescent="0.3">
      <c r="C8" s="9" t="s">
        <v>2114</v>
      </c>
      <c r="D8" s="7">
        <v>1750996.6699999992</v>
      </c>
      <c r="E8" s="21">
        <v>0.41924933676283344</v>
      </c>
    </row>
    <row r="9" spans="3:10" x14ac:dyDescent="0.3">
      <c r="C9" s="9" t="s">
        <v>2113</v>
      </c>
      <c r="D9" s="7">
        <v>1832780.7000000009</v>
      </c>
      <c r="E9" s="21">
        <v>0.50006011276570039</v>
      </c>
    </row>
    <row r="10" spans="3:10" x14ac:dyDescent="0.3">
      <c r="C10" s="9" t="s">
        <v>2327</v>
      </c>
      <c r="D10" s="7">
        <v>5187520.1000000108</v>
      </c>
      <c r="E10" s="21">
        <v>0.45909983153105177</v>
      </c>
    </row>
    <row r="12" spans="3:10" x14ac:dyDescent="0.3">
      <c r="C12" s="22" t="s">
        <v>2347</v>
      </c>
      <c r="D12" s="22"/>
      <c r="E12" s="22"/>
      <c r="F12" s="22"/>
      <c r="G12" s="22"/>
      <c r="H12" s="22"/>
      <c r="I12" s="22"/>
      <c r="J12" s="22"/>
    </row>
    <row r="13" spans="3:10" x14ac:dyDescent="0.3">
      <c r="C13" s="22" t="s">
        <v>2345</v>
      </c>
      <c r="D13" s="22"/>
      <c r="E13" s="22"/>
      <c r="F13" s="22"/>
      <c r="G13" s="22"/>
      <c r="H13" s="22"/>
      <c r="I13" s="22"/>
      <c r="J13" s="22"/>
    </row>
    <row r="14" spans="3:10" x14ac:dyDescent="0.3">
      <c r="C14" s="22" t="s">
        <v>2346</v>
      </c>
      <c r="D14" s="22"/>
      <c r="E14" s="22"/>
      <c r="F14" s="22"/>
      <c r="G14" s="22"/>
      <c r="H14" s="22"/>
      <c r="I14" s="22"/>
      <c r="J14"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8D8A8-020F-4999-9601-F1F2301A4788}">
  <dimension ref="A1:BB51"/>
  <sheetViews>
    <sheetView showGridLines="0" tabSelected="1" topLeftCell="A2" zoomScale="72" workbookViewId="0">
      <selection activeCell="X27" sqref="X27"/>
    </sheetView>
  </sheetViews>
  <sheetFormatPr defaultRowHeight="14.4" x14ac:dyDescent="0.3"/>
  <cols>
    <col min="22" max="22" width="8.88671875" customWidth="1"/>
  </cols>
  <sheetData>
    <row r="1" spans="1:54" x14ac:dyDescent="0.3">
      <c r="A1" t="s">
        <v>2348</v>
      </c>
    </row>
    <row r="4" spans="1:54" x14ac:dyDescent="0.3">
      <c r="V4" s="13" t="s">
        <v>2354</v>
      </c>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row>
    <row r="5" spans="1:54" x14ac:dyDescent="0.3">
      <c r="V5" s="13" t="s">
        <v>2356</v>
      </c>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row>
    <row r="6" spans="1:54" x14ac:dyDescent="0.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54" x14ac:dyDescent="0.3">
      <c r="V7" s="13" t="s">
        <v>2355</v>
      </c>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row>
    <row r="8" spans="1:54" x14ac:dyDescent="0.3">
      <c r="V8" s="41"/>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row>
    <row r="9" spans="1:54" x14ac:dyDescent="0.3">
      <c r="V9" s="41" t="s">
        <v>2357</v>
      </c>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row>
    <row r="10" spans="1:54" x14ac:dyDescent="0.3">
      <c r="V10" s="41"/>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row>
    <row r="11" spans="1:54" x14ac:dyDescent="0.3">
      <c r="V11" s="41" t="s">
        <v>2358</v>
      </c>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row>
    <row r="12" spans="1:54" x14ac:dyDescent="0.3">
      <c r="V12" s="41"/>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row>
    <row r="13" spans="1:54" x14ac:dyDescent="0.3">
      <c r="V13" s="41" t="s">
        <v>2359</v>
      </c>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row>
    <row r="14" spans="1:54" x14ac:dyDescent="0.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row>
    <row r="15" spans="1:54" x14ac:dyDescent="0.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row>
    <row r="16" spans="1:54" x14ac:dyDescent="0.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row>
    <row r="17" spans="22:54" x14ac:dyDescent="0.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row>
    <row r="41" spans="1:33" ht="15.6"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row>
    <row r="42" spans="1:33" ht="15.6"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row>
    <row r="43" spans="1:33" ht="15.6"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row>
    <row r="44" spans="1:33" ht="15.6"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row>
    <row r="45" spans="1:33" ht="15.6" x14ac:dyDescent="0.3">
      <c r="A45" s="43"/>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row>
    <row r="46" spans="1:33" ht="15.6" x14ac:dyDescent="0.3">
      <c r="A46" s="43"/>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row>
    <row r="47" spans="1:33" ht="15.6" x14ac:dyDescent="0.3">
      <c r="A47" s="43"/>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row>
    <row r="48" spans="1:33" ht="15.6" x14ac:dyDescent="0.3">
      <c r="A48" s="43"/>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row>
    <row r="49" spans="1:33" ht="15.6" x14ac:dyDescent="0.3">
      <c r="A49" s="43"/>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row>
    <row r="50" spans="1:33" ht="15.6" x14ac:dyDescent="0.3">
      <c r="A50" s="43"/>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row>
    <row r="51" spans="1:33" ht="15.6" x14ac:dyDescent="0.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Sales Data</vt:lpstr>
      <vt:lpstr>Product Details</vt:lpstr>
      <vt:lpstr>Master Sheet</vt:lpstr>
      <vt:lpstr>Exploratory Data Analysis </vt:lpstr>
      <vt:lpstr>Profitability Analysis</vt:lpstr>
      <vt:lpstr>Most Popular Product Categories</vt:lpstr>
      <vt:lpstr>Regions with the Highest Sales.</vt:lpstr>
      <vt:lpstr>Sales Trends (Quaterly)	</vt:lpstr>
      <vt:lpstr>Pivot Table</vt:lpstr>
      <vt:lpstr>Sales by Customer Segment	</vt:lpstr>
      <vt:lpstr>Highest Revenue &amp;Profit Margins</vt:lpstr>
      <vt:lpstr>Underperforming Categories by C</vt:lpstr>
      <vt:lpstr>Dasboard</vt:lpstr>
      <vt:lpstr>OrderDate</vt:lpstr>
      <vt:lpstr>OrderID</vt:lpstr>
      <vt:lpstr>ProductCategory</vt:lpstr>
      <vt:lpstr>ProductID</vt:lpstr>
      <vt:lpstr>Profit</vt:lpstr>
      <vt:lpstr>Quantity</vt:lpstr>
      <vt:lpstr>QuantitySold</vt:lpstr>
      <vt:lpstr>Region</vt:lpstr>
      <vt:lpstr>Sales</vt:lpstr>
      <vt:lpstr>SalesAmount</vt:lpstr>
      <vt:lpstr>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Nomani</dc:creator>
  <cp:lastModifiedBy>Taha Nomani</cp:lastModifiedBy>
  <dcterms:created xsi:type="dcterms:W3CDTF">2024-11-10T14:07:51Z</dcterms:created>
  <dcterms:modified xsi:type="dcterms:W3CDTF">2025-09-11T12:40:15Z</dcterms:modified>
</cp:coreProperties>
</file>